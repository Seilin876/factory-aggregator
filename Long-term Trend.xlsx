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ode\factory-aggregator\Output_Summaries\"/>
    </mc:Choice>
  </mc:AlternateContent>
  <xr:revisionPtr revIDLastSave="0" documentId="13_ncr:1_{BC27AF1E-569F-45A1-BF23-D7C3D1FC734D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Summary" sheetId="10" r:id="rId1"/>
    <sheet name="C202" sheetId="1" r:id="rId2"/>
    <sheet name="C203" sheetId="2" r:id="rId3"/>
    <sheet name="C208" sheetId="3" r:id="rId4"/>
    <sheet name="C209" sheetId="4" r:id="rId5"/>
    <sheet name="C214" sheetId="5" r:id="rId6"/>
    <sheet name="C215" sheetId="6" r:id="rId7"/>
    <sheet name="C216" sheetId="7" r:id="rId8"/>
    <sheet name="C217" sheetId="8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8" i="1" l="1"/>
  <c r="N457" i="1"/>
  <c r="N453" i="1"/>
  <c r="N452" i="1"/>
  <c r="N451" i="1"/>
  <c r="N456" i="1"/>
  <c r="N450" i="1"/>
  <c r="N445" i="1"/>
  <c r="N444" i="1"/>
  <c r="N446" i="1" l="1"/>
  <c r="N447" i="1"/>
  <c r="N448" i="1"/>
  <c r="BP2" i="10" l="1" a="1"/>
  <c r="BP2" i="10" s="1"/>
  <c r="BQ2" i="10" a="1"/>
  <c r="BQ2" i="10" s="1"/>
  <c r="BR2" i="10" a="1"/>
  <c r="BR2" i="10" s="1"/>
  <c r="BS2" i="10" a="1"/>
  <c r="BS2" i="10" s="1"/>
  <c r="BT2" i="10" a="1"/>
  <c r="BT2" i="10" s="1"/>
  <c r="BU2" i="10" a="1"/>
  <c r="BU2" i="10" s="1"/>
  <c r="BV2" i="10" a="1"/>
  <c r="BV2" i="10" s="1"/>
  <c r="BW2" i="10" a="1"/>
  <c r="BW2" i="10" s="1"/>
  <c r="BX2" i="10" a="1"/>
  <c r="BX2" i="10" s="1"/>
  <c r="BY2" i="10" a="1"/>
  <c r="BY2" i="10" s="1"/>
  <c r="BZ2" i="10" a="1"/>
  <c r="BZ2" i="10" s="1"/>
  <c r="CA2" i="10" a="1"/>
  <c r="CA2" i="10" s="1"/>
  <c r="BP3" i="10" a="1"/>
  <c r="BP3" i="10" s="1"/>
  <c r="BQ3" i="10" a="1"/>
  <c r="BQ3" i="10" s="1"/>
  <c r="BR3" i="10" a="1"/>
  <c r="BR3" i="10" s="1"/>
  <c r="BS3" i="10" a="1"/>
  <c r="BS3" i="10" s="1"/>
  <c r="BT3" i="10" a="1"/>
  <c r="BT3" i="10" s="1"/>
  <c r="BU3" i="10" a="1"/>
  <c r="BU3" i="10" s="1"/>
  <c r="BV3" i="10" a="1"/>
  <c r="BV3" i="10" s="1"/>
  <c r="BW3" i="10" a="1"/>
  <c r="BW3" i="10" s="1"/>
  <c r="BX3" i="10" a="1"/>
  <c r="BX3" i="10" s="1"/>
  <c r="BY3" i="10" a="1"/>
  <c r="BY3" i="10" s="1"/>
  <c r="BZ3" i="10" a="1"/>
  <c r="BZ3" i="10" s="1"/>
  <c r="CA3" i="10" a="1"/>
  <c r="CA3" i="10" s="1"/>
  <c r="BP4" i="10" a="1"/>
  <c r="BP4" i="10" s="1"/>
  <c r="BQ4" i="10" a="1"/>
  <c r="BQ4" i="10" s="1"/>
  <c r="BR4" i="10" a="1"/>
  <c r="BR4" i="10" s="1"/>
  <c r="BS4" i="10" a="1"/>
  <c r="BS4" i="10" s="1"/>
  <c r="BT4" i="10" a="1"/>
  <c r="BT4" i="10" s="1"/>
  <c r="BU4" i="10" a="1"/>
  <c r="BU4" i="10" s="1"/>
  <c r="BV4" i="10" a="1"/>
  <c r="BV4" i="10" s="1"/>
  <c r="BW4" i="10" a="1"/>
  <c r="BW4" i="10" s="1"/>
  <c r="BX4" i="10" a="1"/>
  <c r="BX4" i="10" s="1"/>
  <c r="BY4" i="10" a="1"/>
  <c r="BY4" i="10" s="1"/>
  <c r="BZ4" i="10" a="1"/>
  <c r="BZ4" i="10" s="1"/>
  <c r="CA4" i="10" a="1"/>
  <c r="CA4" i="10" s="1"/>
  <c r="BP5" i="10" a="1"/>
  <c r="BP5" i="10" s="1"/>
  <c r="BQ5" i="10" a="1"/>
  <c r="BQ5" i="10" s="1"/>
  <c r="BR5" i="10" a="1"/>
  <c r="BR5" i="10" s="1"/>
  <c r="BS5" i="10" a="1"/>
  <c r="BS5" i="10" s="1"/>
  <c r="BT5" i="10" a="1"/>
  <c r="BT5" i="10" s="1"/>
  <c r="BU5" i="10" a="1"/>
  <c r="BU5" i="10" s="1"/>
  <c r="BV5" i="10" a="1"/>
  <c r="BV5" i="10" s="1"/>
  <c r="BW5" i="10" a="1"/>
  <c r="BW5" i="10" s="1"/>
  <c r="BX5" i="10" a="1"/>
  <c r="BX5" i="10" s="1"/>
  <c r="BY5" i="10" a="1"/>
  <c r="BY5" i="10" s="1"/>
  <c r="BZ5" i="10" a="1"/>
  <c r="BZ5" i="10" s="1"/>
  <c r="CA5" i="10" a="1"/>
  <c r="CA5" i="10" s="1"/>
  <c r="BP9" i="10" a="1"/>
  <c r="BP9" i="10" s="1"/>
  <c r="BQ9" i="10" a="1"/>
  <c r="BQ9" i="10" s="1"/>
  <c r="BR9" i="10" a="1"/>
  <c r="BR9" i="10" s="1"/>
  <c r="BS9" i="10" a="1"/>
  <c r="BS9" i="10" s="1"/>
  <c r="BT9" i="10" a="1"/>
  <c r="BT9" i="10" s="1"/>
  <c r="BU9" i="10" a="1"/>
  <c r="BU9" i="10" s="1"/>
  <c r="BV9" i="10" a="1"/>
  <c r="BV9" i="10" s="1"/>
  <c r="BW9" i="10" a="1"/>
  <c r="BW9" i="10" s="1"/>
  <c r="BX9" i="10" a="1"/>
  <c r="BX9" i="10" s="1"/>
  <c r="BY9" i="10" a="1"/>
  <c r="BY9" i="10" s="1"/>
  <c r="BZ9" i="10" a="1"/>
  <c r="BZ9" i="10" s="1"/>
  <c r="CA9" i="10" a="1"/>
  <c r="CA9" i="10" s="1"/>
  <c r="BP10" i="10" a="1"/>
  <c r="BP10" i="10" s="1"/>
  <c r="BQ10" i="10" a="1"/>
  <c r="BQ10" i="10" s="1"/>
  <c r="BR10" i="10" a="1"/>
  <c r="BR10" i="10" s="1"/>
  <c r="BS10" i="10" a="1"/>
  <c r="BS10" i="10" s="1"/>
  <c r="BT10" i="10" a="1"/>
  <c r="BT10" i="10" s="1"/>
  <c r="BU10" i="10" a="1"/>
  <c r="BU10" i="10" s="1"/>
  <c r="BV10" i="10" a="1"/>
  <c r="BV10" i="10" s="1"/>
  <c r="BW10" i="10" a="1"/>
  <c r="BW10" i="10" s="1"/>
  <c r="BX10" i="10" a="1"/>
  <c r="BX10" i="10" s="1"/>
  <c r="BY10" i="10" a="1"/>
  <c r="BY10" i="10" s="1"/>
  <c r="BZ10" i="10" a="1"/>
  <c r="BZ10" i="10" s="1"/>
  <c r="CA10" i="10" a="1"/>
  <c r="CA10" i="10" s="1"/>
  <c r="BP11" i="10" a="1"/>
  <c r="BP11" i="10" s="1"/>
  <c r="BQ11" i="10" a="1"/>
  <c r="BQ11" i="10" s="1"/>
  <c r="BR11" i="10" a="1"/>
  <c r="BR11" i="10" s="1"/>
  <c r="BS11" i="10" a="1"/>
  <c r="BS11" i="10" s="1"/>
  <c r="BT11" i="10" a="1"/>
  <c r="BT11" i="10" s="1"/>
  <c r="BU11" i="10" a="1"/>
  <c r="BU11" i="10" s="1"/>
  <c r="BV11" i="10" a="1"/>
  <c r="BV11" i="10" s="1"/>
  <c r="BW11" i="10" a="1"/>
  <c r="BW11" i="10" s="1"/>
  <c r="BX11" i="10" a="1"/>
  <c r="BX11" i="10" s="1"/>
  <c r="BY11" i="10" a="1"/>
  <c r="BY11" i="10" s="1"/>
  <c r="BZ11" i="10" a="1"/>
  <c r="BZ11" i="10" s="1"/>
  <c r="CA11" i="10" a="1"/>
  <c r="CA11" i="10" s="1"/>
  <c r="BP12" i="10" a="1"/>
  <c r="BP12" i="10" s="1"/>
  <c r="BQ12" i="10" a="1"/>
  <c r="BQ12" i="10" s="1"/>
  <c r="BR12" i="10" a="1"/>
  <c r="BR12" i="10" s="1"/>
  <c r="BS12" i="10" a="1"/>
  <c r="BS12" i="10" s="1"/>
  <c r="BT12" i="10" a="1"/>
  <c r="BT12" i="10" s="1"/>
  <c r="BU12" i="10" a="1"/>
  <c r="BU12" i="10" s="1"/>
  <c r="BV12" i="10" a="1"/>
  <c r="BV12" i="10" s="1"/>
  <c r="BW12" i="10" a="1"/>
  <c r="BW12" i="10" s="1"/>
  <c r="BX12" i="10" a="1"/>
  <c r="BX12" i="10" s="1"/>
  <c r="BY12" i="10" a="1"/>
  <c r="BY12" i="10" s="1"/>
  <c r="BZ12" i="10" a="1"/>
  <c r="BZ12" i="10" s="1"/>
  <c r="CA12" i="10" a="1"/>
  <c r="CA12" i="10" s="1"/>
  <c r="BP16" i="10" a="1"/>
  <c r="BP16" i="10" s="1"/>
  <c r="BQ16" i="10" a="1"/>
  <c r="BQ16" i="10" s="1"/>
  <c r="BR16" i="10" a="1"/>
  <c r="BR16" i="10" s="1"/>
  <c r="BS16" i="10" a="1"/>
  <c r="BS16" i="10" s="1"/>
  <c r="BT16" i="10" a="1"/>
  <c r="BT16" i="10" s="1"/>
  <c r="BU16" i="10" a="1"/>
  <c r="BU16" i="10" s="1"/>
  <c r="BV16" i="10" a="1"/>
  <c r="BV16" i="10" s="1"/>
  <c r="BW16" i="10" a="1"/>
  <c r="BW16" i="10" s="1"/>
  <c r="BX16" i="10" a="1"/>
  <c r="BX16" i="10" s="1"/>
  <c r="BY16" i="10" a="1"/>
  <c r="BY16" i="10" s="1"/>
  <c r="BZ16" i="10" a="1"/>
  <c r="BZ16" i="10" s="1"/>
  <c r="CA16" i="10" a="1"/>
  <c r="CA16" i="10" s="1"/>
  <c r="BP17" i="10" a="1"/>
  <c r="BP17" i="10" s="1"/>
  <c r="BQ17" i="10" a="1"/>
  <c r="BQ17" i="10" s="1"/>
  <c r="BR17" i="10" a="1"/>
  <c r="BR17" i="10" s="1"/>
  <c r="BS17" i="10" a="1"/>
  <c r="BS17" i="10" s="1"/>
  <c r="BT17" i="10" a="1"/>
  <c r="BT17" i="10" s="1"/>
  <c r="BU17" i="10" a="1"/>
  <c r="BU17" i="10" s="1"/>
  <c r="BV17" i="10" a="1"/>
  <c r="BV17" i="10" s="1"/>
  <c r="BW17" i="10" a="1"/>
  <c r="BW17" i="10" s="1"/>
  <c r="BX17" i="10" a="1"/>
  <c r="BX17" i="10" s="1"/>
  <c r="BY17" i="10" a="1"/>
  <c r="BY17" i="10" s="1"/>
  <c r="BZ17" i="10" a="1"/>
  <c r="BZ17" i="10" s="1"/>
  <c r="CA17" i="10" a="1"/>
  <c r="CA17" i="10" s="1"/>
  <c r="BP18" i="10" a="1"/>
  <c r="BP18" i="10" s="1"/>
  <c r="BQ18" i="10" a="1"/>
  <c r="BQ18" i="10" s="1"/>
  <c r="BR18" i="10" a="1"/>
  <c r="BR18" i="10" s="1"/>
  <c r="BS18" i="10" a="1"/>
  <c r="BS18" i="10" s="1"/>
  <c r="BT18" i="10" a="1"/>
  <c r="BT18" i="10" s="1"/>
  <c r="BU18" i="10" a="1"/>
  <c r="BU18" i="10" s="1"/>
  <c r="BV18" i="10" a="1"/>
  <c r="BV18" i="10" s="1"/>
  <c r="BW18" i="10" a="1"/>
  <c r="BW18" i="10" s="1"/>
  <c r="BX18" i="10" a="1"/>
  <c r="BX18" i="10" s="1"/>
  <c r="BY18" i="10" a="1"/>
  <c r="BY18" i="10" s="1"/>
  <c r="BZ18" i="10" a="1"/>
  <c r="BZ18" i="10" s="1"/>
  <c r="CA18" i="10" a="1"/>
  <c r="CA18" i="10" s="1"/>
  <c r="BP19" i="10" a="1"/>
  <c r="BP19" i="10" s="1"/>
  <c r="BQ19" i="10" a="1"/>
  <c r="BQ19" i="10" s="1"/>
  <c r="BR19" i="10" a="1"/>
  <c r="BR19" i="10" s="1"/>
  <c r="BS19" i="10" a="1"/>
  <c r="BS19" i="10" s="1"/>
  <c r="BT19" i="10" a="1"/>
  <c r="BT19" i="10" s="1"/>
  <c r="BU19" i="10" a="1"/>
  <c r="BU19" i="10" s="1"/>
  <c r="BV19" i="10" a="1"/>
  <c r="BV19" i="10" s="1"/>
  <c r="BW19" i="10" a="1"/>
  <c r="BW19" i="10" s="1"/>
  <c r="BX19" i="10" a="1"/>
  <c r="BX19" i="10" s="1"/>
  <c r="BY19" i="10" a="1"/>
  <c r="BY19" i="10" s="1"/>
  <c r="BZ19" i="10" a="1"/>
  <c r="BZ19" i="10" s="1"/>
  <c r="CA19" i="10" a="1"/>
  <c r="CA19" i="10" s="1"/>
  <c r="BP23" i="10" a="1"/>
  <c r="BP23" i="10" s="1"/>
  <c r="BQ23" i="10" a="1"/>
  <c r="BQ23" i="10" s="1"/>
  <c r="BR23" i="10" a="1"/>
  <c r="BR23" i="10" s="1"/>
  <c r="BS23" i="10" a="1"/>
  <c r="BS23" i="10" s="1"/>
  <c r="BT23" i="10" a="1"/>
  <c r="BT23" i="10" s="1"/>
  <c r="BU23" i="10" a="1"/>
  <c r="BU23" i="10" s="1"/>
  <c r="BV23" i="10" a="1"/>
  <c r="BV23" i="10" s="1"/>
  <c r="BW23" i="10" a="1"/>
  <c r="BW23" i="10" s="1"/>
  <c r="BX23" i="10" a="1"/>
  <c r="BX23" i="10" s="1"/>
  <c r="BY23" i="10" a="1"/>
  <c r="BY23" i="10" s="1"/>
  <c r="BZ23" i="10" a="1"/>
  <c r="BZ23" i="10" s="1"/>
  <c r="CA23" i="10" a="1"/>
  <c r="CA23" i="10" s="1"/>
  <c r="BP24" i="10" a="1"/>
  <c r="BP24" i="10" s="1"/>
  <c r="BQ24" i="10" a="1"/>
  <c r="BQ24" i="10" s="1"/>
  <c r="BR24" i="10" a="1"/>
  <c r="BR24" i="10" s="1"/>
  <c r="BS24" i="10" a="1"/>
  <c r="BS24" i="10" s="1"/>
  <c r="BT24" i="10" a="1"/>
  <c r="BT24" i="10" s="1"/>
  <c r="BU24" i="10" a="1"/>
  <c r="BU24" i="10" s="1"/>
  <c r="BV24" i="10" a="1"/>
  <c r="BV24" i="10" s="1"/>
  <c r="BW24" i="10" a="1"/>
  <c r="BW24" i="10" s="1"/>
  <c r="BX24" i="10" a="1"/>
  <c r="BX24" i="10" s="1"/>
  <c r="BY24" i="10" a="1"/>
  <c r="BY24" i="10" s="1"/>
  <c r="BZ24" i="10" a="1"/>
  <c r="BZ24" i="10" s="1"/>
  <c r="CA24" i="10" a="1"/>
  <c r="CA24" i="10" s="1"/>
  <c r="BP25" i="10" a="1"/>
  <c r="BP25" i="10" s="1"/>
  <c r="BQ25" i="10" a="1"/>
  <c r="BQ25" i="10" s="1"/>
  <c r="BR25" i="10" a="1"/>
  <c r="BR25" i="10" s="1"/>
  <c r="BS25" i="10" a="1"/>
  <c r="BS25" i="10" s="1"/>
  <c r="BT25" i="10" a="1"/>
  <c r="BT25" i="10" s="1"/>
  <c r="BU25" i="10" a="1"/>
  <c r="BU25" i="10" s="1"/>
  <c r="BV25" i="10" a="1"/>
  <c r="BV25" i="10" s="1"/>
  <c r="BW25" i="10" a="1"/>
  <c r="BW25" i="10" s="1"/>
  <c r="BX25" i="10" a="1"/>
  <c r="BX25" i="10" s="1"/>
  <c r="BY25" i="10" a="1"/>
  <c r="BY25" i="10" s="1"/>
  <c r="BZ25" i="10" a="1"/>
  <c r="BZ25" i="10" s="1"/>
  <c r="CA25" i="10" a="1"/>
  <c r="CA25" i="10" s="1"/>
  <c r="BP26" i="10" a="1"/>
  <c r="BP26" i="10" s="1"/>
  <c r="BQ26" i="10" a="1"/>
  <c r="BQ26" i="10" s="1"/>
  <c r="BR26" i="10" a="1"/>
  <c r="BR26" i="10" s="1"/>
  <c r="BS26" i="10" a="1"/>
  <c r="BS26" i="10" s="1"/>
  <c r="BT26" i="10" a="1"/>
  <c r="BT26" i="10" s="1"/>
  <c r="BU26" i="10" a="1"/>
  <c r="BU26" i="10" s="1"/>
  <c r="BV26" i="10" a="1"/>
  <c r="BV26" i="10" s="1"/>
  <c r="BW26" i="10" a="1"/>
  <c r="BW26" i="10" s="1"/>
  <c r="BX26" i="10" a="1"/>
  <c r="BX26" i="10" s="1"/>
  <c r="BY26" i="10" a="1"/>
  <c r="BY26" i="10" s="1"/>
  <c r="BZ26" i="10" a="1"/>
  <c r="BZ26" i="10" s="1"/>
  <c r="CA26" i="10" a="1"/>
  <c r="CA26" i="10" s="1"/>
  <c r="BP30" i="10" a="1"/>
  <c r="BP30" i="10" s="1"/>
  <c r="BQ30" i="10" a="1"/>
  <c r="BQ30" i="10" s="1"/>
  <c r="BR30" i="10" a="1"/>
  <c r="BR30" i="10" s="1"/>
  <c r="BS30" i="10" a="1"/>
  <c r="BS30" i="10" s="1"/>
  <c r="BT30" i="10" a="1"/>
  <c r="BT30" i="10" s="1"/>
  <c r="BU30" i="10" a="1"/>
  <c r="BU30" i="10" s="1"/>
  <c r="BV30" i="10" a="1"/>
  <c r="BV30" i="10" s="1"/>
  <c r="BW30" i="10" a="1"/>
  <c r="BW30" i="10" s="1"/>
  <c r="BX30" i="10" a="1"/>
  <c r="BX30" i="10" s="1"/>
  <c r="BY30" i="10" a="1"/>
  <c r="BY30" i="10" s="1"/>
  <c r="BZ30" i="10" a="1"/>
  <c r="BZ30" i="10" s="1"/>
  <c r="CA30" i="10" a="1"/>
  <c r="CA30" i="10" s="1"/>
  <c r="BP31" i="10" a="1"/>
  <c r="BP31" i="10" s="1"/>
  <c r="BQ31" i="10" a="1"/>
  <c r="BQ31" i="10" s="1"/>
  <c r="BR31" i="10" a="1"/>
  <c r="BR31" i="10" s="1"/>
  <c r="BS31" i="10" a="1"/>
  <c r="BS31" i="10" s="1"/>
  <c r="BT31" i="10" a="1"/>
  <c r="BT31" i="10" s="1"/>
  <c r="BU31" i="10" a="1"/>
  <c r="BU31" i="10" s="1"/>
  <c r="BV31" i="10" a="1"/>
  <c r="BV31" i="10" s="1"/>
  <c r="BW31" i="10" a="1"/>
  <c r="BW31" i="10" s="1"/>
  <c r="BX31" i="10" a="1"/>
  <c r="BX31" i="10" s="1"/>
  <c r="BY31" i="10" a="1"/>
  <c r="BY31" i="10" s="1"/>
  <c r="BZ31" i="10" a="1"/>
  <c r="BZ31" i="10" s="1"/>
  <c r="CA31" i="10" a="1"/>
  <c r="CA31" i="10" s="1"/>
  <c r="BP32" i="10" a="1"/>
  <c r="BP32" i="10" s="1"/>
  <c r="BQ32" i="10" a="1"/>
  <c r="BQ32" i="10" s="1"/>
  <c r="BR32" i="10" a="1"/>
  <c r="BR32" i="10" s="1"/>
  <c r="BS32" i="10" a="1"/>
  <c r="BS32" i="10" s="1"/>
  <c r="BT32" i="10" a="1"/>
  <c r="BT32" i="10" s="1"/>
  <c r="BU32" i="10" a="1"/>
  <c r="BU32" i="10" s="1"/>
  <c r="BV32" i="10" a="1"/>
  <c r="BV32" i="10" s="1"/>
  <c r="BW32" i="10" a="1"/>
  <c r="BW32" i="10" s="1"/>
  <c r="BX32" i="10" a="1"/>
  <c r="BX32" i="10" s="1"/>
  <c r="BY32" i="10" a="1"/>
  <c r="BY32" i="10" s="1"/>
  <c r="BZ32" i="10" a="1"/>
  <c r="BZ32" i="10" s="1"/>
  <c r="CA32" i="10" a="1"/>
  <c r="CA32" i="10" s="1"/>
  <c r="BP33" i="10" a="1"/>
  <c r="BP33" i="10" s="1"/>
  <c r="BQ33" i="10" a="1"/>
  <c r="BQ33" i="10" s="1"/>
  <c r="BR33" i="10" a="1"/>
  <c r="BR33" i="10" s="1"/>
  <c r="BS33" i="10" a="1"/>
  <c r="BS33" i="10" s="1"/>
  <c r="BT33" i="10" a="1"/>
  <c r="BT33" i="10" s="1"/>
  <c r="BU33" i="10" a="1"/>
  <c r="BU33" i="10" s="1"/>
  <c r="BV33" i="10" a="1"/>
  <c r="BV33" i="10" s="1"/>
  <c r="BW33" i="10" a="1"/>
  <c r="BW33" i="10" s="1"/>
  <c r="BX33" i="10" a="1"/>
  <c r="BX33" i="10" s="1"/>
  <c r="BY33" i="10" a="1"/>
  <c r="BY33" i="10" s="1"/>
  <c r="BZ33" i="10" a="1"/>
  <c r="BZ33" i="10" s="1"/>
  <c r="CA33" i="10" a="1"/>
  <c r="CA33" i="10" s="1"/>
  <c r="BP37" i="10" a="1"/>
  <c r="BP37" i="10" s="1"/>
  <c r="BQ37" i="10" a="1"/>
  <c r="BQ37" i="10" s="1"/>
  <c r="BR37" i="10" a="1"/>
  <c r="BR37" i="10" s="1"/>
  <c r="BS37" i="10" a="1"/>
  <c r="BS37" i="10" s="1"/>
  <c r="BT37" i="10" a="1"/>
  <c r="BT37" i="10" s="1"/>
  <c r="BU37" i="10" a="1"/>
  <c r="BU37" i="10" s="1"/>
  <c r="BV37" i="10" a="1"/>
  <c r="BV37" i="10" s="1"/>
  <c r="BW37" i="10" a="1"/>
  <c r="BW37" i="10" s="1"/>
  <c r="BX37" i="10" a="1"/>
  <c r="BX37" i="10" s="1"/>
  <c r="BY37" i="10" a="1"/>
  <c r="BY37" i="10" s="1"/>
  <c r="BZ37" i="10" a="1"/>
  <c r="BZ37" i="10" s="1"/>
  <c r="CA37" i="10" a="1"/>
  <c r="CA37" i="10" s="1"/>
  <c r="BP38" i="10" a="1"/>
  <c r="BP38" i="10" s="1"/>
  <c r="BQ38" i="10" a="1"/>
  <c r="BQ38" i="10" s="1"/>
  <c r="BR38" i="10" a="1"/>
  <c r="BR38" i="10" s="1"/>
  <c r="BS38" i="10" a="1"/>
  <c r="BS38" i="10" s="1"/>
  <c r="BT38" i="10" a="1"/>
  <c r="BT38" i="10" s="1"/>
  <c r="BU38" i="10" a="1"/>
  <c r="BU38" i="10" s="1"/>
  <c r="BV38" i="10" a="1"/>
  <c r="BV38" i="10" s="1"/>
  <c r="BW38" i="10" a="1"/>
  <c r="BW38" i="10" s="1"/>
  <c r="BX38" i="10" a="1"/>
  <c r="BX38" i="10" s="1"/>
  <c r="BY38" i="10" a="1"/>
  <c r="BY38" i="10" s="1"/>
  <c r="BZ38" i="10" a="1"/>
  <c r="BZ38" i="10" s="1"/>
  <c r="CA38" i="10" a="1"/>
  <c r="CA38" i="10" s="1"/>
  <c r="BP39" i="10" a="1"/>
  <c r="BP39" i="10" s="1"/>
  <c r="BQ39" i="10" a="1"/>
  <c r="BQ39" i="10" s="1"/>
  <c r="BR39" i="10" a="1"/>
  <c r="BR39" i="10" s="1"/>
  <c r="BS39" i="10" a="1"/>
  <c r="BS39" i="10" s="1"/>
  <c r="BT39" i="10" a="1"/>
  <c r="BT39" i="10" s="1"/>
  <c r="BU39" i="10" a="1"/>
  <c r="BU39" i="10" s="1"/>
  <c r="BV39" i="10" a="1"/>
  <c r="BV39" i="10" s="1"/>
  <c r="BW39" i="10" a="1"/>
  <c r="BW39" i="10" s="1"/>
  <c r="BX39" i="10" a="1"/>
  <c r="BX39" i="10" s="1"/>
  <c r="BY39" i="10" a="1"/>
  <c r="BY39" i="10" s="1"/>
  <c r="BZ39" i="10" a="1"/>
  <c r="BZ39" i="10" s="1"/>
  <c r="CA39" i="10" a="1"/>
  <c r="CA39" i="10" s="1"/>
  <c r="BP40" i="10" a="1"/>
  <c r="BP40" i="10" s="1"/>
  <c r="BQ40" i="10" a="1"/>
  <c r="BQ40" i="10" s="1"/>
  <c r="BR40" i="10" a="1"/>
  <c r="BR40" i="10" s="1"/>
  <c r="BS40" i="10" a="1"/>
  <c r="BS40" i="10" s="1"/>
  <c r="BT40" i="10" a="1"/>
  <c r="BT40" i="10" s="1"/>
  <c r="BU40" i="10" a="1"/>
  <c r="BU40" i="10" s="1"/>
  <c r="BV40" i="10" a="1"/>
  <c r="BV40" i="10" s="1"/>
  <c r="BW40" i="10" a="1"/>
  <c r="BW40" i="10" s="1"/>
  <c r="BX40" i="10" a="1"/>
  <c r="BX40" i="10" s="1"/>
  <c r="BY40" i="10" a="1"/>
  <c r="BY40" i="10" s="1"/>
  <c r="BZ40" i="10" a="1"/>
  <c r="BZ40" i="10" s="1"/>
  <c r="CA40" i="10" a="1"/>
  <c r="CA40" i="10" s="1"/>
  <c r="BP44" i="10" a="1"/>
  <c r="BP44" i="10" s="1"/>
  <c r="BQ44" i="10" a="1"/>
  <c r="BQ44" i="10" s="1"/>
  <c r="BR44" i="10" a="1"/>
  <c r="BR44" i="10" s="1"/>
  <c r="BS44" i="10" a="1"/>
  <c r="BS44" i="10" s="1"/>
  <c r="BT44" i="10" a="1"/>
  <c r="BT44" i="10" s="1"/>
  <c r="BU44" i="10" a="1"/>
  <c r="BU44" i="10" s="1"/>
  <c r="BV44" i="10" a="1"/>
  <c r="BV44" i="10" s="1"/>
  <c r="BW44" i="10" a="1"/>
  <c r="BW44" i="10" s="1"/>
  <c r="BX44" i="10" a="1"/>
  <c r="BX44" i="10" s="1"/>
  <c r="BY44" i="10" a="1"/>
  <c r="BY44" i="10" s="1"/>
  <c r="BZ44" i="10" a="1"/>
  <c r="BZ44" i="10" s="1"/>
  <c r="CA44" i="10" a="1"/>
  <c r="CA44" i="10" s="1"/>
  <c r="BP45" i="10" a="1"/>
  <c r="BP45" i="10" s="1"/>
  <c r="BQ45" i="10" a="1"/>
  <c r="BQ45" i="10" s="1"/>
  <c r="BR45" i="10" a="1"/>
  <c r="BR45" i="10" s="1"/>
  <c r="BS45" i="10" a="1"/>
  <c r="BS45" i="10" s="1"/>
  <c r="BT45" i="10" a="1"/>
  <c r="BT45" i="10" s="1"/>
  <c r="BU45" i="10" a="1"/>
  <c r="BU45" i="10" s="1"/>
  <c r="BV45" i="10" a="1"/>
  <c r="BV45" i="10" s="1"/>
  <c r="BW45" i="10" a="1"/>
  <c r="BW45" i="10" s="1"/>
  <c r="BX45" i="10" a="1"/>
  <c r="BX45" i="10" s="1"/>
  <c r="BY45" i="10" a="1"/>
  <c r="BY45" i="10" s="1"/>
  <c r="BZ45" i="10" a="1"/>
  <c r="BZ45" i="10" s="1"/>
  <c r="CA45" i="10" a="1"/>
  <c r="CA45" i="10" s="1"/>
  <c r="BP46" i="10" a="1"/>
  <c r="BP46" i="10" s="1"/>
  <c r="BQ46" i="10" a="1"/>
  <c r="BQ46" i="10" s="1"/>
  <c r="BR46" i="10" a="1"/>
  <c r="BR46" i="10" s="1"/>
  <c r="BS46" i="10" a="1"/>
  <c r="BS46" i="10" s="1"/>
  <c r="BT46" i="10" a="1"/>
  <c r="BT46" i="10" s="1"/>
  <c r="BU46" i="10" a="1"/>
  <c r="BU46" i="10" s="1"/>
  <c r="BV46" i="10" a="1"/>
  <c r="BV46" i="10" s="1"/>
  <c r="BW46" i="10" a="1"/>
  <c r="BW46" i="10" s="1"/>
  <c r="BX46" i="10" a="1"/>
  <c r="BX46" i="10" s="1"/>
  <c r="BY46" i="10" a="1"/>
  <c r="BY46" i="10" s="1"/>
  <c r="BZ46" i="10" a="1"/>
  <c r="BZ46" i="10" s="1"/>
  <c r="CA46" i="10" a="1"/>
  <c r="CA46" i="10" s="1"/>
  <c r="BP47" i="10" a="1"/>
  <c r="BP47" i="10" s="1"/>
  <c r="BQ47" i="10" a="1"/>
  <c r="BQ47" i="10" s="1"/>
  <c r="BR47" i="10" a="1"/>
  <c r="BR47" i="10" s="1"/>
  <c r="BS47" i="10" a="1"/>
  <c r="BS47" i="10" s="1"/>
  <c r="BT47" i="10" a="1"/>
  <c r="BT47" i="10" s="1"/>
  <c r="BU47" i="10" a="1"/>
  <c r="BU47" i="10" s="1"/>
  <c r="BV47" i="10" a="1"/>
  <c r="BV47" i="10" s="1"/>
  <c r="BW47" i="10" a="1"/>
  <c r="BW47" i="10" s="1"/>
  <c r="BX47" i="10" a="1"/>
  <c r="BX47" i="10" s="1"/>
  <c r="BY47" i="10" a="1"/>
  <c r="BY47" i="10" s="1"/>
  <c r="BZ47" i="10" a="1"/>
  <c r="BZ47" i="10" s="1"/>
  <c r="CA47" i="10" a="1"/>
  <c r="CA47" i="10" s="1"/>
  <c r="BP51" i="10" a="1"/>
  <c r="BP51" i="10" s="1"/>
  <c r="BQ51" i="10" a="1"/>
  <c r="BQ51" i="10" s="1"/>
  <c r="BR51" i="10" a="1"/>
  <c r="BR51" i="10" s="1"/>
  <c r="BS51" i="10" a="1"/>
  <c r="BS51" i="10" s="1"/>
  <c r="BT51" i="10" a="1"/>
  <c r="BT51" i="10" s="1"/>
  <c r="BU51" i="10" a="1"/>
  <c r="BU51" i="10" s="1"/>
  <c r="BV51" i="10" a="1"/>
  <c r="BV51" i="10" s="1"/>
  <c r="BW51" i="10" a="1"/>
  <c r="BW51" i="10" s="1"/>
  <c r="BX51" i="10" a="1"/>
  <c r="BX51" i="10" s="1"/>
  <c r="BY51" i="10" a="1"/>
  <c r="BY51" i="10" s="1"/>
  <c r="BZ51" i="10" a="1"/>
  <c r="BZ51" i="10" s="1"/>
  <c r="CA51" i="10" a="1"/>
  <c r="CA51" i="10" s="1"/>
  <c r="BP52" i="10" a="1"/>
  <c r="BP52" i="10" s="1"/>
  <c r="BQ52" i="10" a="1"/>
  <c r="BQ52" i="10" s="1"/>
  <c r="BR52" i="10" a="1"/>
  <c r="BR52" i="10" s="1"/>
  <c r="BS52" i="10" a="1"/>
  <c r="BS52" i="10" s="1"/>
  <c r="BT52" i="10" a="1"/>
  <c r="BT52" i="10" s="1"/>
  <c r="BU52" i="10" a="1"/>
  <c r="BU52" i="10" s="1"/>
  <c r="BV52" i="10" a="1"/>
  <c r="BV52" i="10" s="1"/>
  <c r="BW52" i="10" a="1"/>
  <c r="BW52" i="10" s="1"/>
  <c r="BX52" i="10" a="1"/>
  <c r="BX52" i="10" s="1"/>
  <c r="BY52" i="10" a="1"/>
  <c r="BY52" i="10" s="1"/>
  <c r="BZ52" i="10" a="1"/>
  <c r="BZ52" i="10" s="1"/>
  <c r="CA52" i="10" a="1"/>
  <c r="CA52" i="10" s="1"/>
  <c r="BP53" i="10" a="1"/>
  <c r="BP53" i="10" s="1"/>
  <c r="BQ53" i="10" a="1"/>
  <c r="BQ53" i="10" s="1"/>
  <c r="BR53" i="10" a="1"/>
  <c r="BR53" i="10" s="1"/>
  <c r="BS53" i="10" a="1"/>
  <c r="BS53" i="10" s="1"/>
  <c r="BT53" i="10" a="1"/>
  <c r="BT53" i="10" s="1"/>
  <c r="BU53" i="10" a="1"/>
  <c r="BU53" i="10" s="1"/>
  <c r="BV53" i="10" a="1"/>
  <c r="BV53" i="10" s="1"/>
  <c r="BW53" i="10" a="1"/>
  <c r="BW53" i="10" s="1"/>
  <c r="BX53" i="10" a="1"/>
  <c r="BX53" i="10" s="1"/>
  <c r="BY53" i="10" a="1"/>
  <c r="BY53" i="10" s="1"/>
  <c r="BZ53" i="10" a="1"/>
  <c r="BZ53" i="10" s="1"/>
  <c r="CA53" i="10" a="1"/>
  <c r="CA53" i="10" s="1"/>
  <c r="BP54" i="10" a="1"/>
  <c r="BP54" i="10" s="1"/>
  <c r="BQ54" i="10" a="1"/>
  <c r="BQ54" i="10" s="1"/>
  <c r="BR54" i="10" a="1"/>
  <c r="BR54" i="10" s="1"/>
  <c r="BS54" i="10" a="1"/>
  <c r="BS54" i="10" s="1"/>
  <c r="BT54" i="10" a="1"/>
  <c r="BT54" i="10" s="1"/>
  <c r="BU54" i="10" a="1"/>
  <c r="BU54" i="10" s="1"/>
  <c r="BV54" i="10" a="1"/>
  <c r="BV54" i="10" s="1"/>
  <c r="BW54" i="10" a="1"/>
  <c r="BW54" i="10" s="1"/>
  <c r="BX54" i="10" a="1"/>
  <c r="BX54" i="10" s="1"/>
  <c r="BY54" i="10" a="1"/>
  <c r="BY54" i="10" s="1"/>
  <c r="BZ54" i="10" a="1"/>
  <c r="BZ54" i="10" s="1"/>
  <c r="CA54" i="10" a="1"/>
  <c r="CA54" i="10" s="1"/>
  <c r="BB31" i="10" a="1"/>
  <c r="BB31" i="10" s="1"/>
  <c r="P175" i="6" l="1"/>
  <c r="S175" i="6"/>
  <c r="S196" i="6"/>
  <c r="P196" i="6"/>
  <c r="S217" i="6"/>
  <c r="P217" i="6"/>
  <c r="S238" i="6"/>
  <c r="P238" i="6"/>
  <c r="P259" i="6"/>
  <c r="S259" i="6"/>
  <c r="S280" i="6"/>
  <c r="P280" i="6"/>
  <c r="BC2" i="10" l="1" a="1"/>
  <c r="BC2" i="10" s="1"/>
  <c r="BD2" i="10" a="1"/>
  <c r="BD2" i="10" s="1"/>
  <c r="BE2" i="10" a="1"/>
  <c r="BE2" i="10" s="1"/>
  <c r="BF2" i="10" a="1"/>
  <c r="BF2" i="10" s="1"/>
  <c r="BG2" i="10" a="1"/>
  <c r="BG2" i="10" s="1"/>
  <c r="BH2" i="10" a="1"/>
  <c r="BH2" i="10" s="1"/>
  <c r="BI2" i="10" a="1"/>
  <c r="BI2" i="10" s="1"/>
  <c r="BJ2" i="10" a="1"/>
  <c r="BJ2" i="10" s="1"/>
  <c r="BK2" i="10" a="1"/>
  <c r="BK2" i="10" s="1"/>
  <c r="BL2" i="10" a="1"/>
  <c r="BL2" i="10" s="1"/>
  <c r="BM2" i="10" a="1"/>
  <c r="BM2" i="10" s="1"/>
  <c r="BN2" i="10" a="1"/>
  <c r="BN2" i="10" s="1"/>
  <c r="BO2" i="10" a="1"/>
  <c r="BO2" i="10" s="1"/>
  <c r="BC3" i="10" a="1"/>
  <c r="BC3" i="10" s="1"/>
  <c r="BD3" i="10" a="1"/>
  <c r="BD3" i="10" s="1"/>
  <c r="BE3" i="10" a="1"/>
  <c r="BE3" i="10" s="1"/>
  <c r="BF3" i="10" a="1"/>
  <c r="BF3" i="10" s="1"/>
  <c r="BG3" i="10" a="1"/>
  <c r="BG3" i="10" s="1"/>
  <c r="BH3" i="10" a="1"/>
  <c r="BH3" i="10" s="1"/>
  <c r="BI3" i="10" a="1"/>
  <c r="BI3" i="10" s="1"/>
  <c r="BJ3" i="10" a="1"/>
  <c r="BJ3" i="10" s="1"/>
  <c r="BK3" i="10" a="1"/>
  <c r="BK3" i="10" s="1"/>
  <c r="BL3" i="10" a="1"/>
  <c r="BL3" i="10" s="1"/>
  <c r="BM3" i="10" a="1"/>
  <c r="BM3" i="10" s="1"/>
  <c r="BN3" i="10" a="1"/>
  <c r="BN3" i="10" s="1"/>
  <c r="BO3" i="10" a="1"/>
  <c r="BO3" i="10" s="1"/>
  <c r="BC4" i="10" a="1"/>
  <c r="BC4" i="10" s="1"/>
  <c r="BD4" i="10" a="1"/>
  <c r="BD4" i="10" s="1"/>
  <c r="BE4" i="10" a="1"/>
  <c r="BE4" i="10" s="1"/>
  <c r="BF4" i="10" a="1"/>
  <c r="BF4" i="10" s="1"/>
  <c r="BG4" i="10" a="1"/>
  <c r="BG4" i="10" s="1"/>
  <c r="BH4" i="10" a="1"/>
  <c r="BH4" i="10" s="1"/>
  <c r="BI4" i="10" a="1"/>
  <c r="BI4" i="10" s="1"/>
  <c r="BJ4" i="10" a="1"/>
  <c r="BJ4" i="10" s="1"/>
  <c r="BK4" i="10" a="1"/>
  <c r="BK4" i="10" s="1"/>
  <c r="BL4" i="10" a="1"/>
  <c r="BL4" i="10" s="1"/>
  <c r="BM4" i="10" a="1"/>
  <c r="BM4" i="10" s="1"/>
  <c r="BN4" i="10" a="1"/>
  <c r="BN4" i="10" s="1"/>
  <c r="BO4" i="10" a="1"/>
  <c r="BO4" i="10" s="1"/>
  <c r="BC5" i="10" a="1"/>
  <c r="BC5" i="10" s="1"/>
  <c r="BD5" i="10" a="1"/>
  <c r="BD5" i="10" s="1"/>
  <c r="BE5" i="10" a="1"/>
  <c r="BE5" i="10" s="1"/>
  <c r="BF5" i="10" a="1"/>
  <c r="BF5" i="10" s="1"/>
  <c r="BG5" i="10" a="1"/>
  <c r="BG5" i="10" s="1"/>
  <c r="BH5" i="10" a="1"/>
  <c r="BH5" i="10" s="1"/>
  <c r="BI5" i="10" a="1"/>
  <c r="BI5" i="10" s="1"/>
  <c r="BJ5" i="10" a="1"/>
  <c r="BJ5" i="10" s="1"/>
  <c r="BK5" i="10" a="1"/>
  <c r="BK5" i="10" s="1"/>
  <c r="BL5" i="10" a="1"/>
  <c r="BL5" i="10" s="1"/>
  <c r="BM5" i="10" a="1"/>
  <c r="BM5" i="10" s="1"/>
  <c r="BN5" i="10" a="1"/>
  <c r="BN5" i="10" s="1"/>
  <c r="BO5" i="10" a="1"/>
  <c r="BO5" i="10" s="1"/>
  <c r="BC9" i="10" a="1"/>
  <c r="BC9" i="10" s="1"/>
  <c r="BD9" i="10" a="1"/>
  <c r="BD9" i="10" s="1"/>
  <c r="BE9" i="10" a="1"/>
  <c r="BE9" i="10" s="1"/>
  <c r="BF9" i="10" a="1"/>
  <c r="BF9" i="10" s="1"/>
  <c r="BG9" i="10" a="1"/>
  <c r="BG9" i="10" s="1"/>
  <c r="BH9" i="10" a="1"/>
  <c r="BH9" i="10" s="1"/>
  <c r="BI9" i="10" a="1"/>
  <c r="BI9" i="10" s="1"/>
  <c r="BJ9" i="10" a="1"/>
  <c r="BJ9" i="10" s="1"/>
  <c r="BK9" i="10" a="1"/>
  <c r="BK9" i="10" s="1"/>
  <c r="BL9" i="10" a="1"/>
  <c r="BL9" i="10" s="1"/>
  <c r="BM9" i="10" a="1"/>
  <c r="BM9" i="10" s="1"/>
  <c r="BN9" i="10" a="1"/>
  <c r="BN9" i="10" s="1"/>
  <c r="BO9" i="10" a="1"/>
  <c r="BO9" i="10" s="1"/>
  <c r="BC10" i="10" a="1"/>
  <c r="BC10" i="10" s="1"/>
  <c r="BD10" i="10" a="1"/>
  <c r="BD10" i="10" s="1"/>
  <c r="BE10" i="10" a="1"/>
  <c r="BE10" i="10" s="1"/>
  <c r="BF10" i="10" a="1"/>
  <c r="BF10" i="10" s="1"/>
  <c r="BG10" i="10" a="1"/>
  <c r="BG10" i="10" s="1"/>
  <c r="BH10" i="10" a="1"/>
  <c r="BH10" i="10" s="1"/>
  <c r="BI10" i="10" a="1"/>
  <c r="BI10" i="10" s="1"/>
  <c r="BJ10" i="10" a="1"/>
  <c r="BJ10" i="10" s="1"/>
  <c r="BK10" i="10" a="1"/>
  <c r="BK10" i="10" s="1"/>
  <c r="BL10" i="10" a="1"/>
  <c r="BL10" i="10" s="1"/>
  <c r="BM10" i="10" a="1"/>
  <c r="BM10" i="10" s="1"/>
  <c r="BN10" i="10" a="1"/>
  <c r="BN10" i="10" s="1"/>
  <c r="BO10" i="10" a="1"/>
  <c r="BO10" i="10" s="1"/>
  <c r="BC11" i="10" a="1"/>
  <c r="BC11" i="10" s="1"/>
  <c r="BD11" i="10" a="1"/>
  <c r="BD11" i="10" s="1"/>
  <c r="BE11" i="10" a="1"/>
  <c r="BE11" i="10" s="1"/>
  <c r="BF11" i="10" a="1"/>
  <c r="BF11" i="10" s="1"/>
  <c r="BG11" i="10" a="1"/>
  <c r="BG11" i="10" s="1"/>
  <c r="BH11" i="10" a="1"/>
  <c r="BH11" i="10" s="1"/>
  <c r="BI11" i="10" a="1"/>
  <c r="BI11" i="10" s="1"/>
  <c r="BJ11" i="10" a="1"/>
  <c r="BJ11" i="10" s="1"/>
  <c r="BK11" i="10" a="1"/>
  <c r="BK11" i="10" s="1"/>
  <c r="BL11" i="10" a="1"/>
  <c r="BL11" i="10" s="1"/>
  <c r="BM11" i="10" a="1"/>
  <c r="BM11" i="10" s="1"/>
  <c r="BN11" i="10" a="1"/>
  <c r="BN11" i="10" s="1"/>
  <c r="BO11" i="10" a="1"/>
  <c r="BO11" i="10" s="1"/>
  <c r="BC12" i="10" a="1"/>
  <c r="BC12" i="10" s="1"/>
  <c r="BD12" i="10" a="1"/>
  <c r="BD12" i="10" s="1"/>
  <c r="BE12" i="10" a="1"/>
  <c r="BE12" i="10" s="1"/>
  <c r="BF12" i="10" a="1"/>
  <c r="BF12" i="10" s="1"/>
  <c r="BG12" i="10" a="1"/>
  <c r="BG12" i="10" s="1"/>
  <c r="BH12" i="10" a="1"/>
  <c r="BH12" i="10" s="1"/>
  <c r="BI12" i="10" a="1"/>
  <c r="BI12" i="10" s="1"/>
  <c r="BJ12" i="10" a="1"/>
  <c r="BJ12" i="10" s="1"/>
  <c r="BK12" i="10" a="1"/>
  <c r="BK12" i="10" s="1"/>
  <c r="BL12" i="10" a="1"/>
  <c r="BL12" i="10" s="1"/>
  <c r="BM12" i="10" a="1"/>
  <c r="BM12" i="10" s="1"/>
  <c r="BN12" i="10" a="1"/>
  <c r="BN12" i="10" s="1"/>
  <c r="BO12" i="10" a="1"/>
  <c r="BO12" i="10" s="1"/>
  <c r="BD16" i="10" a="1"/>
  <c r="BD16" i="10" s="1"/>
  <c r="BE16" i="10" a="1"/>
  <c r="BE16" i="10" s="1"/>
  <c r="BF16" i="10" a="1"/>
  <c r="BF16" i="10" s="1"/>
  <c r="BG16" i="10" a="1"/>
  <c r="BG16" i="10" s="1"/>
  <c r="BH16" i="10" a="1"/>
  <c r="BH16" i="10" s="1"/>
  <c r="BI16" i="10" a="1"/>
  <c r="BI16" i="10" s="1"/>
  <c r="BJ16" i="10" a="1"/>
  <c r="BJ16" i="10" s="1"/>
  <c r="BK16" i="10" a="1"/>
  <c r="BK16" i="10" s="1"/>
  <c r="BL16" i="10" a="1"/>
  <c r="BL16" i="10" s="1"/>
  <c r="BM16" i="10" a="1"/>
  <c r="BM16" i="10" s="1"/>
  <c r="BN16" i="10" a="1"/>
  <c r="BN16" i="10" s="1"/>
  <c r="BO16" i="10" a="1"/>
  <c r="BO16" i="10" s="1"/>
  <c r="BD17" i="10" a="1"/>
  <c r="BD17" i="10" s="1"/>
  <c r="BE17" i="10" a="1"/>
  <c r="BE17" i="10" s="1"/>
  <c r="BF17" i="10" a="1"/>
  <c r="BF17" i="10" s="1"/>
  <c r="BG17" i="10" a="1"/>
  <c r="BG17" i="10" s="1"/>
  <c r="BH17" i="10" a="1"/>
  <c r="BH17" i="10" s="1"/>
  <c r="BI17" i="10" a="1"/>
  <c r="BI17" i="10" s="1"/>
  <c r="BJ17" i="10" a="1"/>
  <c r="BJ17" i="10" s="1"/>
  <c r="BK17" i="10" a="1"/>
  <c r="BK17" i="10" s="1"/>
  <c r="BL17" i="10" a="1"/>
  <c r="BL17" i="10" s="1"/>
  <c r="BM17" i="10" a="1"/>
  <c r="BM17" i="10" s="1"/>
  <c r="BN17" i="10" a="1"/>
  <c r="BN17" i="10" s="1"/>
  <c r="BO17" i="10" a="1"/>
  <c r="BO17" i="10" s="1"/>
  <c r="BD18" i="10" a="1"/>
  <c r="BD18" i="10" s="1"/>
  <c r="BE18" i="10" a="1"/>
  <c r="BE18" i="10" s="1"/>
  <c r="BF18" i="10" a="1"/>
  <c r="BF18" i="10" s="1"/>
  <c r="BG18" i="10" a="1"/>
  <c r="BG18" i="10" s="1"/>
  <c r="BH18" i="10" a="1"/>
  <c r="BH18" i="10" s="1"/>
  <c r="BI18" i="10" a="1"/>
  <c r="BI18" i="10" s="1"/>
  <c r="BJ18" i="10" a="1"/>
  <c r="BJ18" i="10" s="1"/>
  <c r="BK18" i="10" a="1"/>
  <c r="BK18" i="10" s="1"/>
  <c r="BL18" i="10" a="1"/>
  <c r="BL18" i="10" s="1"/>
  <c r="BM18" i="10" a="1"/>
  <c r="BM18" i="10" s="1"/>
  <c r="BN18" i="10" a="1"/>
  <c r="BN18" i="10" s="1"/>
  <c r="BO18" i="10" a="1"/>
  <c r="BO18" i="10" s="1"/>
  <c r="BD19" i="10" a="1"/>
  <c r="BD19" i="10" s="1"/>
  <c r="BE19" i="10" a="1"/>
  <c r="BE19" i="10" s="1"/>
  <c r="BF19" i="10" a="1"/>
  <c r="BF19" i="10" s="1"/>
  <c r="BG19" i="10" a="1"/>
  <c r="BG19" i="10" s="1"/>
  <c r="BH19" i="10" a="1"/>
  <c r="BH19" i="10" s="1"/>
  <c r="BI19" i="10" a="1"/>
  <c r="BI19" i="10" s="1"/>
  <c r="BJ19" i="10" a="1"/>
  <c r="BJ19" i="10" s="1"/>
  <c r="BK19" i="10" a="1"/>
  <c r="BK19" i="10" s="1"/>
  <c r="BL19" i="10" a="1"/>
  <c r="BL19" i="10" s="1"/>
  <c r="BM19" i="10" a="1"/>
  <c r="BM19" i="10" s="1"/>
  <c r="BN19" i="10" a="1"/>
  <c r="BN19" i="10" s="1"/>
  <c r="BO19" i="10" a="1"/>
  <c r="BO19" i="10" s="1"/>
  <c r="BC23" i="10" a="1"/>
  <c r="BC23" i="10" s="1"/>
  <c r="BD23" i="10" a="1"/>
  <c r="BD23" i="10" s="1"/>
  <c r="BE23" i="10" a="1"/>
  <c r="BE23" i="10" s="1"/>
  <c r="BF23" i="10" a="1"/>
  <c r="BF23" i="10" s="1"/>
  <c r="BG23" i="10" a="1"/>
  <c r="BG23" i="10" s="1"/>
  <c r="BH23" i="10" a="1"/>
  <c r="BH23" i="10" s="1"/>
  <c r="BI23" i="10" a="1"/>
  <c r="BI23" i="10" s="1"/>
  <c r="BJ23" i="10" a="1"/>
  <c r="BJ23" i="10" s="1"/>
  <c r="BK23" i="10" a="1"/>
  <c r="BK23" i="10" s="1"/>
  <c r="BL23" i="10" a="1"/>
  <c r="BL23" i="10" s="1"/>
  <c r="BM23" i="10" a="1"/>
  <c r="BM23" i="10" s="1"/>
  <c r="BN23" i="10" a="1"/>
  <c r="BN23" i="10" s="1"/>
  <c r="BO23" i="10" a="1"/>
  <c r="BO23" i="10" s="1"/>
  <c r="BC24" i="10" a="1"/>
  <c r="BC24" i="10" s="1"/>
  <c r="BD24" i="10" a="1"/>
  <c r="BD24" i="10" s="1"/>
  <c r="BE24" i="10" a="1"/>
  <c r="BE24" i="10" s="1"/>
  <c r="BF24" i="10" a="1"/>
  <c r="BF24" i="10" s="1"/>
  <c r="BG24" i="10" a="1"/>
  <c r="BG24" i="10" s="1"/>
  <c r="BH24" i="10" a="1"/>
  <c r="BH24" i="10" s="1"/>
  <c r="BI24" i="10" a="1"/>
  <c r="BI24" i="10" s="1"/>
  <c r="BJ24" i="10" a="1"/>
  <c r="BJ24" i="10" s="1"/>
  <c r="BK24" i="10" a="1"/>
  <c r="BK24" i="10" s="1"/>
  <c r="BL24" i="10" a="1"/>
  <c r="BL24" i="10" s="1"/>
  <c r="BM24" i="10" a="1"/>
  <c r="BM24" i="10" s="1"/>
  <c r="BN24" i="10" a="1"/>
  <c r="BN24" i="10" s="1"/>
  <c r="BO24" i="10" a="1"/>
  <c r="BO24" i="10" s="1"/>
  <c r="BC25" i="10" a="1"/>
  <c r="BC25" i="10" s="1"/>
  <c r="BD25" i="10" a="1"/>
  <c r="BD25" i="10" s="1"/>
  <c r="BE25" i="10" a="1"/>
  <c r="BE25" i="10" s="1"/>
  <c r="BF25" i="10" a="1"/>
  <c r="BF25" i="10" s="1"/>
  <c r="BG25" i="10" a="1"/>
  <c r="BG25" i="10" s="1"/>
  <c r="BH25" i="10" a="1"/>
  <c r="BH25" i="10" s="1"/>
  <c r="BI25" i="10" a="1"/>
  <c r="BI25" i="10" s="1"/>
  <c r="BJ25" i="10" a="1"/>
  <c r="BJ25" i="10" s="1"/>
  <c r="BK25" i="10" a="1"/>
  <c r="BK25" i="10" s="1"/>
  <c r="BL25" i="10" a="1"/>
  <c r="BL25" i="10" s="1"/>
  <c r="BM25" i="10" a="1"/>
  <c r="BM25" i="10" s="1"/>
  <c r="BN25" i="10" a="1"/>
  <c r="BN25" i="10" s="1"/>
  <c r="BO25" i="10" a="1"/>
  <c r="BO25" i="10" s="1"/>
  <c r="BC26" i="10" a="1"/>
  <c r="BC26" i="10" s="1"/>
  <c r="BD26" i="10" a="1"/>
  <c r="BD26" i="10" s="1"/>
  <c r="BE26" i="10" a="1"/>
  <c r="BE26" i="10" s="1"/>
  <c r="BF26" i="10" a="1"/>
  <c r="BF26" i="10" s="1"/>
  <c r="BG26" i="10" a="1"/>
  <c r="BG26" i="10" s="1"/>
  <c r="BH26" i="10" a="1"/>
  <c r="BH26" i="10" s="1"/>
  <c r="BI26" i="10" a="1"/>
  <c r="BI26" i="10" s="1"/>
  <c r="BJ26" i="10" a="1"/>
  <c r="BJ26" i="10" s="1"/>
  <c r="BK26" i="10" a="1"/>
  <c r="BK26" i="10" s="1"/>
  <c r="BL26" i="10" a="1"/>
  <c r="BL26" i="10" s="1"/>
  <c r="BM26" i="10" a="1"/>
  <c r="BM26" i="10" s="1"/>
  <c r="BN26" i="10" a="1"/>
  <c r="BN26" i="10" s="1"/>
  <c r="BO26" i="10" a="1"/>
  <c r="BO26" i="10" s="1"/>
  <c r="BC30" i="10" a="1"/>
  <c r="BC30" i="10" s="1"/>
  <c r="BD30" i="10" a="1"/>
  <c r="BD30" i="10" s="1"/>
  <c r="BE30" i="10" a="1"/>
  <c r="BE30" i="10" s="1"/>
  <c r="BF30" i="10" a="1"/>
  <c r="BF30" i="10" s="1"/>
  <c r="BG30" i="10" a="1"/>
  <c r="BG30" i="10" s="1"/>
  <c r="BH30" i="10" a="1"/>
  <c r="BH30" i="10" s="1"/>
  <c r="BI30" i="10" a="1"/>
  <c r="BI30" i="10" s="1"/>
  <c r="BJ30" i="10" a="1"/>
  <c r="BJ30" i="10" s="1"/>
  <c r="BK30" i="10" a="1"/>
  <c r="BK30" i="10" s="1"/>
  <c r="BL30" i="10" a="1"/>
  <c r="BL30" i="10" s="1"/>
  <c r="BM30" i="10" a="1"/>
  <c r="BM30" i="10" s="1"/>
  <c r="BN30" i="10" a="1"/>
  <c r="BN30" i="10" s="1"/>
  <c r="BO30" i="10" a="1"/>
  <c r="BO30" i="10" s="1"/>
  <c r="BC31" i="10" a="1"/>
  <c r="BC31" i="10" s="1"/>
  <c r="BD31" i="10" a="1"/>
  <c r="BD31" i="10" s="1"/>
  <c r="BE31" i="10" a="1"/>
  <c r="BE31" i="10" s="1"/>
  <c r="BF31" i="10" a="1"/>
  <c r="BF31" i="10" s="1"/>
  <c r="BG31" i="10" a="1"/>
  <c r="BG31" i="10" s="1"/>
  <c r="BH31" i="10" a="1"/>
  <c r="BH31" i="10" s="1"/>
  <c r="BI31" i="10" a="1"/>
  <c r="BI31" i="10" s="1"/>
  <c r="BJ31" i="10" a="1"/>
  <c r="BJ31" i="10" s="1"/>
  <c r="BK31" i="10" a="1"/>
  <c r="BK31" i="10" s="1"/>
  <c r="BL31" i="10" a="1"/>
  <c r="BL31" i="10" s="1"/>
  <c r="BM31" i="10" a="1"/>
  <c r="BM31" i="10" s="1"/>
  <c r="BN31" i="10" a="1"/>
  <c r="BN31" i="10" s="1"/>
  <c r="BO31" i="10" a="1"/>
  <c r="BO31" i="10" s="1"/>
  <c r="BC32" i="10" a="1"/>
  <c r="BC32" i="10" s="1"/>
  <c r="BD32" i="10" a="1"/>
  <c r="BD32" i="10" s="1"/>
  <c r="BE32" i="10" a="1"/>
  <c r="BE32" i="10" s="1"/>
  <c r="BF32" i="10" a="1"/>
  <c r="BF32" i="10" s="1"/>
  <c r="BG32" i="10" a="1"/>
  <c r="BG32" i="10" s="1"/>
  <c r="BH32" i="10" a="1"/>
  <c r="BH32" i="10" s="1"/>
  <c r="BI32" i="10" a="1"/>
  <c r="BI32" i="10" s="1"/>
  <c r="BJ32" i="10" a="1"/>
  <c r="BJ32" i="10" s="1"/>
  <c r="BK32" i="10" a="1"/>
  <c r="BK32" i="10" s="1"/>
  <c r="BL32" i="10" a="1"/>
  <c r="BL32" i="10" s="1"/>
  <c r="BM32" i="10" a="1"/>
  <c r="BM32" i="10" s="1"/>
  <c r="BN32" i="10" a="1"/>
  <c r="BN32" i="10" s="1"/>
  <c r="BO32" i="10" a="1"/>
  <c r="BO32" i="10" s="1"/>
  <c r="BC33" i="10" a="1"/>
  <c r="BC33" i="10" s="1"/>
  <c r="BD33" i="10" a="1"/>
  <c r="BD33" i="10" s="1"/>
  <c r="BE33" i="10" a="1"/>
  <c r="BE33" i="10" s="1"/>
  <c r="BF33" i="10" a="1"/>
  <c r="BF33" i="10" s="1"/>
  <c r="BG33" i="10" a="1"/>
  <c r="BG33" i="10" s="1"/>
  <c r="BH33" i="10" a="1"/>
  <c r="BH33" i="10" s="1"/>
  <c r="BI33" i="10" a="1"/>
  <c r="BI33" i="10" s="1"/>
  <c r="BJ33" i="10" a="1"/>
  <c r="BJ33" i="10" s="1"/>
  <c r="BK33" i="10" a="1"/>
  <c r="BK33" i="10" s="1"/>
  <c r="BL33" i="10" a="1"/>
  <c r="BL33" i="10" s="1"/>
  <c r="BM33" i="10" a="1"/>
  <c r="BM33" i="10" s="1"/>
  <c r="BN33" i="10" a="1"/>
  <c r="BN33" i="10" s="1"/>
  <c r="BO33" i="10" a="1"/>
  <c r="BO33" i="10" s="1"/>
  <c r="BO37" i="10" a="1"/>
  <c r="BO37" i="10" s="1"/>
  <c r="BO38" i="10" a="1"/>
  <c r="BO38" i="10" s="1"/>
  <c r="BO39" i="10" a="1"/>
  <c r="BO39" i="10" s="1"/>
  <c r="BO40" i="10" a="1"/>
  <c r="BO40" i="10" s="1"/>
  <c r="BC37" i="10" a="1"/>
  <c r="BC37" i="10" s="1"/>
  <c r="BD37" i="10" a="1"/>
  <c r="BD37" i="10" s="1"/>
  <c r="BE37" i="10" a="1"/>
  <c r="BE37" i="10" s="1"/>
  <c r="BF37" i="10" a="1"/>
  <c r="BF37" i="10" s="1"/>
  <c r="BG37" i="10" a="1"/>
  <c r="BG37" i="10" s="1"/>
  <c r="BH37" i="10" a="1"/>
  <c r="BH37" i="10" s="1"/>
  <c r="BI37" i="10" a="1"/>
  <c r="BI37" i="10" s="1"/>
  <c r="BJ37" i="10" a="1"/>
  <c r="BJ37" i="10" s="1"/>
  <c r="BK37" i="10" a="1"/>
  <c r="BK37" i="10" s="1"/>
  <c r="BL37" i="10" a="1"/>
  <c r="BL37" i="10" s="1"/>
  <c r="BM37" i="10" a="1"/>
  <c r="BM37" i="10" s="1"/>
  <c r="BN37" i="10" a="1"/>
  <c r="BN37" i="10" s="1"/>
  <c r="BC38" i="10" a="1"/>
  <c r="BC38" i="10" s="1"/>
  <c r="BD38" i="10" a="1"/>
  <c r="BD38" i="10" s="1"/>
  <c r="BE38" i="10" a="1"/>
  <c r="BE38" i="10" s="1"/>
  <c r="BF38" i="10" a="1"/>
  <c r="BF38" i="10" s="1"/>
  <c r="BG38" i="10" a="1"/>
  <c r="BG38" i="10" s="1"/>
  <c r="BH38" i="10" a="1"/>
  <c r="BH38" i="10" s="1"/>
  <c r="BI38" i="10" a="1"/>
  <c r="BI38" i="10" s="1"/>
  <c r="BJ38" i="10" a="1"/>
  <c r="BJ38" i="10" s="1"/>
  <c r="BK38" i="10" a="1"/>
  <c r="BK38" i="10" s="1"/>
  <c r="BL38" i="10" a="1"/>
  <c r="BL38" i="10" s="1"/>
  <c r="BM38" i="10" a="1"/>
  <c r="BM38" i="10" s="1"/>
  <c r="BN38" i="10" a="1"/>
  <c r="BN38" i="10" s="1"/>
  <c r="BC39" i="10" a="1"/>
  <c r="BC39" i="10" s="1"/>
  <c r="BJ39" i="10" a="1"/>
  <c r="BJ39" i="10" s="1"/>
  <c r="BK39" i="10" a="1"/>
  <c r="BK39" i="10" s="1"/>
  <c r="BL39" i="10" a="1"/>
  <c r="BL39" i="10" s="1"/>
  <c r="BM39" i="10" a="1"/>
  <c r="BM39" i="10" s="1"/>
  <c r="BN39" i="10" a="1"/>
  <c r="BN39" i="10" s="1"/>
  <c r="BC40" i="10" a="1"/>
  <c r="BC40" i="10" s="1"/>
  <c r="BD40" i="10" a="1"/>
  <c r="BD40" i="10" s="1"/>
  <c r="BE40" i="10" a="1"/>
  <c r="BE40" i="10" s="1"/>
  <c r="BF40" i="10" a="1"/>
  <c r="BF40" i="10" s="1"/>
  <c r="BG40" i="10" a="1"/>
  <c r="BG40" i="10" s="1"/>
  <c r="BH40" i="10" a="1"/>
  <c r="BH40" i="10" s="1"/>
  <c r="BI40" i="10" a="1"/>
  <c r="BI40" i="10" s="1"/>
  <c r="BJ40" i="10" a="1"/>
  <c r="BJ40" i="10" s="1"/>
  <c r="BK40" i="10" a="1"/>
  <c r="BK40" i="10" s="1"/>
  <c r="BL40" i="10" a="1"/>
  <c r="BL40" i="10" s="1"/>
  <c r="BM40" i="10" a="1"/>
  <c r="BM40" i="10" s="1"/>
  <c r="BN40" i="10" a="1"/>
  <c r="BN40" i="10" s="1"/>
  <c r="BD51" i="10" a="1"/>
  <c r="BD51" i="10" s="1"/>
  <c r="BE51" i="10" a="1"/>
  <c r="BE51" i="10" s="1"/>
  <c r="BF51" i="10" a="1"/>
  <c r="BF51" i="10" s="1"/>
  <c r="BG51" i="10" a="1"/>
  <c r="BG51" i="10" s="1"/>
  <c r="BH51" i="10" a="1"/>
  <c r="BH51" i="10" s="1"/>
  <c r="BI51" i="10" a="1"/>
  <c r="BI51" i="10" s="1"/>
  <c r="BJ51" i="10" a="1"/>
  <c r="BJ51" i="10" s="1"/>
  <c r="BK51" i="10" a="1"/>
  <c r="BK51" i="10" s="1"/>
  <c r="BL51" i="10" a="1"/>
  <c r="BL51" i="10" s="1"/>
  <c r="BM51" i="10" a="1"/>
  <c r="BM51" i="10" s="1"/>
  <c r="BN51" i="10" a="1"/>
  <c r="BN51" i="10" s="1"/>
  <c r="BO51" i="10" a="1"/>
  <c r="BO51" i="10" s="1"/>
  <c r="BD52" i="10" a="1"/>
  <c r="BD52" i="10" s="1"/>
  <c r="BE52" i="10" a="1"/>
  <c r="BE52" i="10" s="1"/>
  <c r="BF52" i="10" a="1"/>
  <c r="BF52" i="10" s="1"/>
  <c r="BG52" i="10" a="1"/>
  <c r="BG52" i="10" s="1"/>
  <c r="BH52" i="10" a="1"/>
  <c r="BH52" i="10" s="1"/>
  <c r="BI52" i="10" a="1"/>
  <c r="BI52" i="10" s="1"/>
  <c r="BJ52" i="10" a="1"/>
  <c r="BJ52" i="10" s="1"/>
  <c r="BK52" i="10" a="1"/>
  <c r="BK52" i="10" s="1"/>
  <c r="BL52" i="10" a="1"/>
  <c r="BL52" i="10" s="1"/>
  <c r="BM52" i="10" a="1"/>
  <c r="BM52" i="10" s="1"/>
  <c r="BN52" i="10" a="1"/>
  <c r="BN52" i="10" s="1"/>
  <c r="BO52" i="10" a="1"/>
  <c r="BO52" i="10" s="1"/>
  <c r="BD53" i="10" a="1"/>
  <c r="BD53" i="10" s="1"/>
  <c r="BE53" i="10" a="1"/>
  <c r="BE53" i="10" s="1"/>
  <c r="BF53" i="10" a="1"/>
  <c r="BF53" i="10" s="1"/>
  <c r="BG53" i="10" a="1"/>
  <c r="BG53" i="10" s="1"/>
  <c r="BH53" i="10" a="1"/>
  <c r="BH53" i="10" s="1"/>
  <c r="BI53" i="10" a="1"/>
  <c r="BI53" i="10" s="1"/>
  <c r="BJ53" i="10" a="1"/>
  <c r="BJ53" i="10" s="1"/>
  <c r="BK53" i="10" a="1"/>
  <c r="BK53" i="10" s="1"/>
  <c r="BL53" i="10" a="1"/>
  <c r="BL53" i="10" s="1"/>
  <c r="BM53" i="10" a="1"/>
  <c r="BM53" i="10" s="1"/>
  <c r="BN53" i="10" a="1"/>
  <c r="BN53" i="10" s="1"/>
  <c r="BO53" i="10" a="1"/>
  <c r="BO53" i="10" s="1"/>
  <c r="BD54" i="10" a="1"/>
  <c r="BD54" i="10" s="1"/>
  <c r="BE54" i="10" a="1"/>
  <c r="BE54" i="10" s="1"/>
  <c r="BF54" i="10" a="1"/>
  <c r="BF54" i="10" s="1"/>
  <c r="BG54" i="10" a="1"/>
  <c r="BG54" i="10" s="1"/>
  <c r="BH54" i="10" a="1"/>
  <c r="BH54" i="10" s="1"/>
  <c r="BI54" i="10" a="1"/>
  <c r="BI54" i="10" s="1"/>
  <c r="BJ54" i="10" a="1"/>
  <c r="BJ54" i="10" s="1"/>
  <c r="BK54" i="10" a="1"/>
  <c r="BK54" i="10" s="1"/>
  <c r="BL54" i="10" a="1"/>
  <c r="BL54" i="10" s="1"/>
  <c r="BM54" i="10" a="1"/>
  <c r="BM54" i="10" s="1"/>
  <c r="BN54" i="10" a="1"/>
  <c r="BN54" i="10" s="1"/>
  <c r="BO54" i="10" a="1"/>
  <c r="BO54" i="10" s="1"/>
  <c r="BC44" i="10" a="1"/>
  <c r="BC44" i="10" s="1"/>
  <c r="BD44" i="10" a="1"/>
  <c r="BD44" i="10" s="1"/>
  <c r="BE44" i="10" a="1"/>
  <c r="BE44" i="10" s="1"/>
  <c r="BF44" i="10" a="1"/>
  <c r="BF44" i="10" s="1"/>
  <c r="BG44" i="10" a="1"/>
  <c r="BG44" i="10" s="1"/>
  <c r="BH44" i="10" a="1"/>
  <c r="BH44" i="10" s="1"/>
  <c r="BI44" i="10" a="1"/>
  <c r="BI44" i="10" s="1"/>
  <c r="BJ44" i="10" a="1"/>
  <c r="BJ44" i="10" s="1"/>
  <c r="BK44" i="10" a="1"/>
  <c r="BK44" i="10" s="1"/>
  <c r="BL44" i="10" a="1"/>
  <c r="BL44" i="10" s="1"/>
  <c r="BM44" i="10" a="1"/>
  <c r="BM44" i="10" s="1"/>
  <c r="BN44" i="10" a="1"/>
  <c r="BN44" i="10" s="1"/>
  <c r="BO44" i="10" a="1"/>
  <c r="BO44" i="10" s="1"/>
  <c r="BC45" i="10" a="1"/>
  <c r="BC45" i="10" s="1"/>
  <c r="BD45" i="10" a="1"/>
  <c r="BD45" i="10" s="1"/>
  <c r="BE45" i="10" a="1"/>
  <c r="BE45" i="10" s="1"/>
  <c r="BF45" i="10" a="1"/>
  <c r="BF45" i="10" s="1"/>
  <c r="BG45" i="10" a="1"/>
  <c r="BG45" i="10" s="1"/>
  <c r="BH45" i="10" a="1"/>
  <c r="BH45" i="10" s="1"/>
  <c r="BI45" i="10" a="1"/>
  <c r="BI45" i="10" s="1"/>
  <c r="BJ45" i="10" a="1"/>
  <c r="BJ45" i="10" s="1"/>
  <c r="BK45" i="10" a="1"/>
  <c r="BK45" i="10" s="1"/>
  <c r="BL45" i="10" a="1"/>
  <c r="BL45" i="10" s="1"/>
  <c r="BM45" i="10" a="1"/>
  <c r="BM45" i="10" s="1"/>
  <c r="BN45" i="10" a="1"/>
  <c r="BN45" i="10" s="1"/>
  <c r="BO45" i="10" a="1"/>
  <c r="BO45" i="10" s="1"/>
  <c r="BC46" i="10" a="1"/>
  <c r="BC46" i="10" s="1"/>
  <c r="BD46" i="10" a="1"/>
  <c r="BD46" i="10" s="1"/>
  <c r="BE46" i="10" a="1"/>
  <c r="BE46" i="10" s="1"/>
  <c r="BF46" i="10" a="1"/>
  <c r="BF46" i="10" s="1"/>
  <c r="BG46" i="10" a="1"/>
  <c r="BG46" i="10" s="1"/>
  <c r="BH46" i="10" a="1"/>
  <c r="BH46" i="10" s="1"/>
  <c r="BI46" i="10" a="1"/>
  <c r="BI46" i="10" s="1"/>
  <c r="BJ46" i="10" a="1"/>
  <c r="BJ46" i="10" s="1"/>
  <c r="BK46" i="10" a="1"/>
  <c r="BK46" i="10" s="1"/>
  <c r="BL46" i="10" a="1"/>
  <c r="BL46" i="10" s="1"/>
  <c r="BM46" i="10" a="1"/>
  <c r="BM46" i="10" s="1"/>
  <c r="BN46" i="10" a="1"/>
  <c r="BN46" i="10" s="1"/>
  <c r="BO46" i="10" a="1"/>
  <c r="BO46" i="10" s="1"/>
  <c r="BC47" i="10" a="1"/>
  <c r="BC47" i="10" s="1"/>
  <c r="BD47" i="10" a="1"/>
  <c r="BD47" i="10" s="1"/>
  <c r="BE47" i="10" a="1"/>
  <c r="BE47" i="10" s="1"/>
  <c r="BF47" i="10" a="1"/>
  <c r="BF47" i="10" s="1"/>
  <c r="BG47" i="10" a="1"/>
  <c r="BG47" i="10" s="1"/>
  <c r="BH47" i="10" a="1"/>
  <c r="BH47" i="10" s="1"/>
  <c r="BI47" i="10" a="1"/>
  <c r="BI47" i="10" s="1"/>
  <c r="BJ47" i="10" a="1"/>
  <c r="BJ47" i="10" s="1"/>
  <c r="BK47" i="10" a="1"/>
  <c r="BK47" i="10" s="1"/>
  <c r="BL47" i="10" a="1"/>
  <c r="BL47" i="10" s="1"/>
  <c r="BM47" i="10" a="1"/>
  <c r="BM47" i="10" s="1"/>
  <c r="BN47" i="10" a="1"/>
  <c r="BN47" i="10" s="1"/>
  <c r="BO47" i="10" a="1"/>
  <c r="BO47" i="10" s="1"/>
  <c r="I532" i="6"/>
  <c r="BA39" i="10" s="1" a="1"/>
  <c r="BA39" i="10" s="1"/>
  <c r="L532" i="6"/>
  <c r="L511" i="6"/>
  <c r="I511" i="6"/>
  <c r="P133" i="6"/>
  <c r="BH39" i="10" s="1" a="1"/>
  <c r="BH39" i="10" s="1"/>
  <c r="S133" i="6"/>
  <c r="P112" i="6"/>
  <c r="BG39" i="10" s="1" a="1"/>
  <c r="BG39" i="10" s="1"/>
  <c r="S112" i="6"/>
  <c r="P91" i="6"/>
  <c r="BF39" i="10" s="1" a="1"/>
  <c r="BF39" i="10" s="1"/>
  <c r="S91" i="6"/>
  <c r="P70" i="6"/>
  <c r="BE39" i="10" s="1" a="1"/>
  <c r="BE39" i="10" s="1"/>
  <c r="S70" i="6"/>
  <c r="P49" i="6"/>
  <c r="BD39" i="10" s="1" a="1"/>
  <c r="BD39" i="10" s="1"/>
  <c r="S49" i="6"/>
  <c r="P7" i="6"/>
  <c r="BB39" i="10" s="1" a="1"/>
  <c r="BB39" i="10" s="1"/>
  <c r="S7" i="6"/>
  <c r="BB54" i="10" a="1"/>
  <c r="BB54" i="10" s="1"/>
  <c r="BB53" i="10" a="1"/>
  <c r="BB53" i="10" s="1"/>
  <c r="BB52" i="10" a="1"/>
  <c r="BB52" i="10" s="1"/>
  <c r="BB51" i="10" a="1"/>
  <c r="BB51" i="10" s="1"/>
  <c r="BB47" i="10" a="1"/>
  <c r="BB47" i="10" s="1"/>
  <c r="BB46" i="10" a="1"/>
  <c r="BB46" i="10" s="1"/>
  <c r="BB45" i="10" a="1"/>
  <c r="BB45" i="10" s="1"/>
  <c r="BB44" i="10" a="1"/>
  <c r="BB44" i="10" s="1"/>
  <c r="BB40" i="10" a="1"/>
  <c r="BB40" i="10" s="1"/>
  <c r="BB38" i="10" a="1"/>
  <c r="BB38" i="10" s="1"/>
  <c r="BB37" i="10" a="1"/>
  <c r="BB37" i="10" s="1"/>
  <c r="BB33" i="10" a="1"/>
  <c r="BB33" i="10" s="1"/>
  <c r="BB32" i="10" a="1"/>
  <c r="BB32" i="10" s="1"/>
  <c r="BB30" i="10" a="1"/>
  <c r="BB30" i="10" s="1"/>
  <c r="BB26" i="10" a="1"/>
  <c r="BB26" i="10" s="1"/>
  <c r="BB25" i="10" a="1"/>
  <c r="BB25" i="10" s="1"/>
  <c r="BB24" i="10" a="1"/>
  <c r="BB24" i="10" s="1"/>
  <c r="BB23" i="10" a="1"/>
  <c r="BB23" i="10" s="1"/>
  <c r="BB19" i="10" a="1"/>
  <c r="BB19" i="10" s="1"/>
  <c r="BB18" i="10" a="1"/>
  <c r="BB18" i="10" s="1"/>
  <c r="BB17" i="10" a="1"/>
  <c r="BB17" i="10" s="1"/>
  <c r="BB16" i="10" a="1"/>
  <c r="BB16" i="10" s="1"/>
  <c r="BB12" i="10" a="1"/>
  <c r="BB12" i="10" s="1"/>
  <c r="BB11" i="10" a="1"/>
  <c r="BB11" i="10" s="1"/>
  <c r="BB10" i="10" a="1"/>
  <c r="BB10" i="10" s="1"/>
  <c r="BB9" i="10" a="1"/>
  <c r="BB9" i="10" s="1"/>
  <c r="BB5" i="10" a="1"/>
  <c r="BB5" i="10" s="1"/>
  <c r="BB3" i="10" a="1"/>
  <c r="BB3" i="10" s="1"/>
  <c r="BB2" i="10" a="1"/>
  <c r="BB2" i="10" s="1"/>
  <c r="AZ5" i="10" a="1"/>
  <c r="AZ5" i="10" s="1"/>
  <c r="AZ4" i="10" a="1"/>
  <c r="AZ4" i="10" s="1"/>
  <c r="AZ3" i="10" a="1"/>
  <c r="AZ3" i="10" s="1"/>
  <c r="AZ2" i="10" a="1"/>
  <c r="AZ2" i="10" s="1"/>
  <c r="BB4" i="10" a="1"/>
  <c r="BB4" i="10" s="1"/>
  <c r="BA23" i="10" a="1"/>
  <c r="BA23" i="10" s="1"/>
  <c r="BA24" i="10" a="1"/>
  <c r="BA24" i="10" s="1"/>
  <c r="BA25" i="10" a="1"/>
  <c r="BA25" i="10" s="1"/>
  <c r="BA26" i="10" a="1"/>
  <c r="BA26" i="10" s="1"/>
  <c r="BA30" i="10" a="1"/>
  <c r="BA30" i="10" s="1"/>
  <c r="BA31" i="10" a="1"/>
  <c r="BA31" i="10" s="1"/>
  <c r="BA32" i="10" a="1"/>
  <c r="BA32" i="10" s="1"/>
  <c r="BA33" i="10" a="1"/>
  <c r="BA33" i="10" s="1"/>
  <c r="BA37" i="10" a="1"/>
  <c r="BA37" i="10" s="1"/>
  <c r="BA38" i="10" a="1"/>
  <c r="BA38" i="10" s="1"/>
  <c r="BA40" i="10" a="1"/>
  <c r="BA40" i="10" s="1"/>
  <c r="BA44" i="10" a="1"/>
  <c r="BA44" i="10" s="1"/>
  <c r="BA45" i="10" a="1"/>
  <c r="BA45" i="10" s="1"/>
  <c r="BA46" i="10" a="1"/>
  <c r="BA46" i="10" s="1"/>
  <c r="BA47" i="10" a="1"/>
  <c r="BA47" i="10" s="1"/>
  <c r="BA51" i="10" a="1"/>
  <c r="BA51" i="10" s="1"/>
  <c r="BA52" i="10" a="1"/>
  <c r="BA52" i="10" s="1"/>
  <c r="BA53" i="10" a="1"/>
  <c r="BA53" i="10" s="1"/>
  <c r="BA54" i="10" a="1"/>
  <c r="BA54" i="10" s="1"/>
  <c r="BA12" i="10" a="1"/>
  <c r="BA12" i="10" s="1"/>
  <c r="BA11" i="10" a="1"/>
  <c r="BA11" i="10" s="1"/>
  <c r="BA10" i="10" a="1"/>
  <c r="BA10" i="10" s="1"/>
  <c r="BA9" i="10" a="1"/>
  <c r="BA9" i="10" s="1"/>
  <c r="BA5" i="10" a="1"/>
  <c r="BA5" i="10" s="1"/>
  <c r="BA4" i="10" a="1"/>
  <c r="BA4" i="10" s="1"/>
  <c r="BA3" i="10" a="1"/>
  <c r="BA3" i="10" s="1"/>
  <c r="BA2" i="10" a="1"/>
  <c r="BA2" i="10" s="1"/>
  <c r="P154" i="6"/>
  <c r="BI39" i="10" s="1" a="1"/>
  <c r="BI39" i="10" s="1"/>
  <c r="S154" i="6"/>
  <c r="P39" i="3" l="1"/>
  <c r="P30" i="3"/>
  <c r="P31" i="3"/>
  <c r="P25" i="3"/>
  <c r="P24" i="3"/>
  <c r="P28" i="3" s="1"/>
  <c r="BC18" i="10" s="1" a="1"/>
  <c r="BC18" i="10" s="1"/>
  <c r="P34" i="8"/>
  <c r="P33" i="8"/>
  <c r="P32" i="8"/>
  <c r="P31" i="8"/>
  <c r="P30" i="8"/>
  <c r="P36" i="8"/>
  <c r="P25" i="8"/>
  <c r="P24" i="8"/>
  <c r="P29" i="8" s="1"/>
  <c r="BC54" i="10" s="1" a="1"/>
  <c r="BC54" i="10" s="1"/>
  <c r="I542" i="3"/>
  <c r="I541" i="3"/>
  <c r="I540" i="3"/>
  <c r="I538" i="3"/>
  <c r="I536" i="3"/>
  <c r="I535" i="3"/>
  <c r="I534" i="3"/>
  <c r="I529" i="3"/>
  <c r="I528" i="3"/>
  <c r="I533" i="3" s="1"/>
  <c r="BA19" i="10" s="1" a="1"/>
  <c r="BA19" i="10" s="1"/>
  <c r="L490" i="6"/>
  <c r="I490" i="6"/>
  <c r="AY39" i="10" s="1" a="1"/>
  <c r="AY39" i="10" s="1"/>
  <c r="AX11" i="10" a="1"/>
  <c r="AX11" i="10" s="1"/>
  <c r="AY11" i="10" a="1"/>
  <c r="AY11" i="10" s="1"/>
  <c r="AY2" i="10" a="1"/>
  <c r="AY2" i="10" s="1"/>
  <c r="AY3" i="10" a="1"/>
  <c r="AY3" i="10" s="1"/>
  <c r="AY4" i="10" a="1"/>
  <c r="AY4" i="10" s="1"/>
  <c r="AY5" i="10" a="1"/>
  <c r="AY5" i="10" s="1"/>
  <c r="AY9" i="10" a="1"/>
  <c r="AY9" i="10" s="1"/>
  <c r="AZ9" i="10" a="1"/>
  <c r="AZ9" i="10" s="1"/>
  <c r="AY10" i="10" a="1"/>
  <c r="AY10" i="10" s="1"/>
  <c r="AZ10" i="10" a="1"/>
  <c r="AZ10" i="10" s="1"/>
  <c r="AZ11" i="10" a="1"/>
  <c r="AZ11" i="10" s="1"/>
  <c r="AY12" i="10" a="1"/>
  <c r="AY12" i="10" s="1"/>
  <c r="AZ12" i="10" a="1"/>
  <c r="AZ12" i="10" s="1"/>
  <c r="AZ16" i="10" a="1"/>
  <c r="AZ16" i="10" s="1"/>
  <c r="AZ17" i="10" a="1"/>
  <c r="AZ17" i="10" s="1"/>
  <c r="AZ18" i="10" a="1"/>
  <c r="AZ18" i="10" s="1"/>
  <c r="AY19" i="10" a="1"/>
  <c r="AY19" i="10" s="1"/>
  <c r="AZ19" i="10" a="1"/>
  <c r="AZ19" i="10" s="1"/>
  <c r="AY23" i="10" a="1"/>
  <c r="AY23" i="10" s="1"/>
  <c r="AZ23" i="10" a="1"/>
  <c r="AZ23" i="10" s="1"/>
  <c r="AY24" i="10" a="1"/>
  <c r="AY24" i="10" s="1"/>
  <c r="AZ24" i="10" a="1"/>
  <c r="AZ24" i="10" s="1"/>
  <c r="AY25" i="10" a="1"/>
  <c r="AY25" i="10" s="1"/>
  <c r="AZ25" i="10" a="1"/>
  <c r="AZ25" i="10" s="1"/>
  <c r="AY26" i="10" a="1"/>
  <c r="AY26" i="10" s="1"/>
  <c r="AZ26" i="10" a="1"/>
  <c r="AZ26" i="10" s="1"/>
  <c r="AY30" i="10" a="1"/>
  <c r="AY30" i="10" s="1"/>
  <c r="AZ30" i="10" a="1"/>
  <c r="AZ30" i="10" s="1"/>
  <c r="AY31" i="10" a="1"/>
  <c r="AY31" i="10" s="1"/>
  <c r="AZ31" i="10" a="1"/>
  <c r="AZ31" i="10" s="1"/>
  <c r="AY32" i="10" a="1"/>
  <c r="AY32" i="10" s="1"/>
  <c r="AZ32" i="10" a="1"/>
  <c r="AZ32" i="10" s="1"/>
  <c r="AY33" i="10" a="1"/>
  <c r="AY33" i="10" s="1"/>
  <c r="AZ33" i="10" a="1"/>
  <c r="AZ33" i="10" s="1"/>
  <c r="AY37" i="10" a="1"/>
  <c r="AY37" i="10" s="1"/>
  <c r="AZ37" i="10" a="1"/>
  <c r="AZ37" i="10" s="1"/>
  <c r="AY38" i="10" a="1"/>
  <c r="AY38" i="10" s="1"/>
  <c r="AZ38" i="10" a="1"/>
  <c r="AZ38" i="10" s="1"/>
  <c r="AZ39" i="10" a="1"/>
  <c r="AZ39" i="10" s="1"/>
  <c r="AY40" i="10" a="1"/>
  <c r="AY40" i="10" s="1"/>
  <c r="AZ40" i="10" a="1"/>
  <c r="AZ40" i="10" s="1"/>
  <c r="AZ44" i="10" a="1"/>
  <c r="AZ44" i="10" s="1"/>
  <c r="AZ45" i="10" a="1"/>
  <c r="AZ45" i="10" s="1"/>
  <c r="AZ46" i="10" a="1"/>
  <c r="AZ46" i="10" s="1"/>
  <c r="AY47" i="10" a="1"/>
  <c r="AY47" i="10" s="1"/>
  <c r="AZ47" i="10" a="1"/>
  <c r="AZ47" i="10" s="1"/>
  <c r="AY51" i="10" a="1"/>
  <c r="AY51" i="10" s="1"/>
  <c r="AZ51" i="10" a="1"/>
  <c r="AZ51" i="10" s="1"/>
  <c r="AY52" i="10" a="1"/>
  <c r="AY52" i="10" s="1"/>
  <c r="AZ52" i="10" a="1"/>
  <c r="AZ52" i="10" s="1"/>
  <c r="AY53" i="10" a="1"/>
  <c r="AY53" i="10" s="1"/>
  <c r="AZ53" i="10" a="1"/>
  <c r="AZ53" i="10" s="1"/>
  <c r="AY54" i="10" a="1"/>
  <c r="AY54" i="10" s="1"/>
  <c r="AZ54" i="10" a="1"/>
  <c r="AZ54" i="10" s="1"/>
  <c r="I487" i="3"/>
  <c r="I486" i="3"/>
  <c r="I490" i="3" s="1"/>
  <c r="AY18" i="10" s="1" a="1"/>
  <c r="AY18" i="10" s="1"/>
  <c r="I499" i="7"/>
  <c r="I500" i="7"/>
  <c r="I498" i="7"/>
  <c r="I487" i="7"/>
  <c r="I486" i="7"/>
  <c r="I489" i="7" s="1"/>
  <c r="AY45" i="10" s="1" a="1"/>
  <c r="AY45" i="10" s="1"/>
  <c r="P26" i="3" l="1"/>
  <c r="BC16" i="10" s="1" a="1"/>
  <c r="BC16" i="10" s="1"/>
  <c r="I488" i="7"/>
  <c r="AY44" i="10" s="1" a="1"/>
  <c r="AY44" i="10" s="1"/>
  <c r="I490" i="7"/>
  <c r="AY46" i="10" s="1" a="1"/>
  <c r="AY46" i="10" s="1"/>
  <c r="P26" i="8"/>
  <c r="BC51" i="10" s="1" a="1"/>
  <c r="BC51" i="10" s="1"/>
  <c r="I530" i="3"/>
  <c r="BA16" i="10" s="1" a="1"/>
  <c r="BA16" i="10" s="1"/>
  <c r="P27" i="3"/>
  <c r="BC17" i="10" s="1" a="1"/>
  <c r="BC17" i="10" s="1"/>
  <c r="P29" i="3"/>
  <c r="BC19" i="10" s="1" a="1"/>
  <c r="BC19" i="10" s="1"/>
  <c r="P28" i="8"/>
  <c r="BC53" i="10" s="1" a="1"/>
  <c r="BC53" i="10" s="1"/>
  <c r="P27" i="8"/>
  <c r="BC52" i="10" s="1" a="1"/>
  <c r="BC52" i="10" s="1"/>
  <c r="I488" i="3"/>
  <c r="AY16" i="10" s="1" a="1"/>
  <c r="AY16" i="10" s="1"/>
  <c r="I532" i="3"/>
  <c r="BA18" i="10" s="1" a="1"/>
  <c r="BA18" i="10" s="1"/>
  <c r="I531" i="3"/>
  <c r="BA17" i="10" s="1" a="1"/>
  <c r="BA17" i="10" s="1"/>
  <c r="I489" i="3"/>
  <c r="AY17" i="10" s="1" a="1"/>
  <c r="AY17" i="10" s="1"/>
  <c r="I429" i="3"/>
  <c r="I424" i="3"/>
  <c r="I437" i="3"/>
  <c r="I436" i="3"/>
  <c r="I435" i="3"/>
  <c r="DR54" i="10" a="1"/>
  <c r="DR54" i="10" s="1"/>
  <c r="DR53" i="10" a="1"/>
  <c r="DR53" i="10" s="1"/>
  <c r="DR52" i="10" a="1"/>
  <c r="DR52" i="10" s="1"/>
  <c r="DR51" i="10" a="1"/>
  <c r="DR51" i="10" s="1"/>
  <c r="DR47" i="10" a="1"/>
  <c r="DR47" i="10" s="1"/>
  <c r="DR46" i="10" a="1"/>
  <c r="DR46" i="10" s="1"/>
  <c r="DR45" i="10" a="1"/>
  <c r="DR45" i="10" s="1"/>
  <c r="DR44" i="10" a="1"/>
  <c r="DR44" i="10" s="1"/>
  <c r="DR40" i="10" a="1"/>
  <c r="DR40" i="10" s="1"/>
  <c r="DR39" i="10" a="1"/>
  <c r="DR39" i="10" s="1"/>
  <c r="DR38" i="10" a="1"/>
  <c r="DR38" i="10" s="1"/>
  <c r="DR37" i="10" a="1"/>
  <c r="DR37" i="10" s="1"/>
  <c r="DR26" i="10" a="1"/>
  <c r="DR26" i="10" s="1"/>
  <c r="Y35" i="10"/>
  <c r="DR12" i="10" a="1"/>
  <c r="DR12" i="10" s="1"/>
  <c r="DQ12" i="10" a="1"/>
  <c r="DQ12" i="10" s="1"/>
  <c r="DP12" i="10" a="1"/>
  <c r="DP12" i="10" s="1"/>
  <c r="AX12" i="10" a="1"/>
  <c r="AX12" i="10" s="1"/>
  <c r="AW12" i="10" a="1"/>
  <c r="AW12" i="10" s="1"/>
  <c r="AV12" i="10" a="1"/>
  <c r="AV12" i="10" s="1"/>
  <c r="AU12" i="10" a="1"/>
  <c r="AU12" i="10" s="1"/>
  <c r="AT12" i="10" a="1"/>
  <c r="AT12" i="10" s="1"/>
  <c r="AS12" i="10" a="1"/>
  <c r="AS12" i="10" s="1"/>
  <c r="AR12" i="10" a="1"/>
  <c r="AR12" i="10" s="1"/>
  <c r="AQ12" i="10" a="1"/>
  <c r="AQ12" i="10" s="1"/>
  <c r="AP12" i="10" a="1"/>
  <c r="AP12" i="10" s="1"/>
  <c r="AO12" i="10" a="1"/>
  <c r="AO12" i="10" s="1"/>
  <c r="AN12" i="10" a="1"/>
  <c r="AN12" i="10" s="1"/>
  <c r="AM12" i="10" a="1"/>
  <c r="AM12" i="10" s="1"/>
  <c r="AL12" i="10" a="1"/>
  <c r="AL12" i="10" s="1"/>
  <c r="AK12" i="10" a="1"/>
  <c r="AK12" i="10" s="1"/>
  <c r="AJ12" i="10" a="1"/>
  <c r="AJ12" i="10" s="1"/>
  <c r="AI12" i="10" a="1"/>
  <c r="AI12" i="10" s="1"/>
  <c r="AH12" i="10" a="1"/>
  <c r="AH12" i="10" s="1"/>
  <c r="AG12" i="10" a="1"/>
  <c r="AG12" i="10" s="1"/>
  <c r="AF12" i="10" a="1"/>
  <c r="AF12" i="10" s="1"/>
  <c r="AE12" i="10" a="1"/>
  <c r="AE12" i="10" s="1"/>
  <c r="AD12" i="10" a="1"/>
  <c r="AD12" i="10" s="1"/>
  <c r="AC12" i="10" a="1"/>
  <c r="AC12" i="10" s="1"/>
  <c r="AB12" i="10" a="1"/>
  <c r="AB12" i="10" s="1"/>
  <c r="DR11" i="10" a="1"/>
  <c r="DR11" i="10" s="1"/>
  <c r="DQ11" i="10" a="1"/>
  <c r="DQ11" i="10" s="1"/>
  <c r="DP11" i="10" a="1"/>
  <c r="DP11" i="10" s="1"/>
  <c r="AW11" i="10" a="1"/>
  <c r="AW11" i="10" s="1"/>
  <c r="AV11" i="10" a="1"/>
  <c r="AV11" i="10" s="1"/>
  <c r="AU11" i="10" a="1"/>
  <c r="AU11" i="10" s="1"/>
  <c r="AT11" i="10" a="1"/>
  <c r="AT11" i="10" s="1"/>
  <c r="AS11" i="10" a="1"/>
  <c r="AS11" i="10" s="1"/>
  <c r="AR11" i="10" a="1"/>
  <c r="AR11" i="10" s="1"/>
  <c r="AQ11" i="10" a="1"/>
  <c r="AQ11" i="10" s="1"/>
  <c r="AP11" i="10" a="1"/>
  <c r="AP11" i="10" s="1"/>
  <c r="AO11" i="10" a="1"/>
  <c r="AO11" i="10" s="1"/>
  <c r="AN11" i="10" a="1"/>
  <c r="AN11" i="10" s="1"/>
  <c r="AM11" i="10" a="1"/>
  <c r="AM11" i="10" s="1"/>
  <c r="AL11" i="10" a="1"/>
  <c r="AL11" i="10" s="1"/>
  <c r="AK11" i="10" a="1"/>
  <c r="AK11" i="10" s="1"/>
  <c r="AJ11" i="10" a="1"/>
  <c r="AJ11" i="10" s="1"/>
  <c r="AI11" i="10" a="1"/>
  <c r="AI11" i="10" s="1"/>
  <c r="AH11" i="10" a="1"/>
  <c r="AH11" i="10" s="1"/>
  <c r="AG11" i="10" a="1"/>
  <c r="AG11" i="10" s="1"/>
  <c r="AF11" i="10" a="1"/>
  <c r="AF11" i="10" s="1"/>
  <c r="AE11" i="10" a="1"/>
  <c r="AE11" i="10" s="1"/>
  <c r="AD11" i="10" a="1"/>
  <c r="AD11" i="10" s="1"/>
  <c r="AC11" i="10" a="1"/>
  <c r="AC11" i="10" s="1"/>
  <c r="AB11" i="10" a="1"/>
  <c r="AB11" i="10" s="1"/>
  <c r="DR10" i="10" a="1"/>
  <c r="DR10" i="10" s="1"/>
  <c r="DQ10" i="10" a="1"/>
  <c r="DQ10" i="10" s="1"/>
  <c r="DP10" i="10" a="1"/>
  <c r="DP10" i="10" s="1"/>
  <c r="AX10" i="10" a="1"/>
  <c r="AX10" i="10" s="1"/>
  <c r="AW10" i="10" a="1"/>
  <c r="AW10" i="10" s="1"/>
  <c r="AV10" i="10" a="1"/>
  <c r="AV10" i="10" s="1"/>
  <c r="AU10" i="10" a="1"/>
  <c r="AU10" i="10" s="1"/>
  <c r="AT10" i="10" a="1"/>
  <c r="AT10" i="10" s="1"/>
  <c r="AS10" i="10" a="1"/>
  <c r="AS10" i="10" s="1"/>
  <c r="AR10" i="10" a="1"/>
  <c r="AR10" i="10" s="1"/>
  <c r="AQ10" i="10" a="1"/>
  <c r="AQ10" i="10" s="1"/>
  <c r="AP10" i="10" a="1"/>
  <c r="AP10" i="10" s="1"/>
  <c r="AO10" i="10" a="1"/>
  <c r="AO10" i="10" s="1"/>
  <c r="AN10" i="10" a="1"/>
  <c r="AN10" i="10" s="1"/>
  <c r="AM10" i="10" a="1"/>
  <c r="AM10" i="10" s="1"/>
  <c r="AL10" i="10" a="1"/>
  <c r="AL10" i="10" s="1"/>
  <c r="AK10" i="10" a="1"/>
  <c r="AK10" i="10" s="1"/>
  <c r="AJ10" i="10" a="1"/>
  <c r="AJ10" i="10" s="1"/>
  <c r="AI10" i="10" a="1"/>
  <c r="AI10" i="10" s="1"/>
  <c r="AH10" i="10" a="1"/>
  <c r="AH10" i="10" s="1"/>
  <c r="AG10" i="10" a="1"/>
  <c r="AG10" i="10" s="1"/>
  <c r="AF10" i="10" a="1"/>
  <c r="AF10" i="10" s="1"/>
  <c r="AE10" i="10" a="1"/>
  <c r="AE10" i="10" s="1"/>
  <c r="AD10" i="10" a="1"/>
  <c r="AD10" i="10" s="1"/>
  <c r="AC10" i="10" a="1"/>
  <c r="AC10" i="10" s="1"/>
  <c r="AB10" i="10" a="1"/>
  <c r="AB10" i="10" s="1"/>
  <c r="DR9" i="10" a="1"/>
  <c r="DR9" i="10" s="1"/>
  <c r="DQ9" i="10" a="1"/>
  <c r="DQ9" i="10" s="1"/>
  <c r="DP9" i="10" a="1"/>
  <c r="DP9" i="10" s="1"/>
  <c r="AX9" i="10" a="1"/>
  <c r="AX9" i="10" s="1"/>
  <c r="AW9" i="10" a="1"/>
  <c r="AW9" i="10" s="1"/>
  <c r="AV9" i="10" a="1"/>
  <c r="AV9" i="10" s="1"/>
  <c r="AU9" i="10" a="1"/>
  <c r="AU9" i="10" s="1"/>
  <c r="AT9" i="10" a="1"/>
  <c r="AT9" i="10" s="1"/>
  <c r="AS9" i="10" a="1"/>
  <c r="AS9" i="10" s="1"/>
  <c r="AR9" i="10" a="1"/>
  <c r="AR9" i="10" s="1"/>
  <c r="AQ9" i="10" a="1"/>
  <c r="AQ9" i="10" s="1"/>
  <c r="AP9" i="10" a="1"/>
  <c r="AP9" i="10" s="1"/>
  <c r="AO9" i="10" a="1"/>
  <c r="AO9" i="10" s="1"/>
  <c r="AN9" i="10" a="1"/>
  <c r="AN9" i="10" s="1"/>
  <c r="AM9" i="10" a="1"/>
  <c r="AM9" i="10" s="1"/>
  <c r="AL9" i="10" a="1"/>
  <c r="AL9" i="10" s="1"/>
  <c r="AK9" i="10" a="1"/>
  <c r="AK9" i="10" s="1"/>
  <c r="AJ9" i="10" a="1"/>
  <c r="AJ9" i="10" s="1"/>
  <c r="AI9" i="10" a="1"/>
  <c r="AI9" i="10" s="1"/>
  <c r="AH9" i="10" a="1"/>
  <c r="AH9" i="10" s="1"/>
  <c r="AG9" i="10" a="1"/>
  <c r="AG9" i="10" s="1"/>
  <c r="AF9" i="10" a="1"/>
  <c r="AF9" i="10" s="1"/>
  <c r="AE9" i="10" a="1"/>
  <c r="AE9" i="10" s="1"/>
  <c r="AD9" i="10" a="1"/>
  <c r="AD9" i="10" s="1"/>
  <c r="AC9" i="10" a="1"/>
  <c r="AC9" i="10" s="1"/>
  <c r="AB9" i="10" a="1"/>
  <c r="AB9" i="10" s="1"/>
  <c r="AA7" i="10"/>
  <c r="Z7" i="10"/>
  <c r="Y7" i="10"/>
  <c r="AW5" i="10" a="1"/>
  <c r="AW5" i="10" s="1"/>
  <c r="AV5" i="10" a="1"/>
  <c r="AV5" i="10" s="1"/>
  <c r="AU5" i="10" a="1"/>
  <c r="AU5" i="10" s="1"/>
  <c r="AT5" i="10" a="1"/>
  <c r="AT5" i="10" s="1"/>
  <c r="AS5" i="10" a="1"/>
  <c r="AS5" i="10" s="1"/>
  <c r="AR5" i="10" a="1"/>
  <c r="AR5" i="10" s="1"/>
  <c r="AQ5" i="10" a="1"/>
  <c r="AQ5" i="10" s="1"/>
  <c r="AP5" i="10" a="1"/>
  <c r="AP5" i="10" s="1"/>
  <c r="AO5" i="10" a="1"/>
  <c r="AO5" i="10" s="1"/>
  <c r="AN5" i="10" a="1"/>
  <c r="AN5" i="10" s="1"/>
  <c r="AM5" i="10" a="1"/>
  <c r="AM5" i="10" s="1"/>
  <c r="AL5" i="10" a="1"/>
  <c r="AL5" i="10" s="1"/>
  <c r="AK5" i="10" a="1"/>
  <c r="AK5" i="10" s="1"/>
  <c r="AJ5" i="10" a="1"/>
  <c r="AJ5" i="10" s="1"/>
  <c r="AI5" i="10" a="1"/>
  <c r="AI5" i="10" s="1"/>
  <c r="AH5" i="10" a="1"/>
  <c r="AH5" i="10" s="1"/>
  <c r="AG5" i="10" a="1"/>
  <c r="AG5" i="10" s="1"/>
  <c r="AF5" i="10" a="1"/>
  <c r="AF5" i="10" s="1"/>
  <c r="AE5" i="10" a="1"/>
  <c r="AE5" i="10" s="1"/>
  <c r="AD5" i="10" a="1"/>
  <c r="AD5" i="10" s="1"/>
  <c r="AC5" i="10" a="1"/>
  <c r="AC5" i="10" s="1"/>
  <c r="AB5" i="10" a="1"/>
  <c r="AB5" i="10" s="1"/>
  <c r="DR4" i="10" a="1"/>
  <c r="DR4" i="10" s="1"/>
  <c r="DQ4" i="10" a="1"/>
  <c r="DQ4" i="10" s="1"/>
  <c r="DP4" i="10" a="1"/>
  <c r="DP4" i="10" s="1"/>
  <c r="AX4" i="10" a="1"/>
  <c r="AX4" i="10" s="1"/>
  <c r="AW4" i="10" a="1"/>
  <c r="AW4" i="10" s="1"/>
  <c r="AV4" i="10" a="1"/>
  <c r="AV4" i="10" s="1"/>
  <c r="AU4" i="10" a="1"/>
  <c r="AU4" i="10" s="1"/>
  <c r="AT4" i="10" a="1"/>
  <c r="AT4" i="10" s="1"/>
  <c r="AS4" i="10" a="1"/>
  <c r="AS4" i="10" s="1"/>
  <c r="AR4" i="10" a="1"/>
  <c r="AR4" i="10" s="1"/>
  <c r="AQ4" i="10" a="1"/>
  <c r="AQ4" i="10" s="1"/>
  <c r="AP4" i="10" a="1"/>
  <c r="AP4" i="10" s="1"/>
  <c r="AO4" i="10" a="1"/>
  <c r="AO4" i="10" s="1"/>
  <c r="AN4" i="10" a="1"/>
  <c r="AN4" i="10" s="1"/>
  <c r="AM4" i="10" a="1"/>
  <c r="AM4" i="10" s="1"/>
  <c r="AL4" i="10" a="1"/>
  <c r="AL4" i="10" s="1"/>
  <c r="AK4" i="10" a="1"/>
  <c r="AK4" i="10" s="1"/>
  <c r="AJ4" i="10" a="1"/>
  <c r="AJ4" i="10" s="1"/>
  <c r="AI4" i="10" a="1"/>
  <c r="AI4" i="10" s="1"/>
  <c r="AH4" i="10" a="1"/>
  <c r="AH4" i="10" s="1"/>
  <c r="AG4" i="10" a="1"/>
  <c r="AG4" i="10" s="1"/>
  <c r="AF4" i="10" a="1"/>
  <c r="AF4" i="10" s="1"/>
  <c r="AE4" i="10" a="1"/>
  <c r="AE4" i="10" s="1"/>
  <c r="AD4" i="10" a="1"/>
  <c r="AD4" i="10" s="1"/>
  <c r="AC4" i="10" a="1"/>
  <c r="AC4" i="10" s="1"/>
  <c r="AB4" i="10" a="1"/>
  <c r="AB4" i="10" s="1"/>
  <c r="DR3" i="10" a="1"/>
  <c r="DR3" i="10" s="1"/>
  <c r="DQ3" i="10" a="1"/>
  <c r="DQ3" i="10" s="1"/>
  <c r="DP3" i="10" a="1"/>
  <c r="DP3" i="10" s="1"/>
  <c r="AX3" i="10" a="1"/>
  <c r="AX3" i="10" s="1"/>
  <c r="AW3" i="10" a="1"/>
  <c r="AW3" i="10" s="1"/>
  <c r="AV3" i="10" a="1"/>
  <c r="AV3" i="10" s="1"/>
  <c r="AU3" i="10" a="1"/>
  <c r="AU3" i="10" s="1"/>
  <c r="AT3" i="10" a="1"/>
  <c r="AT3" i="10" s="1"/>
  <c r="AS3" i="10" a="1"/>
  <c r="AS3" i="10" s="1"/>
  <c r="AR3" i="10" a="1"/>
  <c r="AR3" i="10" s="1"/>
  <c r="AQ3" i="10" a="1"/>
  <c r="AQ3" i="10" s="1"/>
  <c r="AP3" i="10" a="1"/>
  <c r="AP3" i="10" s="1"/>
  <c r="AO3" i="10" a="1"/>
  <c r="AO3" i="10" s="1"/>
  <c r="AN3" i="10" a="1"/>
  <c r="AN3" i="10" s="1"/>
  <c r="AM3" i="10" a="1"/>
  <c r="AM3" i="10" s="1"/>
  <c r="AL3" i="10" a="1"/>
  <c r="AL3" i="10" s="1"/>
  <c r="AK3" i="10" a="1"/>
  <c r="AK3" i="10" s="1"/>
  <c r="AJ3" i="10" a="1"/>
  <c r="AJ3" i="10" s="1"/>
  <c r="AI3" i="10" a="1"/>
  <c r="AI3" i="10" s="1"/>
  <c r="AH3" i="10" a="1"/>
  <c r="AH3" i="10" s="1"/>
  <c r="AG3" i="10" a="1"/>
  <c r="AG3" i="10" s="1"/>
  <c r="AF3" i="10" a="1"/>
  <c r="AF3" i="10" s="1"/>
  <c r="AE3" i="10" a="1"/>
  <c r="AE3" i="10" s="1"/>
  <c r="AD3" i="10" a="1"/>
  <c r="AD3" i="10" s="1"/>
  <c r="AC3" i="10" a="1"/>
  <c r="AC3" i="10" s="1"/>
  <c r="AB3" i="10" a="1"/>
  <c r="AB3" i="10" s="1"/>
  <c r="DR2" i="10" a="1"/>
  <c r="DR2" i="10" s="1"/>
  <c r="DQ2" i="10" a="1"/>
  <c r="DQ2" i="10" s="1"/>
  <c r="DP2" i="10" a="1"/>
  <c r="DP2" i="10" s="1"/>
  <c r="AX2" i="10" a="1"/>
  <c r="AX2" i="10" s="1"/>
  <c r="AW2" i="10" a="1"/>
  <c r="AW2" i="10" s="1"/>
  <c r="AV2" i="10" a="1"/>
  <c r="AV2" i="10" s="1"/>
  <c r="AU2" i="10" a="1"/>
  <c r="AU2" i="10" s="1"/>
  <c r="AT2" i="10" a="1"/>
  <c r="AT2" i="10" s="1"/>
  <c r="AS2" i="10" a="1"/>
  <c r="AS2" i="10" s="1"/>
  <c r="AR2" i="10" a="1"/>
  <c r="AR2" i="10" s="1"/>
  <c r="AQ2" i="10" a="1"/>
  <c r="AQ2" i="10" s="1"/>
  <c r="AP2" i="10" a="1"/>
  <c r="AP2" i="10" s="1"/>
  <c r="AO2" i="10" a="1"/>
  <c r="AO2" i="10" s="1"/>
  <c r="AN2" i="10" a="1"/>
  <c r="AN2" i="10" s="1"/>
  <c r="AM2" i="10" a="1"/>
  <c r="AM2" i="10" s="1"/>
  <c r="AL2" i="10" a="1"/>
  <c r="AL2" i="10" s="1"/>
  <c r="AK2" i="10" a="1"/>
  <c r="AK2" i="10" s="1"/>
  <c r="AJ2" i="10" a="1"/>
  <c r="AJ2" i="10" s="1"/>
  <c r="AI2" i="10" a="1"/>
  <c r="AI2" i="10" s="1"/>
  <c r="AH2" i="10" a="1"/>
  <c r="AH2" i="10" s="1"/>
  <c r="AG2" i="10" a="1"/>
  <c r="AG2" i="10" s="1"/>
  <c r="AF2" i="10" a="1"/>
  <c r="AF2" i="10" s="1"/>
  <c r="AE2" i="10" a="1"/>
  <c r="AE2" i="10" s="1"/>
  <c r="AD2" i="10" a="1"/>
  <c r="AD2" i="10" s="1"/>
  <c r="AC2" i="10" a="1"/>
  <c r="AC2" i="10" s="1"/>
  <c r="AB2" i="10" a="1"/>
  <c r="AB2" i="10" s="1"/>
  <c r="DR5" i="10" a="1"/>
  <c r="DR5" i="10" s="1"/>
  <c r="DQ5" i="10" a="1"/>
  <c r="DQ5" i="10" s="1"/>
  <c r="DP5" i="10" a="1"/>
  <c r="DP5" i="10" s="1"/>
  <c r="AX5" i="10" a="1"/>
  <c r="AX5" i="10" s="1"/>
  <c r="W7" i="10"/>
  <c r="X7" i="10"/>
  <c r="L448" i="6"/>
  <c r="I448" i="6"/>
  <c r="I427" i="6"/>
  <c r="L427" i="6"/>
  <c r="I423" i="3"/>
  <c r="I435" i="5"/>
  <c r="I429" i="5"/>
  <c r="I424" i="5"/>
  <c r="I423" i="5"/>
  <c r="I406" i="6"/>
  <c r="L406" i="6"/>
  <c r="I417" i="5"/>
  <c r="DR33" i="10" s="1" a="1"/>
  <c r="DR33" i="10" s="1"/>
  <c r="I414" i="5"/>
  <c r="I408" i="5"/>
  <c r="I403" i="5"/>
  <c r="I402" i="5"/>
  <c r="DR30" i="10" s="1" a="1"/>
  <c r="DR30" i="10" s="1"/>
  <c r="I417" i="3"/>
  <c r="I414" i="3"/>
  <c r="I408" i="3"/>
  <c r="I403" i="3"/>
  <c r="I402" i="3"/>
  <c r="L385" i="6"/>
  <c r="I385" i="6"/>
  <c r="I396" i="3"/>
  <c r="I393" i="3"/>
  <c r="I387" i="3"/>
  <c r="I382" i="3"/>
  <c r="I381" i="3"/>
  <c r="I405" i="5" l="1"/>
  <c r="I426" i="5"/>
  <c r="DR19" i="10" a="1"/>
  <c r="DR19" i="10" s="1"/>
  <c r="DW97" i="10" s="1"/>
  <c r="I404" i="3"/>
  <c r="I427" i="3"/>
  <c r="I384" i="3"/>
  <c r="I385" i="3"/>
  <c r="I425" i="3"/>
  <c r="I383" i="3"/>
  <c r="I426" i="3"/>
  <c r="DR32" i="10" a="1"/>
  <c r="DR32" i="10" s="1"/>
  <c r="DR31" i="10" a="1"/>
  <c r="DR31" i="10" s="1"/>
  <c r="I425" i="5"/>
  <c r="I404" i="5"/>
  <c r="I427" i="5"/>
  <c r="I406" i="5"/>
  <c r="I407" i="5"/>
  <c r="I405" i="3"/>
  <c r="I386" i="3"/>
  <c r="I406" i="3"/>
  <c r="I407" i="3"/>
  <c r="I343" i="6"/>
  <c r="L343" i="6"/>
  <c r="L364" i="6"/>
  <c r="I364" i="6"/>
  <c r="I374" i="3"/>
  <c r="I372" i="3"/>
  <c r="I370" i="3"/>
  <c r="I368" i="3"/>
  <c r="I367" i="3"/>
  <c r="I366" i="3"/>
  <c r="I361" i="3"/>
  <c r="I360" i="3"/>
  <c r="DR16" i="10" s="1" a="1"/>
  <c r="DR16" i="10" s="1"/>
  <c r="I353" i="4"/>
  <c r="I352" i="4"/>
  <c r="I351" i="4"/>
  <c r="DR25" i="10" s="1" a="1"/>
  <c r="DR25" i="10" s="1"/>
  <c r="I350" i="4"/>
  <c r="I349" i="4"/>
  <c r="I347" i="4"/>
  <c r="I346" i="4"/>
  <c r="I345" i="4"/>
  <c r="DR24" i="10" s="1" a="1"/>
  <c r="DR24" i="10" s="1"/>
  <c r="I340" i="4"/>
  <c r="I341" i="4" s="1"/>
  <c r="I339" i="4"/>
  <c r="DR23" i="10" s="1" a="1"/>
  <c r="DR23" i="10" s="1"/>
  <c r="I344" i="4" l="1"/>
  <c r="DT87" i="10"/>
  <c r="I343" i="4"/>
  <c r="I342" i="4"/>
  <c r="I362" i="3"/>
  <c r="I364" i="3"/>
  <c r="I363" i="3"/>
  <c r="DR17" i="10" a="1"/>
  <c r="DR17" i="10" s="1"/>
  <c r="DW88" i="10" s="1"/>
  <c r="DR18" i="10" a="1"/>
  <c r="DR18" i="10" s="1"/>
  <c r="DW101" i="10" s="1"/>
  <c r="DY97" i="10" s="1"/>
  <c r="DQ54" i="10" a="1"/>
  <c r="DQ54" i="10" s="1"/>
  <c r="DQ53" i="10" a="1"/>
  <c r="DQ53" i="10" s="1"/>
  <c r="DQ52" i="10" a="1"/>
  <c r="DQ52" i="10" s="1"/>
  <c r="DQ51" i="10" a="1"/>
  <c r="DQ51" i="10" s="1"/>
  <c r="DQ47" i="10" a="1"/>
  <c r="DQ47" i="10" s="1"/>
  <c r="DQ46" i="10" a="1"/>
  <c r="DQ46" i="10" s="1"/>
  <c r="DQ45" i="10" a="1"/>
  <c r="DQ45" i="10" s="1"/>
  <c r="DQ44" i="10" a="1"/>
  <c r="DQ44" i="10" s="1"/>
  <c r="DQ40" i="10" a="1"/>
  <c r="DQ40" i="10" s="1"/>
  <c r="DQ39" i="10" a="1"/>
  <c r="DQ39" i="10" s="1"/>
  <c r="DQ38" i="10" a="1"/>
  <c r="DQ38" i="10" s="1"/>
  <c r="DQ37" i="10" a="1"/>
  <c r="DQ37" i="10" s="1"/>
  <c r="DQ33" i="10" a="1"/>
  <c r="DQ33" i="10" s="1"/>
  <c r="DQ32" i="10" a="1"/>
  <c r="DQ32" i="10" s="1"/>
  <c r="DQ31" i="10" a="1"/>
  <c r="DQ31" i="10" s="1"/>
  <c r="DQ30" i="10" a="1"/>
  <c r="DQ30" i="10" s="1"/>
  <c r="DQ26" i="10" a="1"/>
  <c r="DQ26" i="10" s="1"/>
  <c r="DW89" i="10" l="1"/>
  <c r="DW96" i="10"/>
  <c r="DY96" i="10" s="1"/>
  <c r="DT95" i="10"/>
  <c r="DY100" i="10"/>
  <c r="DY99" i="10"/>
  <c r="DY98" i="10"/>
  <c r="DW93" i="10"/>
  <c r="DY92" i="10" s="1"/>
  <c r="DW81" i="10"/>
  <c r="DX97" i="10" l="1"/>
  <c r="DX98" i="10" s="1"/>
  <c r="DX99" i="10" s="1"/>
  <c r="DX100" i="10" s="1"/>
  <c r="DX96" i="10"/>
  <c r="DY91" i="10"/>
  <c r="DY88" i="10"/>
  <c r="DX88" i="10" s="1"/>
  <c r="DY90" i="10"/>
  <c r="DY89" i="10"/>
  <c r="DP54" i="10" a="1"/>
  <c r="DP54" i="10" s="1"/>
  <c r="DP53" i="10" a="1"/>
  <c r="DP53" i="10" s="1"/>
  <c r="DP52" i="10" a="1"/>
  <c r="DP52" i="10" s="1"/>
  <c r="DP51" i="10" a="1"/>
  <c r="DP51" i="10" s="1"/>
  <c r="DP47" i="10" a="1"/>
  <c r="DP47" i="10" s="1"/>
  <c r="DP46" i="10" a="1"/>
  <c r="DP46" i="10" s="1"/>
  <c r="DP45" i="10" a="1"/>
  <c r="DP45" i="10" s="1"/>
  <c r="DP44" i="10" a="1"/>
  <c r="DP44" i="10" s="1"/>
  <c r="DP40" i="10" a="1"/>
  <c r="DP40" i="10" s="1"/>
  <c r="DP39" i="10" a="1"/>
  <c r="DP39" i="10" s="1"/>
  <c r="DP38" i="10" a="1"/>
  <c r="DP38" i="10" s="1"/>
  <c r="DP37" i="10" a="1"/>
  <c r="DP37" i="10" s="1"/>
  <c r="DP33" i="10" a="1"/>
  <c r="DP33" i="10" s="1"/>
  <c r="DP32" i="10" a="1"/>
  <c r="DP32" i="10" s="1"/>
  <c r="DP31" i="10" a="1"/>
  <c r="DP31" i="10" s="1"/>
  <c r="DP30" i="10" a="1"/>
  <c r="DP30" i="10" s="1"/>
  <c r="DP26" i="10" a="1"/>
  <c r="DP26" i="10" s="1"/>
  <c r="DP25" i="10" a="1"/>
  <c r="DP25" i="10" s="1"/>
  <c r="AX16" i="10" a="1"/>
  <c r="AX16" i="10" s="1"/>
  <c r="AX17" i="10" a="1"/>
  <c r="AX17" i="10" s="1"/>
  <c r="AX18" i="10" a="1"/>
  <c r="AX18" i="10" s="1"/>
  <c r="AX19" i="10" a="1"/>
  <c r="AX19" i="10" s="1"/>
  <c r="AX23" i="10" a="1"/>
  <c r="AX23" i="10" s="1"/>
  <c r="AX24" i="10" a="1"/>
  <c r="AX24" i="10" s="1"/>
  <c r="AX25" i="10" a="1"/>
  <c r="AX25" i="10" s="1"/>
  <c r="AX26" i="10" a="1"/>
  <c r="AX26" i="10" s="1"/>
  <c r="AX30" i="10" a="1"/>
  <c r="AX30" i="10" s="1"/>
  <c r="AX31" i="10" a="1"/>
  <c r="AX31" i="10" s="1"/>
  <c r="AX32" i="10" a="1"/>
  <c r="AX32" i="10" s="1"/>
  <c r="AX33" i="10" a="1"/>
  <c r="AX33" i="10" s="1"/>
  <c r="AX37" i="10" a="1"/>
  <c r="AX37" i="10" s="1"/>
  <c r="AX38" i="10" a="1"/>
  <c r="AX38" i="10" s="1"/>
  <c r="AX39" i="10" a="1"/>
  <c r="AX39" i="10" s="1"/>
  <c r="AX40" i="10" a="1"/>
  <c r="AX40" i="10" s="1"/>
  <c r="AX44" i="10" a="1"/>
  <c r="AX44" i="10" s="1"/>
  <c r="AX45" i="10" a="1"/>
  <c r="AX45" i="10" s="1"/>
  <c r="AX46" i="10" a="1"/>
  <c r="AX46" i="10" s="1"/>
  <c r="AX47" i="10" a="1"/>
  <c r="AX47" i="10" s="1"/>
  <c r="AX51" i="10" a="1"/>
  <c r="AX51" i="10" s="1"/>
  <c r="AX52" i="10" a="1"/>
  <c r="AX52" i="10" s="1"/>
  <c r="AX53" i="10" a="1"/>
  <c r="AX53" i="10" s="1"/>
  <c r="AX54" i="10" a="1"/>
  <c r="AX54" i="10" s="1"/>
  <c r="AW16" i="10" a="1"/>
  <c r="AW16" i="10" s="1"/>
  <c r="AW17" i="10" a="1"/>
  <c r="AW17" i="10" s="1"/>
  <c r="AW18" i="10" a="1"/>
  <c r="AW18" i="10" s="1"/>
  <c r="AW19" i="10" a="1"/>
  <c r="AW19" i="10" s="1"/>
  <c r="AW23" i="10" a="1"/>
  <c r="AW23" i="10" s="1"/>
  <c r="AW24" i="10" a="1"/>
  <c r="AW24" i="10" s="1"/>
  <c r="AW25" i="10" a="1"/>
  <c r="AW25" i="10" s="1"/>
  <c r="AW26" i="10" a="1"/>
  <c r="AW26" i="10" s="1"/>
  <c r="AW30" i="10" a="1"/>
  <c r="AW30" i="10" s="1"/>
  <c r="AW31" i="10" a="1"/>
  <c r="AW31" i="10" s="1"/>
  <c r="AW32" i="10" a="1"/>
  <c r="AW32" i="10" s="1"/>
  <c r="AW33" i="10" a="1"/>
  <c r="AW33" i="10" s="1"/>
  <c r="AW37" i="10" a="1"/>
  <c r="AW37" i="10" s="1"/>
  <c r="AW38" i="10" a="1"/>
  <c r="AW38" i="10" s="1"/>
  <c r="AW39" i="10" a="1"/>
  <c r="AW39" i="10" s="1"/>
  <c r="AW40" i="10" a="1"/>
  <c r="AW40" i="10" s="1"/>
  <c r="AW44" i="10" a="1"/>
  <c r="AW44" i="10" s="1"/>
  <c r="AW45" i="10" a="1"/>
  <c r="AW45" i="10" s="1"/>
  <c r="AW46" i="10" a="1"/>
  <c r="AW46" i="10" s="1"/>
  <c r="AW47" i="10" a="1"/>
  <c r="AW47" i="10" s="1"/>
  <c r="AW51" i="10" a="1"/>
  <c r="AW51" i="10" s="1"/>
  <c r="AW52" i="10" a="1"/>
  <c r="AW52" i="10" s="1"/>
  <c r="AW53" i="10" a="1"/>
  <c r="AW53" i="10" s="1"/>
  <c r="AW54" i="10" a="1"/>
  <c r="AW54" i="10" s="1"/>
  <c r="M259" i="6"/>
  <c r="L259" i="6"/>
  <c r="I259" i="6"/>
  <c r="I280" i="6"/>
  <c r="L280" i="6"/>
  <c r="L301" i="6"/>
  <c r="I301" i="6"/>
  <c r="I322" i="6"/>
  <c r="AQ39" i="10" s="1" a="1"/>
  <c r="AQ39" i="10" s="1"/>
  <c r="L322" i="6"/>
  <c r="AQ51" i="10" a="1"/>
  <c r="AQ51" i="10" s="1"/>
  <c r="AR51" i="10" a="1"/>
  <c r="AR51" i="10" s="1"/>
  <c r="AS51" i="10" a="1"/>
  <c r="AS51" i="10" s="1"/>
  <c r="AT51" i="10" a="1"/>
  <c r="AT51" i="10" s="1"/>
  <c r="AU51" i="10" a="1"/>
  <c r="AU51" i="10" s="1"/>
  <c r="AV51" i="10" a="1"/>
  <c r="AV51" i="10" s="1"/>
  <c r="AQ52" i="10" a="1"/>
  <c r="AQ52" i="10" s="1"/>
  <c r="AR52" i="10" a="1"/>
  <c r="AR52" i="10" s="1"/>
  <c r="AS52" i="10" a="1"/>
  <c r="AS52" i="10" s="1"/>
  <c r="AT52" i="10" a="1"/>
  <c r="AT52" i="10" s="1"/>
  <c r="AU52" i="10" a="1"/>
  <c r="AU52" i="10" s="1"/>
  <c r="AV52" i="10" a="1"/>
  <c r="AV52" i="10" s="1"/>
  <c r="AQ53" i="10" a="1"/>
  <c r="AQ53" i="10" s="1"/>
  <c r="AR53" i="10" a="1"/>
  <c r="AR53" i="10" s="1"/>
  <c r="AS53" i="10" a="1"/>
  <c r="AS53" i="10" s="1"/>
  <c r="AT53" i="10" a="1"/>
  <c r="AT53" i="10" s="1"/>
  <c r="AU53" i="10" a="1"/>
  <c r="AU53" i="10" s="1"/>
  <c r="AV53" i="10" a="1"/>
  <c r="AV53" i="10" s="1"/>
  <c r="AQ54" i="10" a="1"/>
  <c r="AQ54" i="10" s="1"/>
  <c r="AR54" i="10" a="1"/>
  <c r="AR54" i="10" s="1"/>
  <c r="AS54" i="10" a="1"/>
  <c r="AS54" i="10" s="1"/>
  <c r="AT54" i="10" a="1"/>
  <c r="AT54" i="10" s="1"/>
  <c r="AU54" i="10" a="1"/>
  <c r="AU54" i="10" s="1"/>
  <c r="AV54" i="10" a="1"/>
  <c r="AV54" i="10" s="1"/>
  <c r="AQ44" i="10" a="1"/>
  <c r="AQ44" i="10" s="1"/>
  <c r="AR44" i="10" a="1"/>
  <c r="AR44" i="10" s="1"/>
  <c r="AS44" i="10" a="1"/>
  <c r="AS44" i="10" s="1"/>
  <c r="AT44" i="10" a="1"/>
  <c r="AT44" i="10" s="1"/>
  <c r="AU44" i="10" a="1"/>
  <c r="AU44" i="10" s="1"/>
  <c r="AV44" i="10" a="1"/>
  <c r="AV44" i="10" s="1"/>
  <c r="AQ45" i="10" a="1"/>
  <c r="AQ45" i="10" s="1"/>
  <c r="AR45" i="10" a="1"/>
  <c r="AR45" i="10" s="1"/>
  <c r="AS45" i="10" a="1"/>
  <c r="AS45" i="10" s="1"/>
  <c r="AT45" i="10" a="1"/>
  <c r="AT45" i="10" s="1"/>
  <c r="AU45" i="10" a="1"/>
  <c r="AU45" i="10" s="1"/>
  <c r="AV45" i="10" a="1"/>
  <c r="AV45" i="10" s="1"/>
  <c r="AQ46" i="10" a="1"/>
  <c r="AQ46" i="10" s="1"/>
  <c r="AR46" i="10" a="1"/>
  <c r="AR46" i="10" s="1"/>
  <c r="AS46" i="10" a="1"/>
  <c r="AS46" i="10" s="1"/>
  <c r="AT46" i="10" a="1"/>
  <c r="AT46" i="10" s="1"/>
  <c r="AU46" i="10" a="1"/>
  <c r="AU46" i="10" s="1"/>
  <c r="AV46" i="10" a="1"/>
  <c r="AV46" i="10" s="1"/>
  <c r="AQ47" i="10" a="1"/>
  <c r="AQ47" i="10" s="1"/>
  <c r="AR47" i="10" a="1"/>
  <c r="AR47" i="10" s="1"/>
  <c r="AS47" i="10" a="1"/>
  <c r="AS47" i="10" s="1"/>
  <c r="AT47" i="10" a="1"/>
  <c r="AT47" i="10" s="1"/>
  <c r="AU47" i="10" a="1"/>
  <c r="AU47" i="10" s="1"/>
  <c r="AV47" i="10" a="1"/>
  <c r="AV47" i="10" s="1"/>
  <c r="AQ37" i="10" a="1"/>
  <c r="AQ37" i="10" s="1"/>
  <c r="AR37" i="10" a="1"/>
  <c r="AR37" i="10" s="1"/>
  <c r="AS37" i="10" a="1"/>
  <c r="AS37" i="10" s="1"/>
  <c r="AT37" i="10" a="1"/>
  <c r="AT37" i="10" s="1"/>
  <c r="AU37" i="10" a="1"/>
  <c r="AU37" i="10" s="1"/>
  <c r="AV37" i="10" a="1"/>
  <c r="AV37" i="10" s="1"/>
  <c r="AQ38" i="10" a="1"/>
  <c r="AQ38" i="10" s="1"/>
  <c r="AR38" i="10" a="1"/>
  <c r="AR38" i="10" s="1"/>
  <c r="AS38" i="10" a="1"/>
  <c r="AS38" i="10" s="1"/>
  <c r="AT38" i="10" a="1"/>
  <c r="AT38" i="10" s="1"/>
  <c r="AU38" i="10" a="1"/>
  <c r="AU38" i="10" s="1"/>
  <c r="AV38" i="10" a="1"/>
  <c r="AV38" i="10" s="1"/>
  <c r="AR39" i="10" a="1"/>
  <c r="AR39" i="10" s="1"/>
  <c r="AS39" i="10" a="1"/>
  <c r="AS39" i="10" s="1"/>
  <c r="AT39" i="10" a="1"/>
  <c r="AT39" i="10" s="1"/>
  <c r="AU39" i="10" a="1"/>
  <c r="AU39" i="10" s="1"/>
  <c r="AV39" i="10" a="1"/>
  <c r="AV39" i="10" s="1"/>
  <c r="AQ40" i="10" a="1"/>
  <c r="AQ40" i="10" s="1"/>
  <c r="AR40" i="10" a="1"/>
  <c r="AR40" i="10" s="1"/>
  <c r="AS40" i="10" a="1"/>
  <c r="AS40" i="10" s="1"/>
  <c r="AT40" i="10" a="1"/>
  <c r="AT40" i="10" s="1"/>
  <c r="AU40" i="10" a="1"/>
  <c r="AU40" i="10" s="1"/>
  <c r="AV40" i="10" a="1"/>
  <c r="AV40" i="10" s="1"/>
  <c r="AQ30" i="10" a="1"/>
  <c r="AQ30" i="10" s="1"/>
  <c r="AR30" i="10" a="1"/>
  <c r="AR30" i="10" s="1"/>
  <c r="AS30" i="10" a="1"/>
  <c r="AS30" i="10" s="1"/>
  <c r="AT30" i="10" a="1"/>
  <c r="AT30" i="10" s="1"/>
  <c r="AU30" i="10" a="1"/>
  <c r="AU30" i="10" s="1"/>
  <c r="AV30" i="10" a="1"/>
  <c r="AV30" i="10" s="1"/>
  <c r="AQ31" i="10" a="1"/>
  <c r="AQ31" i="10" s="1"/>
  <c r="AR31" i="10" a="1"/>
  <c r="AR31" i="10" s="1"/>
  <c r="AS31" i="10" a="1"/>
  <c r="AS31" i="10" s="1"/>
  <c r="AT31" i="10" a="1"/>
  <c r="AT31" i="10" s="1"/>
  <c r="AU31" i="10" a="1"/>
  <c r="AU31" i="10" s="1"/>
  <c r="AV31" i="10" a="1"/>
  <c r="AV31" i="10" s="1"/>
  <c r="AQ32" i="10" a="1"/>
  <c r="AQ32" i="10" s="1"/>
  <c r="AR32" i="10" a="1"/>
  <c r="AR32" i="10" s="1"/>
  <c r="AS32" i="10" a="1"/>
  <c r="AS32" i="10" s="1"/>
  <c r="AT32" i="10" a="1"/>
  <c r="AT32" i="10" s="1"/>
  <c r="AU32" i="10" a="1"/>
  <c r="AU32" i="10" s="1"/>
  <c r="AV32" i="10" a="1"/>
  <c r="AV32" i="10" s="1"/>
  <c r="AQ33" i="10" a="1"/>
  <c r="AQ33" i="10" s="1"/>
  <c r="AR33" i="10" a="1"/>
  <c r="AR33" i="10" s="1"/>
  <c r="AS33" i="10" a="1"/>
  <c r="AS33" i="10" s="1"/>
  <c r="AT33" i="10" a="1"/>
  <c r="AT33" i="10" s="1"/>
  <c r="AU33" i="10" a="1"/>
  <c r="AU33" i="10" s="1"/>
  <c r="AV33" i="10" a="1"/>
  <c r="AV33" i="10" s="1"/>
  <c r="AQ23" i="10" a="1"/>
  <c r="AQ23" i="10" s="1"/>
  <c r="AR23" i="10" a="1"/>
  <c r="AR23" i="10" s="1"/>
  <c r="AS23" i="10" a="1"/>
  <c r="AS23" i="10" s="1"/>
  <c r="AT23" i="10" a="1"/>
  <c r="AT23" i="10" s="1"/>
  <c r="AU23" i="10" a="1"/>
  <c r="AU23" i="10" s="1"/>
  <c r="AV23" i="10" a="1"/>
  <c r="AV23" i="10" s="1"/>
  <c r="AQ24" i="10" a="1"/>
  <c r="AQ24" i="10" s="1"/>
  <c r="AR24" i="10" a="1"/>
  <c r="AR24" i="10" s="1"/>
  <c r="AS24" i="10" a="1"/>
  <c r="AS24" i="10" s="1"/>
  <c r="AT24" i="10" a="1"/>
  <c r="AT24" i="10" s="1"/>
  <c r="AU24" i="10" a="1"/>
  <c r="AU24" i="10" s="1"/>
  <c r="AV24" i="10" a="1"/>
  <c r="AV24" i="10" s="1"/>
  <c r="AQ25" i="10" a="1"/>
  <c r="AQ25" i="10" s="1"/>
  <c r="AR25" i="10" a="1"/>
  <c r="AR25" i="10" s="1"/>
  <c r="AS25" i="10" a="1"/>
  <c r="AS25" i="10" s="1"/>
  <c r="AT25" i="10" a="1"/>
  <c r="AT25" i="10" s="1"/>
  <c r="AU25" i="10" a="1"/>
  <c r="AU25" i="10" s="1"/>
  <c r="AV25" i="10" a="1"/>
  <c r="AV25" i="10" s="1"/>
  <c r="AQ26" i="10" a="1"/>
  <c r="AQ26" i="10" s="1"/>
  <c r="AR26" i="10" a="1"/>
  <c r="AR26" i="10" s="1"/>
  <c r="AS26" i="10" a="1"/>
  <c r="AS26" i="10" s="1"/>
  <c r="AT26" i="10" a="1"/>
  <c r="AT26" i="10" s="1"/>
  <c r="AU26" i="10" a="1"/>
  <c r="AU26" i="10" s="1"/>
  <c r="AV26" i="10" a="1"/>
  <c r="AV26" i="10" s="1"/>
  <c r="AQ16" i="10" a="1"/>
  <c r="AQ16" i="10" s="1"/>
  <c r="AR16" i="10" a="1"/>
  <c r="AR16" i="10" s="1"/>
  <c r="AS16" i="10" a="1"/>
  <c r="AS16" i="10" s="1"/>
  <c r="AT16" i="10" a="1"/>
  <c r="AT16" i="10" s="1"/>
  <c r="AU16" i="10" a="1"/>
  <c r="AU16" i="10" s="1"/>
  <c r="AV16" i="10" a="1"/>
  <c r="AV16" i="10" s="1"/>
  <c r="AQ17" i="10" a="1"/>
  <c r="AQ17" i="10" s="1"/>
  <c r="AR17" i="10" a="1"/>
  <c r="AR17" i="10" s="1"/>
  <c r="AS17" i="10" a="1"/>
  <c r="AS17" i="10" s="1"/>
  <c r="AT17" i="10" a="1"/>
  <c r="AT17" i="10" s="1"/>
  <c r="AU17" i="10" a="1"/>
  <c r="AU17" i="10" s="1"/>
  <c r="AV17" i="10" a="1"/>
  <c r="AV17" i="10" s="1"/>
  <c r="AQ18" i="10" a="1"/>
  <c r="AQ18" i="10" s="1"/>
  <c r="AR18" i="10" a="1"/>
  <c r="AR18" i="10" s="1"/>
  <c r="AS18" i="10" a="1"/>
  <c r="AS18" i="10" s="1"/>
  <c r="AT18" i="10" a="1"/>
  <c r="AT18" i="10" s="1"/>
  <c r="AU18" i="10" a="1"/>
  <c r="AU18" i="10" s="1"/>
  <c r="AV18" i="10" a="1"/>
  <c r="AV18" i="10" s="1"/>
  <c r="AQ19" i="10" a="1"/>
  <c r="AQ19" i="10" s="1"/>
  <c r="AR19" i="10" a="1"/>
  <c r="AR19" i="10" s="1"/>
  <c r="AS19" i="10" a="1"/>
  <c r="AS19" i="10" s="1"/>
  <c r="AT19" i="10" a="1"/>
  <c r="AT19" i="10" s="1"/>
  <c r="AU19" i="10" a="1"/>
  <c r="AU19" i="10" s="1"/>
  <c r="AV19" i="10" a="1"/>
  <c r="AV19" i="10" s="1"/>
  <c r="DW68" i="10"/>
  <c r="DY64" i="10" s="1"/>
  <c r="I238" i="6"/>
  <c r="L238" i="6"/>
  <c r="I246" i="3"/>
  <c r="I240" i="3"/>
  <c r="I235" i="3"/>
  <c r="I234" i="3"/>
  <c r="I217" i="6"/>
  <c r="M217" i="6"/>
  <c r="L217" i="6"/>
  <c r="I51" i="4"/>
  <c r="I48" i="4" s="1"/>
  <c r="I46" i="4"/>
  <c r="I47" i="4" s="1"/>
  <c r="I45" i="4"/>
  <c r="I49" i="4" s="1"/>
  <c r="I72" i="4"/>
  <c r="I66" i="4"/>
  <c r="I70" i="4" s="1"/>
  <c r="I67" i="4"/>
  <c r="I198" i="4"/>
  <c r="I196" i="4"/>
  <c r="I193" i="4"/>
  <c r="I194" i="4" s="1"/>
  <c r="I192" i="4"/>
  <c r="DP23" i="10" s="1" a="1"/>
  <c r="DP23" i="10" s="1"/>
  <c r="I17" i="3"/>
  <c r="I16" i="3"/>
  <c r="I15" i="3"/>
  <c r="I9" i="3"/>
  <c r="I4" i="3"/>
  <c r="I3" i="3"/>
  <c r="I57" i="3"/>
  <c r="I51" i="3"/>
  <c r="I46" i="3"/>
  <c r="I45" i="3"/>
  <c r="I78" i="3"/>
  <c r="I72" i="3"/>
  <c r="I67" i="3"/>
  <c r="I66" i="3"/>
  <c r="I99" i="3"/>
  <c r="I93" i="3"/>
  <c r="I88" i="3"/>
  <c r="I87" i="3"/>
  <c r="I109" i="3"/>
  <c r="I108" i="3"/>
  <c r="I111" i="3" s="1"/>
  <c r="I141" i="3"/>
  <c r="I135" i="3"/>
  <c r="I130" i="3"/>
  <c r="I129" i="3"/>
  <c r="I134" i="3" s="1"/>
  <c r="AH19" i="10" s="1" a="1"/>
  <c r="AH19" i="10" s="1"/>
  <c r="I165" i="3"/>
  <c r="I162" i="3"/>
  <c r="I156" i="3"/>
  <c r="I151" i="3"/>
  <c r="I150" i="3"/>
  <c r="I172" i="3"/>
  <c r="I171" i="3"/>
  <c r="I175" i="3" s="1"/>
  <c r="AJ18" i="10" s="1" a="1"/>
  <c r="AJ18" i="10" s="1"/>
  <c r="I207" i="3"/>
  <c r="I206" i="3"/>
  <c r="I204" i="3"/>
  <c r="I198" i="3"/>
  <c r="I193" i="3"/>
  <c r="I192" i="3"/>
  <c r="I230" i="3"/>
  <c r="I228" i="3"/>
  <c r="DQ19" i="10" s="1" a="1"/>
  <c r="DQ19" i="10" s="1"/>
  <c r="I227" i="3"/>
  <c r="I225" i="3"/>
  <c r="I214" i="3"/>
  <c r="I213" i="3"/>
  <c r="I227" i="4"/>
  <c r="I225" i="4"/>
  <c r="I218" i="4"/>
  <c r="I219" i="4"/>
  <c r="DQ24" i="10" s="1" a="1"/>
  <c r="DQ24" i="10" s="1"/>
  <c r="DW80" i="10" s="1"/>
  <c r="I215" i="4"/>
  <c r="I214" i="4"/>
  <c r="I213" i="4"/>
  <c r="DQ23" i="10" s="1" a="1"/>
  <c r="DQ23" i="10" s="1"/>
  <c r="AK19" i="10" a="1"/>
  <c r="AK19" i="10" s="1"/>
  <c r="AL19" i="10" a="1"/>
  <c r="AL19" i="10" s="1"/>
  <c r="AM19" i="10" a="1"/>
  <c r="AM19" i="10" s="1"/>
  <c r="AN19" i="10" a="1"/>
  <c r="AN19" i="10" s="1"/>
  <c r="AO19" i="10" a="1"/>
  <c r="AO19" i="10" s="1"/>
  <c r="AP19" i="10" a="1"/>
  <c r="AP19" i="10" s="1"/>
  <c r="AN18" i="10" a="1"/>
  <c r="AN18" i="10" s="1"/>
  <c r="AO18" i="10" a="1"/>
  <c r="AO18" i="10" s="1"/>
  <c r="AP18" i="10" a="1"/>
  <c r="AP18" i="10" s="1"/>
  <c r="AD19" i="10" a="1"/>
  <c r="AD19" i="10" s="1"/>
  <c r="AE19" i="10" a="1"/>
  <c r="AE19" i="10" s="1"/>
  <c r="AF19" i="10" a="1"/>
  <c r="AF19" i="10" s="1"/>
  <c r="AG19" i="10" a="1"/>
  <c r="AG19" i="10" s="1"/>
  <c r="AI19" i="10" a="1"/>
  <c r="AI19" i="10" s="1"/>
  <c r="AJ19" i="10" a="1"/>
  <c r="AJ19" i="10" s="1"/>
  <c r="AK54" i="10" a="1"/>
  <c r="AK54" i="10" s="1"/>
  <c r="AJ54" i="10" a="1"/>
  <c r="AJ54" i="10" s="1"/>
  <c r="AI54" i="10" a="1"/>
  <c r="AI54" i="10" s="1"/>
  <c r="AH54" i="10" a="1"/>
  <c r="AH54" i="10" s="1"/>
  <c r="AG54" i="10" a="1"/>
  <c r="AG54" i="10" s="1"/>
  <c r="AF54" i="10" a="1"/>
  <c r="AF54" i="10" s="1"/>
  <c r="AK53" i="10" a="1"/>
  <c r="AK53" i="10" s="1"/>
  <c r="AJ53" i="10" a="1"/>
  <c r="AJ53" i="10" s="1"/>
  <c r="AI53" i="10" a="1"/>
  <c r="AI53" i="10" s="1"/>
  <c r="AH53" i="10" a="1"/>
  <c r="AH53" i="10" s="1"/>
  <c r="AG53" i="10" a="1"/>
  <c r="AG53" i="10" s="1"/>
  <c r="AF53" i="10" a="1"/>
  <c r="AF53" i="10" s="1"/>
  <c r="AK52" i="10" a="1"/>
  <c r="AK52" i="10" s="1"/>
  <c r="AJ52" i="10" a="1"/>
  <c r="AJ52" i="10" s="1"/>
  <c r="AI52" i="10" a="1"/>
  <c r="AI52" i="10" s="1"/>
  <c r="AH52" i="10" a="1"/>
  <c r="AH52" i="10" s="1"/>
  <c r="AG52" i="10" a="1"/>
  <c r="AG52" i="10" s="1"/>
  <c r="AF52" i="10" a="1"/>
  <c r="AF52" i="10" s="1"/>
  <c r="AK51" i="10" a="1"/>
  <c r="AK51" i="10" s="1"/>
  <c r="AJ51" i="10" a="1"/>
  <c r="AJ51" i="10" s="1"/>
  <c r="AI51" i="10" a="1"/>
  <c r="AI51" i="10" s="1"/>
  <c r="AH51" i="10" a="1"/>
  <c r="AH51" i="10" s="1"/>
  <c r="AG51" i="10" a="1"/>
  <c r="AG51" i="10" s="1"/>
  <c r="AF51" i="10" a="1"/>
  <c r="AF51" i="10" s="1"/>
  <c r="I196" i="6"/>
  <c r="I175" i="6"/>
  <c r="L175" i="6"/>
  <c r="M175" i="6"/>
  <c r="L196" i="6"/>
  <c r="M196" i="6"/>
  <c r="I49" i="6"/>
  <c r="L49" i="6"/>
  <c r="M49" i="6"/>
  <c r="I70" i="6"/>
  <c r="L70" i="6"/>
  <c r="M70" i="6"/>
  <c r="I91" i="6"/>
  <c r="L91" i="6"/>
  <c r="M91" i="6"/>
  <c r="I112" i="6"/>
  <c r="L112" i="6"/>
  <c r="M112" i="6"/>
  <c r="I133" i="6"/>
  <c r="L133" i="6"/>
  <c r="M133" i="6"/>
  <c r="I154" i="6"/>
  <c r="M154" i="6"/>
  <c r="L154" i="6"/>
  <c r="DQ18" i="10" l="1" a="1"/>
  <c r="DQ18" i="10" s="1"/>
  <c r="I68" i="4"/>
  <c r="I69" i="4"/>
  <c r="DX89" i="10"/>
  <c r="DX90" i="10" s="1"/>
  <c r="DX91" i="10" s="1"/>
  <c r="DX92" i="10" s="1"/>
  <c r="I90" i="3"/>
  <c r="DP18" i="10" a="1"/>
  <c r="DP18" i="10" s="1"/>
  <c r="I133" i="3"/>
  <c r="AH18" i="10" s="1" a="1"/>
  <c r="AH18" i="10" s="1"/>
  <c r="I68" i="3"/>
  <c r="I173" i="3"/>
  <c r="DP16" i="10" a="1"/>
  <c r="DP16" i="10" s="1"/>
  <c r="DT71" i="10" s="1"/>
  <c r="I236" i="3"/>
  <c r="DP19" i="10" a="1"/>
  <c r="DP19" i="10" s="1"/>
  <c r="I89" i="3"/>
  <c r="I216" i="3"/>
  <c r="DQ16" i="10" a="1"/>
  <c r="DQ16" i="10" s="1"/>
  <c r="DT79" i="10" s="1"/>
  <c r="I196" i="3"/>
  <c r="AK18" i="10" s="1" a="1"/>
  <c r="AK18" i="10" s="1"/>
  <c r="I70" i="3"/>
  <c r="AE18" i="10" s="1" a="1"/>
  <c r="AE18" i="10" s="1"/>
  <c r="DP17" i="10" a="1"/>
  <c r="DP17" i="10" s="1"/>
  <c r="I237" i="3"/>
  <c r="DQ17" i="10" a="1"/>
  <c r="DQ17" i="10" s="1"/>
  <c r="DW73" i="10"/>
  <c r="I195" i="4"/>
  <c r="DW85" i="10"/>
  <c r="DY80" i="10" s="1"/>
  <c r="DP24" i="10" a="1"/>
  <c r="DP24" i="10" s="1"/>
  <c r="DW72" i="10" s="1"/>
  <c r="I216" i="4"/>
  <c r="I217" i="4"/>
  <c r="DQ25" i="10" a="1"/>
  <c r="DQ25" i="10" s="1"/>
  <c r="I110" i="3"/>
  <c r="I238" i="3"/>
  <c r="AM18" i="10" s="1" a="1"/>
  <c r="AM18" i="10" s="1"/>
  <c r="I47" i="3"/>
  <c r="I131" i="3"/>
  <c r="I91" i="3"/>
  <c r="AF18" i="10" s="1" a="1"/>
  <c r="AF18" i="10" s="1"/>
  <c r="I194" i="3"/>
  <c r="I132" i="3"/>
  <c r="I5" i="3"/>
  <c r="I112" i="3"/>
  <c r="AG18" i="10" s="1" a="1"/>
  <c r="AG18" i="10" s="1"/>
  <c r="I195" i="3"/>
  <c r="I152" i="3"/>
  <c r="I69" i="3"/>
  <c r="I153" i="3"/>
  <c r="I6" i="3"/>
  <c r="I215" i="3"/>
  <c r="I154" i="3"/>
  <c r="AI18" i="10" s="1" a="1"/>
  <c r="AI18" i="10" s="1"/>
  <c r="I7" i="3"/>
  <c r="I217" i="3"/>
  <c r="AL18" i="10" s="1" a="1"/>
  <c r="AL18" i="10" s="1"/>
  <c r="I174" i="3"/>
  <c r="I48" i="3"/>
  <c r="I49" i="3"/>
  <c r="AD18" i="10" s="1" a="1"/>
  <c r="AD18" i="10" s="1"/>
  <c r="DY66" i="10"/>
  <c r="DY62" i="10"/>
  <c r="DX62" i="10" s="1"/>
  <c r="DY67" i="10"/>
  <c r="DY63" i="10"/>
  <c r="DY65" i="10"/>
  <c r="DW77" i="10" l="1"/>
  <c r="DX80" i="10"/>
  <c r="DY84" i="10"/>
  <c r="DY82" i="10"/>
  <c r="DY81" i="10"/>
  <c r="DX81" i="10" s="1"/>
  <c r="DY83" i="10"/>
  <c r="DX63" i="10"/>
  <c r="DX64" i="10" s="1"/>
  <c r="DX65" i="10" s="1"/>
  <c r="DX66" i="10" s="1"/>
  <c r="DX67" i="10" s="1"/>
  <c r="AC51" i="10" a="1"/>
  <c r="AC51" i="10" s="1"/>
  <c r="AD51" i="10" a="1"/>
  <c r="AD51" i="10" s="1"/>
  <c r="AE51" i="10" a="1"/>
  <c r="AE51" i="10" s="1"/>
  <c r="AL51" i="10" a="1"/>
  <c r="AL51" i="10" s="1"/>
  <c r="AM51" i="10" a="1"/>
  <c r="AM51" i="10" s="1"/>
  <c r="AN51" i="10" a="1"/>
  <c r="AN51" i="10" s="1"/>
  <c r="AO51" i="10" a="1"/>
  <c r="AO51" i="10" s="1"/>
  <c r="AP51" i="10" a="1"/>
  <c r="AP51" i="10" s="1"/>
  <c r="AC52" i="10" a="1"/>
  <c r="AC52" i="10" s="1"/>
  <c r="AD52" i="10" a="1"/>
  <c r="AD52" i="10" s="1"/>
  <c r="AE52" i="10" a="1"/>
  <c r="AE52" i="10" s="1"/>
  <c r="AL52" i="10" a="1"/>
  <c r="AL52" i="10" s="1"/>
  <c r="AM52" i="10" a="1"/>
  <c r="AM52" i="10" s="1"/>
  <c r="AN52" i="10" a="1"/>
  <c r="AN52" i="10" s="1"/>
  <c r="AO52" i="10" a="1"/>
  <c r="AO52" i="10" s="1"/>
  <c r="AP52" i="10" a="1"/>
  <c r="AP52" i="10" s="1"/>
  <c r="AC53" i="10" a="1"/>
  <c r="AC53" i="10" s="1"/>
  <c r="AD53" i="10" a="1"/>
  <c r="AD53" i="10" s="1"/>
  <c r="AE53" i="10" a="1"/>
  <c r="AE53" i="10" s="1"/>
  <c r="AL53" i="10" a="1"/>
  <c r="AL53" i="10" s="1"/>
  <c r="AM53" i="10" a="1"/>
  <c r="AM53" i="10" s="1"/>
  <c r="AN53" i="10" a="1"/>
  <c r="AN53" i="10" s="1"/>
  <c r="AO53" i="10" a="1"/>
  <c r="AO53" i="10" s="1"/>
  <c r="AP53" i="10" a="1"/>
  <c r="AP53" i="10" s="1"/>
  <c r="AC54" i="10" a="1"/>
  <c r="AC54" i="10" s="1"/>
  <c r="AD54" i="10" a="1"/>
  <c r="AD54" i="10" s="1"/>
  <c r="AE54" i="10" a="1"/>
  <c r="AE54" i="10" s="1"/>
  <c r="AL54" i="10" a="1"/>
  <c r="AL54" i="10" s="1"/>
  <c r="AM54" i="10" a="1"/>
  <c r="AM54" i="10" s="1"/>
  <c r="AN54" i="10" a="1"/>
  <c r="AN54" i="10" s="1"/>
  <c r="AO54" i="10" a="1"/>
  <c r="AO54" i="10" s="1"/>
  <c r="AP54" i="10" a="1"/>
  <c r="AP54" i="10" s="1"/>
  <c r="AC44" i="10" a="1"/>
  <c r="AC44" i="10" s="1"/>
  <c r="AD44" i="10" a="1"/>
  <c r="AD44" i="10" s="1"/>
  <c r="AE44" i="10" a="1"/>
  <c r="AE44" i="10" s="1"/>
  <c r="AF44" i="10" a="1"/>
  <c r="AF44" i="10" s="1"/>
  <c r="AG44" i="10" a="1"/>
  <c r="AG44" i="10" s="1"/>
  <c r="AH44" i="10" a="1"/>
  <c r="AH44" i="10" s="1"/>
  <c r="AI44" i="10" a="1"/>
  <c r="AI44" i="10" s="1"/>
  <c r="AJ44" i="10" a="1"/>
  <c r="AJ44" i="10" s="1"/>
  <c r="AK44" i="10" a="1"/>
  <c r="AK44" i="10" s="1"/>
  <c r="AL44" i="10" a="1"/>
  <c r="AL44" i="10" s="1"/>
  <c r="AM44" i="10" a="1"/>
  <c r="AM44" i="10" s="1"/>
  <c r="AN44" i="10" a="1"/>
  <c r="AN44" i="10" s="1"/>
  <c r="AO44" i="10" a="1"/>
  <c r="AO44" i="10" s="1"/>
  <c r="AP44" i="10" a="1"/>
  <c r="AP44" i="10" s="1"/>
  <c r="AC45" i="10" a="1"/>
  <c r="AC45" i="10" s="1"/>
  <c r="AD45" i="10" a="1"/>
  <c r="AD45" i="10" s="1"/>
  <c r="AE45" i="10" a="1"/>
  <c r="AE45" i="10" s="1"/>
  <c r="AF45" i="10" a="1"/>
  <c r="AF45" i="10" s="1"/>
  <c r="AG45" i="10" a="1"/>
  <c r="AG45" i="10" s="1"/>
  <c r="AH45" i="10" a="1"/>
  <c r="AH45" i="10" s="1"/>
  <c r="AI45" i="10" a="1"/>
  <c r="AI45" i="10" s="1"/>
  <c r="AJ45" i="10" a="1"/>
  <c r="AJ45" i="10" s="1"/>
  <c r="AK45" i="10" a="1"/>
  <c r="AK45" i="10" s="1"/>
  <c r="AL45" i="10" a="1"/>
  <c r="AL45" i="10" s="1"/>
  <c r="AM45" i="10" a="1"/>
  <c r="AM45" i="10" s="1"/>
  <c r="AN45" i="10" a="1"/>
  <c r="AN45" i="10" s="1"/>
  <c r="AO45" i="10" a="1"/>
  <c r="AO45" i="10" s="1"/>
  <c r="AP45" i="10" a="1"/>
  <c r="AP45" i="10" s="1"/>
  <c r="AC46" i="10" a="1"/>
  <c r="AC46" i="10" s="1"/>
  <c r="AD46" i="10" a="1"/>
  <c r="AD46" i="10" s="1"/>
  <c r="AE46" i="10" a="1"/>
  <c r="AE46" i="10" s="1"/>
  <c r="AF46" i="10" a="1"/>
  <c r="AF46" i="10" s="1"/>
  <c r="AG46" i="10" a="1"/>
  <c r="AG46" i="10" s="1"/>
  <c r="AH46" i="10" a="1"/>
  <c r="AH46" i="10" s="1"/>
  <c r="AI46" i="10" a="1"/>
  <c r="AI46" i="10" s="1"/>
  <c r="AJ46" i="10" a="1"/>
  <c r="AJ46" i="10" s="1"/>
  <c r="AK46" i="10" a="1"/>
  <c r="AK46" i="10" s="1"/>
  <c r="AL46" i="10" a="1"/>
  <c r="AL46" i="10" s="1"/>
  <c r="AM46" i="10" a="1"/>
  <c r="AM46" i="10" s="1"/>
  <c r="AN46" i="10" a="1"/>
  <c r="AN46" i="10" s="1"/>
  <c r="AO46" i="10" a="1"/>
  <c r="AO46" i="10" s="1"/>
  <c r="AP46" i="10" a="1"/>
  <c r="AP46" i="10" s="1"/>
  <c r="AC47" i="10" a="1"/>
  <c r="AC47" i="10" s="1"/>
  <c r="AD47" i="10" a="1"/>
  <c r="AD47" i="10" s="1"/>
  <c r="AE47" i="10" a="1"/>
  <c r="AE47" i="10" s="1"/>
  <c r="AF47" i="10" a="1"/>
  <c r="AF47" i="10" s="1"/>
  <c r="AG47" i="10" a="1"/>
  <c r="AG47" i="10" s="1"/>
  <c r="AH47" i="10" a="1"/>
  <c r="AH47" i="10" s="1"/>
  <c r="AI47" i="10" a="1"/>
  <c r="AI47" i="10" s="1"/>
  <c r="AJ47" i="10" a="1"/>
  <c r="AJ47" i="10" s="1"/>
  <c r="AK47" i="10" a="1"/>
  <c r="AK47" i="10" s="1"/>
  <c r="AL47" i="10" a="1"/>
  <c r="AL47" i="10" s="1"/>
  <c r="AM47" i="10" a="1"/>
  <c r="AM47" i="10" s="1"/>
  <c r="AN47" i="10" a="1"/>
  <c r="AN47" i="10" s="1"/>
  <c r="AO47" i="10" a="1"/>
  <c r="AO47" i="10" s="1"/>
  <c r="AP47" i="10" a="1"/>
  <c r="AP47" i="10" s="1"/>
  <c r="AC37" i="10" a="1"/>
  <c r="AC37" i="10" s="1"/>
  <c r="AD37" i="10" a="1"/>
  <c r="AD37" i="10" s="1"/>
  <c r="AE37" i="10" a="1"/>
  <c r="AE37" i="10" s="1"/>
  <c r="AF37" i="10" a="1"/>
  <c r="AF37" i="10" s="1"/>
  <c r="AG37" i="10" a="1"/>
  <c r="AG37" i="10" s="1"/>
  <c r="AH37" i="10" a="1"/>
  <c r="AH37" i="10" s="1"/>
  <c r="AI37" i="10" a="1"/>
  <c r="AI37" i="10" s="1"/>
  <c r="AJ37" i="10" a="1"/>
  <c r="AJ37" i="10" s="1"/>
  <c r="AK37" i="10" a="1"/>
  <c r="AK37" i="10" s="1"/>
  <c r="AL37" i="10" a="1"/>
  <c r="AL37" i="10" s="1"/>
  <c r="AM37" i="10" a="1"/>
  <c r="AM37" i="10" s="1"/>
  <c r="AN37" i="10" a="1"/>
  <c r="AN37" i="10" s="1"/>
  <c r="AO37" i="10" a="1"/>
  <c r="AO37" i="10" s="1"/>
  <c r="AP37" i="10" a="1"/>
  <c r="AP37" i="10" s="1"/>
  <c r="AC38" i="10" a="1"/>
  <c r="AC38" i="10" s="1"/>
  <c r="AD38" i="10" a="1"/>
  <c r="AD38" i="10" s="1"/>
  <c r="AE38" i="10" a="1"/>
  <c r="AE38" i="10" s="1"/>
  <c r="AF38" i="10" a="1"/>
  <c r="AF38" i="10" s="1"/>
  <c r="AG38" i="10" a="1"/>
  <c r="AG38" i="10" s="1"/>
  <c r="AH38" i="10" a="1"/>
  <c r="AH38" i="10" s="1"/>
  <c r="AI38" i="10" a="1"/>
  <c r="AI38" i="10" s="1"/>
  <c r="AJ38" i="10" a="1"/>
  <c r="AJ38" i="10" s="1"/>
  <c r="AK38" i="10" a="1"/>
  <c r="AK38" i="10" s="1"/>
  <c r="AL38" i="10" a="1"/>
  <c r="AL38" i="10" s="1"/>
  <c r="AM38" i="10" a="1"/>
  <c r="AM38" i="10" s="1"/>
  <c r="AN38" i="10" a="1"/>
  <c r="AN38" i="10" s="1"/>
  <c r="AO38" i="10" a="1"/>
  <c r="AO38" i="10" s="1"/>
  <c r="AP38" i="10" a="1"/>
  <c r="AP38" i="10" s="1"/>
  <c r="AD39" i="10" a="1"/>
  <c r="AD39" i="10" s="1"/>
  <c r="AE39" i="10" a="1"/>
  <c r="AE39" i="10" s="1"/>
  <c r="AF39" i="10" a="1"/>
  <c r="AF39" i="10" s="1"/>
  <c r="AG39" i="10" a="1"/>
  <c r="AG39" i="10" s="1"/>
  <c r="AH39" i="10" a="1"/>
  <c r="AH39" i="10" s="1"/>
  <c r="AI39" i="10" a="1"/>
  <c r="AI39" i="10" s="1"/>
  <c r="AJ39" i="10" a="1"/>
  <c r="AJ39" i="10" s="1"/>
  <c r="AK39" i="10" a="1"/>
  <c r="AK39" i="10" s="1"/>
  <c r="AL39" i="10" a="1"/>
  <c r="AL39" i="10" s="1"/>
  <c r="AM39" i="10" a="1"/>
  <c r="AM39" i="10" s="1"/>
  <c r="AN39" i="10" a="1"/>
  <c r="AN39" i="10" s="1"/>
  <c r="AO39" i="10" a="1"/>
  <c r="AO39" i="10" s="1"/>
  <c r="AP39" i="10" a="1"/>
  <c r="AP39" i="10" s="1"/>
  <c r="AC40" i="10" a="1"/>
  <c r="AC40" i="10" s="1"/>
  <c r="AD40" i="10" a="1"/>
  <c r="AD40" i="10" s="1"/>
  <c r="AE40" i="10" a="1"/>
  <c r="AE40" i="10" s="1"/>
  <c r="AF40" i="10" a="1"/>
  <c r="AF40" i="10" s="1"/>
  <c r="AG40" i="10" a="1"/>
  <c r="AG40" i="10" s="1"/>
  <c r="AH40" i="10" a="1"/>
  <c r="AH40" i="10" s="1"/>
  <c r="AI40" i="10" a="1"/>
  <c r="AI40" i="10" s="1"/>
  <c r="AJ40" i="10" a="1"/>
  <c r="AJ40" i="10" s="1"/>
  <c r="AK40" i="10" a="1"/>
  <c r="AK40" i="10" s="1"/>
  <c r="AL40" i="10" a="1"/>
  <c r="AL40" i="10" s="1"/>
  <c r="AM40" i="10" a="1"/>
  <c r="AM40" i="10" s="1"/>
  <c r="AN40" i="10" a="1"/>
  <c r="AN40" i="10" s="1"/>
  <c r="AO40" i="10" a="1"/>
  <c r="AO40" i="10" s="1"/>
  <c r="AP40" i="10" a="1"/>
  <c r="AP40" i="10" s="1"/>
  <c r="AC33" i="10" a="1"/>
  <c r="AC33" i="10" s="1"/>
  <c r="AD33" i="10" a="1"/>
  <c r="AD33" i="10" s="1"/>
  <c r="AE33" i="10" a="1"/>
  <c r="AE33" i="10" s="1"/>
  <c r="AF33" i="10" a="1"/>
  <c r="AF33" i="10" s="1"/>
  <c r="AG33" i="10" a="1"/>
  <c r="AG33" i="10" s="1"/>
  <c r="AH33" i="10" a="1"/>
  <c r="AH33" i="10" s="1"/>
  <c r="AI33" i="10" a="1"/>
  <c r="AI33" i="10" s="1"/>
  <c r="AJ33" i="10" a="1"/>
  <c r="AJ33" i="10" s="1"/>
  <c r="AK33" i="10" a="1"/>
  <c r="AK33" i="10" s="1"/>
  <c r="AL33" i="10" a="1"/>
  <c r="AL33" i="10" s="1"/>
  <c r="AM33" i="10" a="1"/>
  <c r="AM33" i="10" s="1"/>
  <c r="AN33" i="10" a="1"/>
  <c r="AN33" i="10" s="1"/>
  <c r="AO33" i="10" a="1"/>
  <c r="AO33" i="10" s="1"/>
  <c r="AP33" i="10" a="1"/>
  <c r="AP33" i="10" s="1"/>
  <c r="AC32" i="10" a="1"/>
  <c r="AC32" i="10" s="1"/>
  <c r="AD32" i="10" a="1"/>
  <c r="AD32" i="10" s="1"/>
  <c r="AE32" i="10" a="1"/>
  <c r="AE32" i="10" s="1"/>
  <c r="AF32" i="10" a="1"/>
  <c r="AF32" i="10" s="1"/>
  <c r="AG32" i="10" a="1"/>
  <c r="AG32" i="10" s="1"/>
  <c r="AH32" i="10" a="1"/>
  <c r="AH32" i="10" s="1"/>
  <c r="AI32" i="10" a="1"/>
  <c r="AI32" i="10" s="1"/>
  <c r="AJ32" i="10" a="1"/>
  <c r="AJ32" i="10" s="1"/>
  <c r="AK32" i="10" a="1"/>
  <c r="AK32" i="10" s="1"/>
  <c r="AL32" i="10" a="1"/>
  <c r="AL32" i="10" s="1"/>
  <c r="AM32" i="10" a="1"/>
  <c r="AM32" i="10" s="1"/>
  <c r="AN32" i="10" a="1"/>
  <c r="AN32" i="10" s="1"/>
  <c r="AO32" i="10" a="1"/>
  <c r="AO32" i="10" s="1"/>
  <c r="AP32" i="10" a="1"/>
  <c r="AP32" i="10" s="1"/>
  <c r="AC31" i="10" a="1"/>
  <c r="AC31" i="10" s="1"/>
  <c r="AD31" i="10" a="1"/>
  <c r="AD31" i="10" s="1"/>
  <c r="AE31" i="10" a="1"/>
  <c r="AE31" i="10" s="1"/>
  <c r="AF31" i="10" a="1"/>
  <c r="AF31" i="10" s="1"/>
  <c r="AG31" i="10" a="1"/>
  <c r="AG31" i="10" s="1"/>
  <c r="AH31" i="10" a="1"/>
  <c r="AH31" i="10" s="1"/>
  <c r="AI31" i="10" a="1"/>
  <c r="AI31" i="10" s="1"/>
  <c r="AJ31" i="10" a="1"/>
  <c r="AJ31" i="10" s="1"/>
  <c r="AK31" i="10" a="1"/>
  <c r="AK31" i="10" s="1"/>
  <c r="AL31" i="10" a="1"/>
  <c r="AL31" i="10" s="1"/>
  <c r="AM31" i="10" a="1"/>
  <c r="AM31" i="10" s="1"/>
  <c r="AN31" i="10" a="1"/>
  <c r="AN31" i="10" s="1"/>
  <c r="AO31" i="10" a="1"/>
  <c r="AO31" i="10" s="1"/>
  <c r="AP31" i="10" a="1"/>
  <c r="AP31" i="10" s="1"/>
  <c r="AC30" i="10" a="1"/>
  <c r="AC30" i="10" s="1"/>
  <c r="AD30" i="10" a="1"/>
  <c r="AD30" i="10" s="1"/>
  <c r="AE30" i="10" a="1"/>
  <c r="AE30" i="10" s="1"/>
  <c r="AF30" i="10" a="1"/>
  <c r="AF30" i="10" s="1"/>
  <c r="AG30" i="10" a="1"/>
  <c r="AG30" i="10" s="1"/>
  <c r="AH30" i="10" a="1"/>
  <c r="AH30" i="10" s="1"/>
  <c r="AI30" i="10" a="1"/>
  <c r="AI30" i="10" s="1"/>
  <c r="AJ30" i="10" a="1"/>
  <c r="AJ30" i="10" s="1"/>
  <c r="AK30" i="10" a="1"/>
  <c r="AK30" i="10" s="1"/>
  <c r="AL30" i="10" a="1"/>
  <c r="AL30" i="10" s="1"/>
  <c r="AM30" i="10" a="1"/>
  <c r="AM30" i="10" s="1"/>
  <c r="AN30" i="10" a="1"/>
  <c r="AN30" i="10" s="1"/>
  <c r="AO30" i="10" a="1"/>
  <c r="AO30" i="10" s="1"/>
  <c r="AP30" i="10" a="1"/>
  <c r="AP30" i="10" s="1"/>
  <c r="AC26" i="10" a="1"/>
  <c r="AC26" i="10" s="1"/>
  <c r="AD26" i="10" a="1"/>
  <c r="AD26" i="10" s="1"/>
  <c r="AE26" i="10" a="1"/>
  <c r="AE26" i="10" s="1"/>
  <c r="AF26" i="10" a="1"/>
  <c r="AF26" i="10" s="1"/>
  <c r="AG26" i="10" a="1"/>
  <c r="AG26" i="10" s="1"/>
  <c r="AH26" i="10" a="1"/>
  <c r="AH26" i="10" s="1"/>
  <c r="AI26" i="10" a="1"/>
  <c r="AI26" i="10" s="1"/>
  <c r="AJ26" i="10" a="1"/>
  <c r="AJ26" i="10" s="1"/>
  <c r="AK26" i="10" a="1"/>
  <c r="AK26" i="10" s="1"/>
  <c r="AL26" i="10" a="1"/>
  <c r="AL26" i="10" s="1"/>
  <c r="AM26" i="10" a="1"/>
  <c r="AM26" i="10" s="1"/>
  <c r="AN26" i="10" a="1"/>
  <c r="AN26" i="10" s="1"/>
  <c r="AO26" i="10" a="1"/>
  <c r="AO26" i="10" s="1"/>
  <c r="AP26" i="10" a="1"/>
  <c r="AP26" i="10" s="1"/>
  <c r="AC25" i="10" a="1"/>
  <c r="AC25" i="10" s="1"/>
  <c r="AD25" i="10" a="1"/>
  <c r="AD25" i="10" s="1"/>
  <c r="AE25" i="10" a="1"/>
  <c r="AE25" i="10" s="1"/>
  <c r="AF25" i="10" a="1"/>
  <c r="AF25" i="10" s="1"/>
  <c r="AG25" i="10" a="1"/>
  <c r="AG25" i="10" s="1"/>
  <c r="AH25" i="10" a="1"/>
  <c r="AH25" i="10" s="1"/>
  <c r="AI25" i="10" a="1"/>
  <c r="AI25" i="10" s="1"/>
  <c r="AJ25" i="10" a="1"/>
  <c r="AJ25" i="10" s="1"/>
  <c r="AK25" i="10" a="1"/>
  <c r="AK25" i="10" s="1"/>
  <c r="AL25" i="10" a="1"/>
  <c r="AL25" i="10" s="1"/>
  <c r="AM25" i="10" a="1"/>
  <c r="AM25" i="10" s="1"/>
  <c r="AN25" i="10" a="1"/>
  <c r="AN25" i="10" s="1"/>
  <c r="AO25" i="10" a="1"/>
  <c r="AO25" i="10" s="1"/>
  <c r="AP25" i="10" a="1"/>
  <c r="AP25" i="10" s="1"/>
  <c r="AC24" i="10" a="1"/>
  <c r="AC24" i="10" s="1"/>
  <c r="AD24" i="10" a="1"/>
  <c r="AD24" i="10" s="1"/>
  <c r="AE24" i="10" a="1"/>
  <c r="AE24" i="10" s="1"/>
  <c r="AF24" i="10" a="1"/>
  <c r="AF24" i="10" s="1"/>
  <c r="AG24" i="10" a="1"/>
  <c r="AG24" i="10" s="1"/>
  <c r="AH24" i="10" a="1"/>
  <c r="AH24" i="10" s="1"/>
  <c r="AI24" i="10" a="1"/>
  <c r="AI24" i="10" s="1"/>
  <c r="AJ24" i="10" a="1"/>
  <c r="AJ24" i="10" s="1"/>
  <c r="AK24" i="10" a="1"/>
  <c r="AK24" i="10" s="1"/>
  <c r="AL24" i="10" a="1"/>
  <c r="AL24" i="10" s="1"/>
  <c r="AM24" i="10" a="1"/>
  <c r="AM24" i="10" s="1"/>
  <c r="AN24" i="10" a="1"/>
  <c r="AN24" i="10" s="1"/>
  <c r="AO24" i="10" a="1"/>
  <c r="AO24" i="10" s="1"/>
  <c r="AP24" i="10" a="1"/>
  <c r="AP24" i="10" s="1"/>
  <c r="AC23" i="10" a="1"/>
  <c r="AC23" i="10" s="1"/>
  <c r="AD23" i="10" a="1"/>
  <c r="AD23" i="10" s="1"/>
  <c r="AE23" i="10" a="1"/>
  <c r="AE23" i="10" s="1"/>
  <c r="AF23" i="10" a="1"/>
  <c r="AF23" i="10" s="1"/>
  <c r="AG23" i="10" a="1"/>
  <c r="AG23" i="10" s="1"/>
  <c r="AH23" i="10" a="1"/>
  <c r="AH23" i="10" s="1"/>
  <c r="AI23" i="10" a="1"/>
  <c r="AI23" i="10" s="1"/>
  <c r="AJ23" i="10" a="1"/>
  <c r="AJ23" i="10" s="1"/>
  <c r="AK23" i="10" a="1"/>
  <c r="AK23" i="10" s="1"/>
  <c r="AL23" i="10" a="1"/>
  <c r="AL23" i="10" s="1"/>
  <c r="AM23" i="10" a="1"/>
  <c r="AM23" i="10" s="1"/>
  <c r="AN23" i="10" a="1"/>
  <c r="AN23" i="10" s="1"/>
  <c r="AO23" i="10" a="1"/>
  <c r="AO23" i="10" s="1"/>
  <c r="AP23" i="10" a="1"/>
  <c r="AP23" i="10" s="1"/>
  <c r="AD17" i="10" a="1"/>
  <c r="AD17" i="10" s="1"/>
  <c r="AE17" i="10" a="1"/>
  <c r="AE17" i="10" s="1"/>
  <c r="AF17" i="10" a="1"/>
  <c r="AF17" i="10" s="1"/>
  <c r="AG17" i="10" a="1"/>
  <c r="AG17" i="10" s="1"/>
  <c r="AH17" i="10" a="1"/>
  <c r="AH17" i="10" s="1"/>
  <c r="AI17" i="10" a="1"/>
  <c r="AI17" i="10" s="1"/>
  <c r="AJ17" i="10" a="1"/>
  <c r="AJ17" i="10" s="1"/>
  <c r="AK17" i="10" a="1"/>
  <c r="AK17" i="10" s="1"/>
  <c r="AL17" i="10" a="1"/>
  <c r="AL17" i="10" s="1"/>
  <c r="AM17" i="10" a="1"/>
  <c r="AM17" i="10" s="1"/>
  <c r="AN17" i="10" a="1"/>
  <c r="AN17" i="10" s="1"/>
  <c r="AO17" i="10" a="1"/>
  <c r="AO17" i="10" s="1"/>
  <c r="AP17" i="10" a="1"/>
  <c r="AP17" i="10" s="1"/>
  <c r="AD16" i="10" a="1"/>
  <c r="AD16" i="10" s="1"/>
  <c r="AE16" i="10" a="1"/>
  <c r="AE16" i="10" s="1"/>
  <c r="AF16" i="10" a="1"/>
  <c r="AF16" i="10" s="1"/>
  <c r="AG16" i="10" a="1"/>
  <c r="AG16" i="10" s="1"/>
  <c r="AH16" i="10" a="1"/>
  <c r="AH16" i="10" s="1"/>
  <c r="AI16" i="10" a="1"/>
  <c r="AI16" i="10" s="1"/>
  <c r="AJ16" i="10" a="1"/>
  <c r="AJ16" i="10" s="1"/>
  <c r="AK16" i="10" a="1"/>
  <c r="AK16" i="10" s="1"/>
  <c r="AL16" i="10" a="1"/>
  <c r="AL16" i="10" s="1"/>
  <c r="AM16" i="10" a="1"/>
  <c r="AM16" i="10" s="1"/>
  <c r="AN16" i="10" a="1"/>
  <c r="AN16" i="10" s="1"/>
  <c r="AO16" i="10" a="1"/>
  <c r="AO16" i="10" s="1"/>
  <c r="AP16" i="10" a="1"/>
  <c r="AP16" i="10" s="1"/>
  <c r="AC19" i="10" a="1"/>
  <c r="AC19" i="10" s="1"/>
  <c r="AC18" i="10" a="1"/>
  <c r="AC18" i="10" s="1"/>
  <c r="AC17" i="10" a="1"/>
  <c r="AC17" i="10" s="1"/>
  <c r="AC16" i="10" a="1"/>
  <c r="AC16" i="10" s="1"/>
  <c r="I28" i="6"/>
  <c r="AC39" i="10" s="1" a="1"/>
  <c r="AC39" i="10" s="1"/>
  <c r="M28" i="6"/>
  <c r="L28" i="6"/>
  <c r="I7" i="6"/>
  <c r="AB39" i="10" s="1" a="1"/>
  <c r="AB39" i="10" s="1"/>
  <c r="M7" i="6"/>
  <c r="L7" i="6"/>
  <c r="AB54" i="10" a="1"/>
  <c r="AB54" i="10" s="1"/>
  <c r="AB53" i="10" a="1"/>
  <c r="AB53" i="10" s="1"/>
  <c r="AB52" i="10" a="1"/>
  <c r="AB52" i="10" s="1"/>
  <c r="AB51" i="10" a="1"/>
  <c r="AB51" i="10" s="1"/>
  <c r="AB47" i="10" a="1"/>
  <c r="AB47" i="10" s="1"/>
  <c r="AB46" i="10" a="1"/>
  <c r="AB46" i="10" s="1"/>
  <c r="AB45" i="10" a="1"/>
  <c r="AB45" i="10" s="1"/>
  <c r="AB44" i="10" a="1"/>
  <c r="AB44" i="10" s="1"/>
  <c r="AB40" i="10" a="1"/>
  <c r="AB40" i="10" s="1"/>
  <c r="AB38" i="10" a="1"/>
  <c r="AB38" i="10" s="1"/>
  <c r="AB37" i="10" a="1"/>
  <c r="AB37" i="10" s="1"/>
  <c r="AB33" i="10" a="1"/>
  <c r="AB33" i="10" s="1"/>
  <c r="AB32" i="10" a="1"/>
  <c r="AB32" i="10" s="1"/>
  <c r="AB31" i="10" a="1"/>
  <c r="AB31" i="10" s="1"/>
  <c r="AB30" i="10" a="1"/>
  <c r="AB30" i="10" s="1"/>
  <c r="AB26" i="10" a="1"/>
  <c r="AB26" i="10" s="1"/>
  <c r="AB25" i="10" a="1"/>
  <c r="AB25" i="10" s="1"/>
  <c r="AB24" i="10" a="1"/>
  <c r="AB24" i="10" s="1"/>
  <c r="AB23" i="10" a="1"/>
  <c r="AB23" i="10" s="1"/>
  <c r="AB19" i="10" a="1"/>
  <c r="AB19" i="10" s="1"/>
  <c r="AB18" i="10" a="1"/>
  <c r="AB18" i="10" s="1"/>
  <c r="AB17" i="10" a="1"/>
  <c r="AB17" i="10" s="1"/>
  <c r="AB16" i="10" a="1"/>
  <c r="AB16" i="10" s="1"/>
  <c r="AA2" i="10"/>
  <c r="DX82" i="10" l="1"/>
  <c r="DX83" i="10" s="1"/>
  <c r="DX84" i="10" s="1"/>
  <c r="F469" i="6"/>
  <c r="E469" i="6"/>
  <c r="B469" i="6"/>
  <c r="AA56" i="10" l="1"/>
  <c r="Z56" i="10"/>
  <c r="Y56" i="10"/>
  <c r="X56" i="10"/>
  <c r="W56" i="10"/>
  <c r="V56" i="10"/>
  <c r="U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A49" i="10"/>
  <c r="Z49" i="10"/>
  <c r="Y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A42" i="10"/>
  <c r="Z42" i="10"/>
  <c r="Y42" i="10"/>
  <c r="I42" i="10"/>
  <c r="H42" i="10"/>
  <c r="F42" i="10"/>
  <c r="E42" i="10"/>
  <c r="D42" i="10"/>
  <c r="C42" i="10"/>
  <c r="B42" i="10"/>
  <c r="AA40" i="10"/>
  <c r="Z40" i="10"/>
  <c r="W40" i="10"/>
  <c r="Z39" i="10"/>
  <c r="AA38" i="10"/>
  <c r="Z38" i="10"/>
  <c r="W38" i="10"/>
  <c r="AA35" i="10"/>
  <c r="Z35" i="10"/>
  <c r="K35" i="10"/>
  <c r="H35" i="10"/>
  <c r="F35" i="10"/>
  <c r="E35" i="10"/>
  <c r="D35" i="10"/>
  <c r="C35" i="10"/>
  <c r="B35" i="10"/>
  <c r="AA31" i="10"/>
  <c r="Z31" i="10"/>
  <c r="W31" i="10"/>
  <c r="AA30" i="10"/>
  <c r="Z30" i="10"/>
  <c r="V28" i="10"/>
  <c r="Z21" i="10"/>
  <c r="W21" i="10"/>
  <c r="Y14" i="10"/>
  <c r="L14" i="10"/>
  <c r="AA3" i="10"/>
  <c r="Z3" i="10"/>
  <c r="Z4" i="10"/>
  <c r="Z5" i="10"/>
  <c r="Q14" i="10"/>
  <c r="P14" i="10"/>
  <c r="O14" i="10"/>
  <c r="N14" i="10"/>
  <c r="M14" i="10"/>
  <c r="V14" i="10"/>
  <c r="W17" i="10"/>
  <c r="R21" i="10"/>
  <c r="Q21" i="10"/>
  <c r="P21" i="10"/>
  <c r="O21" i="10"/>
  <c r="N21" i="10"/>
  <c r="M21" i="10"/>
  <c r="AA26" i="10"/>
  <c r="W30" i="10"/>
  <c r="W32" i="10"/>
  <c r="AA32" i="10"/>
  <c r="Z32" i="10"/>
  <c r="W33" i="10"/>
  <c r="AA33" i="10"/>
  <c r="Z33" i="10"/>
  <c r="U35" i="10"/>
  <c r="T35" i="10"/>
  <c r="S35" i="10"/>
  <c r="R35" i="10"/>
  <c r="Q35" i="10"/>
  <c r="P35" i="10"/>
  <c r="O35" i="10"/>
  <c r="N35" i="10"/>
  <c r="M35" i="10"/>
  <c r="L35" i="10"/>
  <c r="V35" i="10"/>
  <c r="W35" i="10"/>
  <c r="X35" i="10"/>
  <c r="AA37" i="10"/>
  <c r="Z37" i="10"/>
  <c r="W37" i="10"/>
  <c r="AA39" i="10"/>
  <c r="U42" i="10"/>
  <c r="T42" i="10"/>
  <c r="R42" i="10"/>
  <c r="Q42" i="10"/>
  <c r="P42" i="10"/>
  <c r="O42" i="10"/>
  <c r="N42" i="10"/>
  <c r="L42" i="10"/>
  <c r="K42" i="10"/>
  <c r="J42" i="10"/>
  <c r="V42" i="10"/>
  <c r="W42" i="10"/>
  <c r="X42" i="10"/>
  <c r="W44" i="10"/>
  <c r="AA44" i="10"/>
  <c r="Z44" i="10"/>
  <c r="W45" i="10"/>
  <c r="AA45" i="10"/>
  <c r="Z45" i="10"/>
  <c r="W46" i="10"/>
  <c r="AA46" i="10"/>
  <c r="Z46" i="10"/>
  <c r="AA47" i="10"/>
  <c r="Z47" i="10"/>
  <c r="W47" i="10"/>
  <c r="U49" i="10"/>
  <c r="V49" i="10"/>
  <c r="W49" i="10"/>
  <c r="X49" i="10"/>
  <c r="AA51" i="10"/>
  <c r="Z51" i="10"/>
  <c r="W51" i="10"/>
  <c r="W52" i="10"/>
  <c r="AA52" i="10"/>
  <c r="Z52" i="10"/>
  <c r="AA53" i="10"/>
  <c r="Z53" i="10"/>
  <c r="W53" i="10"/>
  <c r="AA54" i="10"/>
  <c r="Z54" i="10"/>
  <c r="W54" i="10"/>
  <c r="F406" i="6"/>
  <c r="E406" i="6"/>
  <c r="B406" i="6"/>
  <c r="B427" i="6"/>
  <c r="F427" i="6"/>
  <c r="E427" i="6"/>
  <c r="F385" i="6"/>
  <c r="E385" i="6"/>
  <c r="B385" i="6"/>
  <c r="F364" i="6"/>
  <c r="E364" i="6"/>
  <c r="B364" i="6"/>
  <c r="F343" i="6"/>
  <c r="E343" i="6"/>
  <c r="B343" i="6"/>
  <c r="F322" i="6"/>
  <c r="E322" i="6"/>
  <c r="B322" i="6"/>
  <c r="F301" i="6"/>
  <c r="E301" i="6"/>
  <c r="B301" i="6"/>
  <c r="F280" i="6"/>
  <c r="E280" i="6"/>
  <c r="B280" i="6"/>
  <c r="E259" i="6"/>
  <c r="B259" i="6"/>
  <c r="E238" i="6"/>
  <c r="F133" i="6"/>
  <c r="E133" i="6"/>
  <c r="B133" i="6"/>
  <c r="F112" i="6"/>
  <c r="E112" i="6"/>
  <c r="B91" i="6"/>
  <c r="E70" i="6"/>
  <c r="E49" i="6"/>
  <c r="B49" i="6"/>
  <c r="F28" i="6"/>
  <c r="B28" i="6"/>
  <c r="B7" i="6"/>
  <c r="C154" i="2"/>
  <c r="B154" i="2"/>
  <c r="C133" i="2"/>
  <c r="B133" i="2"/>
  <c r="C112" i="2"/>
  <c r="B112" i="2"/>
  <c r="C91" i="2"/>
  <c r="B91" i="2"/>
  <c r="C70" i="2"/>
  <c r="B70" i="2"/>
  <c r="C49" i="2"/>
  <c r="B49" i="2"/>
  <c r="C28" i="2"/>
  <c r="B28" i="2"/>
  <c r="C7" i="2"/>
  <c r="B7" i="2"/>
  <c r="AA28" i="10"/>
  <c r="Z28" i="10"/>
  <c r="Y28" i="10"/>
  <c r="X28" i="10"/>
  <c r="W28" i="10"/>
  <c r="Z26" i="10"/>
  <c r="W26" i="10"/>
  <c r="AA25" i="10"/>
  <c r="Z25" i="10"/>
  <c r="W25" i="10"/>
  <c r="AA24" i="10"/>
  <c r="Z24" i="10"/>
  <c r="W24" i="10"/>
  <c r="AA23" i="10"/>
  <c r="Z23" i="10"/>
  <c r="W23" i="10"/>
  <c r="AA21" i="10"/>
  <c r="Y21" i="10"/>
  <c r="X21" i="10"/>
  <c r="V21" i="10"/>
  <c r="U21" i="10"/>
  <c r="T21" i="10"/>
  <c r="S21" i="10"/>
  <c r="L21" i="10"/>
  <c r="K21" i="10"/>
  <c r="D21" i="10"/>
  <c r="C21" i="10"/>
  <c r="B21" i="10"/>
  <c r="AA19" i="10"/>
  <c r="Z19" i="10"/>
  <c r="W19" i="10"/>
  <c r="AA18" i="10"/>
  <c r="Z18" i="10"/>
  <c r="W18" i="10"/>
  <c r="AA17" i="10"/>
  <c r="Z17" i="10"/>
  <c r="AA16" i="10"/>
  <c r="Z16" i="10"/>
  <c r="W16" i="10"/>
  <c r="AA14" i="10"/>
  <c r="Z14" i="10"/>
  <c r="X14" i="10"/>
  <c r="W14" i="10"/>
  <c r="U14" i="10"/>
  <c r="T14" i="10"/>
  <c r="S14" i="10"/>
  <c r="R14" i="10"/>
  <c r="K14" i="10"/>
  <c r="J14" i="10"/>
  <c r="I14" i="10"/>
  <c r="H14" i="10"/>
  <c r="G14" i="10"/>
  <c r="AA12" i="10"/>
  <c r="Z12" i="10"/>
  <c r="AA11" i="10"/>
  <c r="Z11" i="10"/>
  <c r="AA10" i="10"/>
  <c r="Z10" i="10"/>
  <c r="AA9" i="10"/>
  <c r="Z9" i="10"/>
  <c r="AA5" i="10"/>
  <c r="AA4" i="10"/>
  <c r="Z2" i="10"/>
  <c r="DY73" i="10" l="1"/>
  <c r="DY72" i="10" l="1"/>
  <c r="DY76" i="10"/>
  <c r="DY75" i="10"/>
  <c r="DY74" i="10"/>
  <c r="DX73" i="10" l="1"/>
  <c r="DX74" i="10" s="1"/>
  <c r="DX75" i="10" s="1"/>
  <c r="DX76" i="10" s="1"/>
  <c r="DX7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<sst xmlns="http://schemas.openxmlformats.org/spreadsheetml/2006/main" count="25329" uniqueCount="2026">
  <si>
    <t>Metric</t>
  </si>
  <si>
    <t>Total</t>
  </si>
  <si>
    <t>Station 1</t>
  </si>
  <si>
    <t>Station 2</t>
  </si>
  <si>
    <t>Station 4</t>
  </si>
  <si>
    <t>Total Count</t>
  </si>
  <si>
    <t>Fail Count</t>
  </si>
  <si>
    <t>Fail Rate</t>
  </si>
  <si>
    <t>18.38%</t>
  </si>
  <si>
    <t>28.80%</t>
  </si>
  <si>
    <t>20.18%</t>
  </si>
  <si>
    <t>12.53%</t>
  </si>
  <si>
    <t>Noise Rate</t>
  </si>
  <si>
    <t>7.01%</t>
  </si>
  <si>
    <t>11.39%</t>
  </si>
  <si>
    <t>9.11%</t>
  </si>
  <si>
    <t>3.26%</t>
  </si>
  <si>
    <t>RPM Fail Rate</t>
  </si>
  <si>
    <t>12.65%</t>
  </si>
  <si>
    <t>17.41%</t>
  </si>
  <si>
    <t>13.15%</t>
  </si>
  <si>
    <t>10.28%</t>
  </si>
  <si>
    <t>Other Fail Rate</t>
  </si>
  <si>
    <t>2.71%</t>
  </si>
  <si>
    <t>16.14%</t>
  </si>
  <si>
    <t>0.00%</t>
  </si>
  <si>
    <t>Noise</t>
  </si>
  <si>
    <t>Only Index1 Fail</t>
  </si>
  <si>
    <t>Only Index2 Fail</t>
  </si>
  <si>
    <t>Only Index3 Fail</t>
  </si>
  <si>
    <t>Multiple Index Fail</t>
  </si>
  <si>
    <t>Spec Fail</t>
  </si>
  <si>
    <t>RPM NG</t>
  </si>
  <si>
    <t>Out of control</t>
  </si>
  <si>
    <t>No rotate</t>
  </si>
  <si>
    <t>Others</t>
  </si>
  <si>
    <t>PauseOrFreeRun</t>
  </si>
  <si>
    <t>No Barcode</t>
  </si>
  <si>
    <t>Model Name</t>
  </si>
  <si>
    <t>36204AGJ11</t>
  </si>
  <si>
    <t>Station 3</t>
  </si>
  <si>
    <t>1.13%</t>
  </si>
  <si>
    <t>0.64%</t>
  </si>
  <si>
    <t>2.31%</t>
  </si>
  <si>
    <t>0.75%</t>
  </si>
  <si>
    <t>0.87%</t>
  </si>
  <si>
    <t>1.02%</t>
  </si>
  <si>
    <t>0.25%</t>
  </si>
  <si>
    <t>100.00%</t>
  </si>
  <si>
    <t>0.11%</t>
  </si>
  <si>
    <t>0.50%</t>
  </si>
  <si>
    <t>EFB0412HHDFAT C</t>
  </si>
  <si>
    <t>5.34%</t>
  </si>
  <si>
    <t>4.70%</t>
  </si>
  <si>
    <t>2.99%</t>
  </si>
  <si>
    <t>7.27%</t>
  </si>
  <si>
    <t>7.00%</t>
  </si>
  <si>
    <t>4.93%</t>
  </si>
  <si>
    <t>4.55%</t>
  </si>
  <si>
    <t>2.18%</t>
  </si>
  <si>
    <t>7.18%</t>
  </si>
  <si>
    <t>6.41%</t>
  </si>
  <si>
    <t>0.71%</t>
  </si>
  <si>
    <t>0.85%</t>
  </si>
  <si>
    <t>0.81%</t>
  </si>
  <si>
    <t>0.56%</t>
  </si>
  <si>
    <t>0.59%</t>
  </si>
  <si>
    <t>36204AHK11</t>
  </si>
  <si>
    <t>3.15%</t>
  </si>
  <si>
    <t>3.38%</t>
  </si>
  <si>
    <t>2.89%</t>
  </si>
  <si>
    <t>2.91%</t>
  </si>
  <si>
    <t>3.25%</t>
  </si>
  <si>
    <t>2.54%</t>
  </si>
  <si>
    <t>0.31%</t>
  </si>
  <si>
    <t>0.13%</t>
  </si>
  <si>
    <t>0.49%</t>
  </si>
  <si>
    <t>0.21%</t>
  </si>
  <si>
    <t>0.42%</t>
  </si>
  <si>
    <t>EFB0412VHD-CVPS F,EFB0412VHD-CVA2 F</t>
  </si>
  <si>
    <t>0.74%</t>
  </si>
  <si>
    <t>0.10%</t>
  </si>
  <si>
    <t>9.72%</t>
  </si>
  <si>
    <t>0.65%</t>
  </si>
  <si>
    <t>0.09%</t>
  </si>
  <si>
    <t>36204G3811</t>
  </si>
  <si>
    <t>0.89%</t>
  </si>
  <si>
    <t>0.62%</t>
  </si>
  <si>
    <t>0.27%</t>
  </si>
  <si>
    <t>TAA0412DDX01W2P F</t>
  </si>
  <si>
    <t>8.37%</t>
  </si>
  <si>
    <t>9.44%</t>
  </si>
  <si>
    <t>7.30%</t>
  </si>
  <si>
    <t>8.47%</t>
  </si>
  <si>
    <t>8.17%</t>
  </si>
  <si>
    <t>8.19%</t>
  </si>
  <si>
    <t>9.23%</t>
  </si>
  <si>
    <t>6.96%</t>
  </si>
  <si>
    <t>8.34%</t>
  </si>
  <si>
    <t>0.20%</t>
  </si>
  <si>
    <t>0.34%</t>
  </si>
  <si>
    <t>0.26%</t>
  </si>
  <si>
    <t>0.12%</t>
  </si>
  <si>
    <t>FFB0412UHN-CH68</t>
  </si>
  <si>
    <t>3.85%</t>
  </si>
  <si>
    <t>2.64%</t>
  </si>
  <si>
    <t>4.36%</t>
  </si>
  <si>
    <t>4.54%</t>
  </si>
  <si>
    <t>0.17%</t>
  </si>
  <si>
    <t>0.18%</t>
  </si>
  <si>
    <t>9.21%</t>
  </si>
  <si>
    <t>6.68%</t>
  </si>
  <si>
    <t>10.16%</t>
  </si>
  <si>
    <t>10.76%</t>
  </si>
  <si>
    <t>3.56%</t>
  </si>
  <si>
    <t>10.72%</t>
  </si>
  <si>
    <t>2.47%</t>
  </si>
  <si>
    <t>1.75%</t>
  </si>
  <si>
    <t>5.59%</t>
  </si>
  <si>
    <t>0.44%</t>
  </si>
  <si>
    <t>2.42%</t>
  </si>
  <si>
    <t>0.15%</t>
  </si>
  <si>
    <t>0.22%</t>
  </si>
  <si>
    <t>EFB0412HHDFAT C,EFB0412HHDHGN</t>
  </si>
  <si>
    <t>7.51%</t>
  </si>
  <si>
    <t>3.67%</t>
  </si>
  <si>
    <t>2.12%</t>
  </si>
  <si>
    <t>17.62%</t>
  </si>
  <si>
    <t>8.67%</t>
  </si>
  <si>
    <t>7.25%</t>
  </si>
  <si>
    <t>3.37%</t>
  </si>
  <si>
    <t>1.94%</t>
  </si>
  <si>
    <t>17.40%</t>
  </si>
  <si>
    <t>8.32%</t>
  </si>
  <si>
    <t>0.36%</t>
  </si>
  <si>
    <t>0.35%</t>
  </si>
  <si>
    <t>0.19%</t>
  </si>
  <si>
    <t>0.58%</t>
  </si>
  <si>
    <t>0.07%</t>
  </si>
  <si>
    <t>3.79%</t>
  </si>
  <si>
    <t>4.51%</t>
  </si>
  <si>
    <t>2.95%</t>
  </si>
  <si>
    <t>3.87%</t>
  </si>
  <si>
    <t>3.70%</t>
  </si>
  <si>
    <t>4.31%</t>
  </si>
  <si>
    <t>2.90%</t>
  </si>
  <si>
    <t>0.32%</t>
  </si>
  <si>
    <t>0.30%</t>
  </si>
  <si>
    <t>0.47%</t>
  </si>
  <si>
    <t>EFB0412VHD-CVA2 F,EFB0412VHD-CVPS F</t>
    <phoneticPr fontId="1" type="noConversion"/>
  </si>
  <si>
    <t>0.38%</t>
  </si>
  <si>
    <t>36204G3811,36204G3711</t>
  </si>
  <si>
    <t>0.63%</t>
  </si>
  <si>
    <t>0.48%</t>
  </si>
  <si>
    <t>0.16%</t>
  </si>
  <si>
    <t>1.51%</t>
  </si>
  <si>
    <t>1.08%</t>
  </si>
  <si>
    <t>0.43%</t>
  </si>
  <si>
    <t>0.05%</t>
  </si>
  <si>
    <t>12.06%</t>
  </si>
  <si>
    <t>19.69%</t>
  </si>
  <si>
    <t>7.97%</t>
  </si>
  <si>
    <t>10.24%</t>
  </si>
  <si>
    <t>9.96%</t>
  </si>
  <si>
    <t>11.89%</t>
  </si>
  <si>
    <t>19.56%</t>
  </si>
  <si>
    <t>7.71%</t>
  </si>
  <si>
    <t>10.17%</t>
  </si>
  <si>
    <t>9.74%</t>
  </si>
  <si>
    <t>FFB0412UHN-CH68</t>
    <phoneticPr fontId="1" type="noConversion"/>
  </si>
  <si>
    <t>8.56%</t>
  </si>
  <si>
    <t>9.82%</t>
  </si>
  <si>
    <t>7.31%</t>
  </si>
  <si>
    <t>8.33%</t>
  </si>
  <si>
    <t>0.60%</t>
  </si>
  <si>
    <t>7.96%</t>
  </si>
  <si>
    <t>9.08%</t>
  </si>
  <si>
    <t>6.94%</t>
  </si>
  <si>
    <t>7.69%</t>
  </si>
  <si>
    <t>4.97%</t>
  </si>
  <si>
    <t>14.04%</t>
  </si>
  <si>
    <t>36204AGJ11,FFB0412VN-00VFE</t>
  </si>
  <si>
    <t>1.65%</t>
  </si>
  <si>
    <t>1.56%</t>
  </si>
  <si>
    <t>2.55%</t>
  </si>
  <si>
    <t>1.38%</t>
  </si>
  <si>
    <t>0.97%</t>
  </si>
  <si>
    <t>1.58%</t>
  </si>
  <si>
    <t>EFB0412HHDHGN</t>
  </si>
  <si>
    <t>7.57%</t>
  </si>
  <si>
    <t>3.77%</t>
  </si>
  <si>
    <t>4.43%</t>
  </si>
  <si>
    <t>10.00%</t>
  </si>
  <si>
    <t>13.70%</t>
  </si>
  <si>
    <t>5.61%</t>
  </si>
  <si>
    <t>3.65%</t>
  </si>
  <si>
    <t>2.00%</t>
  </si>
  <si>
    <t>7.59%</t>
  </si>
  <si>
    <t>10.55%</t>
  </si>
  <si>
    <t>1.77%</t>
  </si>
  <si>
    <t>0.37%</t>
  </si>
  <si>
    <t>2.28%</t>
  </si>
  <si>
    <t>2.44%</t>
  </si>
  <si>
    <t>36204AHK11,36204B5911</t>
  </si>
  <si>
    <t>4.33%</t>
  </si>
  <si>
    <t>3.01%</t>
  </si>
  <si>
    <t>3.69%</t>
  </si>
  <si>
    <t>4.21%</t>
  </si>
  <si>
    <t>EFB0412VHD-CVPS F</t>
  </si>
  <si>
    <t>36204G3711</t>
  </si>
  <si>
    <t>1.79%</t>
  </si>
  <si>
    <t>7.58%</t>
  </si>
  <si>
    <t>8.66%</t>
  </si>
  <si>
    <t>5.58%</t>
  </si>
  <si>
    <t>7.29%</t>
  </si>
  <si>
    <t>6.24%</t>
  </si>
  <si>
    <t>6.77%</t>
  </si>
  <si>
    <t>8.48%</t>
  </si>
  <si>
    <t>5.29%</t>
  </si>
  <si>
    <t>7.09%</t>
  </si>
  <si>
    <t>6.17%</t>
  </si>
  <si>
    <t>12.23%</t>
  </si>
  <si>
    <t>9.40%</t>
  </si>
  <si>
    <t>24.58%</t>
  </si>
  <si>
    <t>9.02%</t>
  </si>
  <si>
    <t>3.21%</t>
  </si>
  <si>
    <t>3.60%</t>
  </si>
  <si>
    <t>0.29%</t>
  </si>
  <si>
    <t>8.69%</t>
  </si>
  <si>
    <t>0.92%</t>
  </si>
  <si>
    <t>8.63%</t>
  </si>
  <si>
    <t>13.19%</t>
  </si>
  <si>
    <t>8.10%</t>
  </si>
  <si>
    <t>0.80%</t>
  </si>
  <si>
    <t>17.27%</t>
  </si>
  <si>
    <t>FFB0412VN-00VFE,EFB0412HHDHGN,36204AGJ11</t>
  </si>
  <si>
    <t>1.47%</t>
  </si>
  <si>
    <t>2.50%</t>
  </si>
  <si>
    <t>1.64%</t>
  </si>
  <si>
    <t>1.34%</t>
  </si>
  <si>
    <t>1.37%</t>
  </si>
  <si>
    <t>0.45%</t>
  </si>
  <si>
    <t>8.51%</t>
  </si>
  <si>
    <t>5.63%</t>
  </si>
  <si>
    <t>11.88%</t>
  </si>
  <si>
    <t>5.07%</t>
  </si>
  <si>
    <t>11.12%</t>
  </si>
  <si>
    <t>5.52%</t>
  </si>
  <si>
    <t>1.36%</t>
  </si>
  <si>
    <t>6.58%</t>
  </si>
  <si>
    <t>3.31%</t>
  </si>
  <si>
    <t>3.78%</t>
  </si>
  <si>
    <t>3.71%</t>
  </si>
  <si>
    <t>36204B5911</t>
  </si>
  <si>
    <t>4.96%</t>
  </si>
  <si>
    <t>5.41%</t>
  </si>
  <si>
    <t>4.99%</t>
  </si>
  <si>
    <t>0.04%</t>
  </si>
  <si>
    <t>0.01%</t>
  </si>
  <si>
    <t>8.01%</t>
  </si>
  <si>
    <t>10.88%</t>
  </si>
  <si>
    <t>5.16%</t>
  </si>
  <si>
    <t>7.22%</t>
  </si>
  <si>
    <t>8.62%</t>
  </si>
  <si>
    <t>7.83%</t>
  </si>
  <si>
    <t>10.45%</t>
  </si>
  <si>
    <t>0.23%</t>
  </si>
  <si>
    <t>0.02%</t>
  </si>
  <si>
    <t>0.06%</t>
  </si>
  <si>
    <t>5.14%</t>
  </si>
  <si>
    <t>4.23%</t>
  </si>
  <si>
    <t>5.89%</t>
  </si>
  <si>
    <t>0.88%</t>
  </si>
  <si>
    <t>3.86%</t>
  </si>
  <si>
    <t>5.01%</t>
  </si>
  <si>
    <t>FFB0412VN-00VFE</t>
  </si>
  <si>
    <t>1.89%</t>
  </si>
  <si>
    <t>1.26%</t>
  </si>
  <si>
    <t>2.11%</t>
  </si>
  <si>
    <t>2.04%</t>
  </si>
  <si>
    <t>1.72%</t>
  </si>
  <si>
    <t>1.50%</t>
  </si>
  <si>
    <t>1.86%</t>
  </si>
  <si>
    <t>8.23%</t>
  </si>
  <si>
    <t>6.11%</t>
  </si>
  <si>
    <t>11.25%</t>
  </si>
  <si>
    <t>12.61%</t>
  </si>
  <si>
    <t>6.67%</t>
  </si>
  <si>
    <t>5.93%</t>
  </si>
  <si>
    <t>9.36%</t>
  </si>
  <si>
    <t>1.40%</t>
  </si>
  <si>
    <t>10.14%</t>
  </si>
  <si>
    <t>2.16%</t>
  </si>
  <si>
    <t>2.32%</t>
  </si>
  <si>
    <t>7.35%</t>
  </si>
  <si>
    <t>7.07%</t>
  </si>
  <si>
    <t>7.03%</t>
  </si>
  <si>
    <t>8.00%</t>
  </si>
  <si>
    <t>7.32%</t>
  </si>
  <si>
    <t>6.98%</t>
  </si>
  <si>
    <t>0.73%</t>
  </si>
  <si>
    <t>6.61%</t>
  </si>
  <si>
    <t>6.06%</t>
  </si>
  <si>
    <t>6.02%</t>
  </si>
  <si>
    <t>7.23%</t>
  </si>
  <si>
    <t>6.56%</t>
  </si>
  <si>
    <t>6.00%</t>
  </si>
  <si>
    <t>5.96%</t>
  </si>
  <si>
    <t>7.16%</t>
  </si>
  <si>
    <t>0.08%</t>
  </si>
  <si>
    <t>0.14%</t>
  </si>
  <si>
    <t>7.13%</t>
  </si>
  <si>
    <t>8.83%</t>
  </si>
  <si>
    <t>10.69%</t>
  </si>
  <si>
    <t>1.84%</t>
  </si>
  <si>
    <t>6.78%</t>
  </si>
  <si>
    <t>5.71%</t>
  </si>
  <si>
    <t>0.46%</t>
  </si>
  <si>
    <t>6.80%</t>
  </si>
  <si>
    <t>7.11%</t>
  </si>
  <si>
    <t>7.56%</t>
  </si>
  <si>
    <t>6.74%</t>
  </si>
  <si>
    <t>6.91%</t>
  </si>
  <si>
    <t>2.35%</t>
  </si>
  <si>
    <t>7.40%</t>
  </si>
  <si>
    <t>8.03%</t>
  </si>
  <si>
    <t>5.55%</t>
  </si>
  <si>
    <t>7.15%</t>
  </si>
  <si>
    <t>7.70%</t>
  </si>
  <si>
    <t>5.30%</t>
  </si>
  <si>
    <t>9.00%</t>
  </si>
  <si>
    <t>6.95%</t>
  </si>
  <si>
    <t>0.77%</t>
  </si>
  <si>
    <t>8.41%</t>
  </si>
  <si>
    <t>9.80%</t>
  </si>
  <si>
    <t>4.66%</t>
  </si>
  <si>
    <t>7.81%</t>
  </si>
  <si>
    <t>0.67%</t>
  </si>
  <si>
    <t>1.80%</t>
  </si>
  <si>
    <t>36204G1711</t>
  </si>
  <si>
    <t>5.57%</t>
  </si>
  <si>
    <t>14.60%</t>
  </si>
  <si>
    <t>1.68%</t>
  </si>
  <si>
    <t>3.89%</t>
  </si>
  <si>
    <t>14.45%</t>
  </si>
  <si>
    <t>2.93%</t>
  </si>
  <si>
    <t>1.17%</t>
  </si>
  <si>
    <t>0.24%</t>
  </si>
  <si>
    <t>8.78%</t>
  </si>
  <si>
    <t>1.97%</t>
  </si>
  <si>
    <t>10.51%</t>
  </si>
  <si>
    <t>1.32%</t>
  </si>
  <si>
    <t>2.15%</t>
  </si>
  <si>
    <t>1.61%</t>
  </si>
  <si>
    <t>0.54%</t>
  </si>
  <si>
    <t>10.03%</t>
  </si>
  <si>
    <t>14.24%</t>
  </si>
  <si>
    <t>2.59%</t>
  </si>
  <si>
    <t>3.12%</t>
  </si>
  <si>
    <t>6.92%</t>
  </si>
  <si>
    <t>9.95%</t>
  </si>
  <si>
    <t>12.38%</t>
  </si>
  <si>
    <t>1.49%</t>
  </si>
  <si>
    <t>1.14%</t>
  </si>
  <si>
    <t>1.59%</t>
  </si>
  <si>
    <t>1.09%</t>
  </si>
  <si>
    <t>36204B5911,36204AQ911</t>
  </si>
  <si>
    <t>8.05%</t>
  </si>
  <si>
    <t>4.47%</t>
  </si>
  <si>
    <t>13.50%</t>
  </si>
  <si>
    <t>4.11%</t>
  </si>
  <si>
    <t>0.82%</t>
  </si>
  <si>
    <t>36204G3711,36204G3811</t>
  </si>
  <si>
    <t>10.73%</t>
  </si>
  <si>
    <t>17.37%</t>
  </si>
  <si>
    <t>6.53%</t>
  </si>
  <si>
    <t>9.81%</t>
  </si>
  <si>
    <t>9.28%</t>
  </si>
  <si>
    <t>10.53%</t>
  </si>
  <si>
    <t>17.07%</t>
  </si>
  <si>
    <t>6.25%</t>
  </si>
  <si>
    <t>9.62%</t>
  </si>
  <si>
    <t>8.02%</t>
  </si>
  <si>
    <t>4.90%</t>
  </si>
  <si>
    <t>13.86%</t>
  </si>
  <si>
    <t>4.32%</t>
  </si>
  <si>
    <t>5.24%</t>
  </si>
  <si>
    <t>8.61%</t>
  </si>
  <si>
    <t>2.70%</t>
  </si>
  <si>
    <t>1.87%</t>
  </si>
  <si>
    <t>2.87%</t>
  </si>
  <si>
    <t>2.58%</t>
  </si>
  <si>
    <t>3.17%</t>
  </si>
  <si>
    <t>2.76%</t>
  </si>
  <si>
    <t>6.39%</t>
  </si>
  <si>
    <t>10.80%</t>
  </si>
  <si>
    <t>7.48%</t>
  </si>
  <si>
    <t>4.57%</t>
  </si>
  <si>
    <t>2.73%</t>
  </si>
  <si>
    <t>5.08%</t>
  </si>
  <si>
    <t>10.39%</t>
  </si>
  <si>
    <t>5.28%</t>
  </si>
  <si>
    <t>2.56%</t>
  </si>
  <si>
    <t>2.26%</t>
  </si>
  <si>
    <t>0.95%</t>
  </si>
  <si>
    <t>1.06%</t>
  </si>
  <si>
    <t>1.10%</t>
  </si>
  <si>
    <t>1.16%</t>
  </si>
  <si>
    <t>36204AQ911</t>
  </si>
  <si>
    <t>5.38%</t>
  </si>
  <si>
    <t>4.08%</t>
  </si>
  <si>
    <t>3.45%</t>
  </si>
  <si>
    <t>9.07%</t>
  </si>
  <si>
    <t>5.10%</t>
  </si>
  <si>
    <t>3.42%</t>
  </si>
  <si>
    <t>3.35%</t>
  </si>
  <si>
    <t>0.66%</t>
  </si>
  <si>
    <t>1.15%</t>
  </si>
  <si>
    <t>0.33%</t>
  </si>
  <si>
    <t>0.39%</t>
  </si>
  <si>
    <t>8.58%</t>
  </si>
  <si>
    <t>9.03%</t>
  </si>
  <si>
    <t>5.74%</t>
  </si>
  <si>
    <t>13.01%</t>
  </si>
  <si>
    <t>3.53%</t>
  </si>
  <si>
    <t>6.45%</t>
  </si>
  <si>
    <t>5.20%</t>
  </si>
  <si>
    <t>2.43%</t>
  </si>
  <si>
    <t>1.63%</t>
  </si>
  <si>
    <t>3.23%</t>
  </si>
  <si>
    <t>2.88%</t>
  </si>
  <si>
    <t>1.41%</t>
  </si>
  <si>
    <t>1.60%</t>
  </si>
  <si>
    <t>1.82%</t>
  </si>
  <si>
    <t>1.28%</t>
  </si>
  <si>
    <t>16.55%</t>
  </si>
  <si>
    <t>4.27%</t>
  </si>
  <si>
    <t>8.07%</t>
  </si>
  <si>
    <t>38.08%</t>
  </si>
  <si>
    <t>9.68%</t>
  </si>
  <si>
    <t>2.72%</t>
  </si>
  <si>
    <t>2.65%</t>
  </si>
  <si>
    <t>13.78%</t>
  </si>
  <si>
    <t>1.07%</t>
  </si>
  <si>
    <t>5.42%</t>
  </si>
  <si>
    <t>35.26%</t>
  </si>
  <si>
    <t>8.06%</t>
  </si>
  <si>
    <t>2.41%</t>
  </si>
  <si>
    <t>7.26%</t>
  </si>
  <si>
    <t>FFB0412EN-00WGY,36204D6511</t>
  </si>
  <si>
    <t>1.83%</t>
  </si>
  <si>
    <t>1.39%</t>
  </si>
  <si>
    <t>0.98%</t>
  </si>
  <si>
    <t>3.19%</t>
  </si>
  <si>
    <t>6.34%</t>
  </si>
  <si>
    <t>8.20%</t>
  </si>
  <si>
    <t>3.40%</t>
  </si>
  <si>
    <t>9.92%</t>
  </si>
  <si>
    <t>6.84%</t>
  </si>
  <si>
    <t>6.20%</t>
  </si>
  <si>
    <t>3.72%</t>
  </si>
  <si>
    <t>9.22%</t>
  </si>
  <si>
    <t>10.82%</t>
  </si>
  <si>
    <t>14.55%</t>
  </si>
  <si>
    <t>8.50%</t>
  </si>
  <si>
    <t>10.42%</t>
  </si>
  <si>
    <t>0.53%</t>
  </si>
  <si>
    <t>0.86%</t>
  </si>
  <si>
    <t>0.94%</t>
  </si>
  <si>
    <t>3.58%</t>
  </si>
  <si>
    <t>36204AAS11,36204D0811</t>
  </si>
  <si>
    <t>2.36%</t>
  </si>
  <si>
    <t>1.66%</t>
  </si>
  <si>
    <t>2.86%</t>
  </si>
  <si>
    <t>2.01%</t>
  </si>
  <si>
    <t>1.92%</t>
  </si>
  <si>
    <t>1.25%</t>
  </si>
  <si>
    <t>4.28%</t>
  </si>
  <si>
    <t>3.06%</t>
  </si>
  <si>
    <t>2.92%</t>
  </si>
  <si>
    <t>8.80%</t>
  </si>
  <si>
    <t>3.63%</t>
  </si>
  <si>
    <t>2.22%</t>
  </si>
  <si>
    <t>8.59%</t>
  </si>
  <si>
    <t>0.70%</t>
  </si>
  <si>
    <t>36204D6511</t>
  </si>
  <si>
    <t>4.42%</t>
  </si>
  <si>
    <t>3.98%</t>
  </si>
  <si>
    <t>6.88%</t>
  </si>
  <si>
    <t>4.17%</t>
  </si>
  <si>
    <t>3.30%</t>
  </si>
  <si>
    <t>0.40%</t>
  </si>
  <si>
    <t>0.68%</t>
  </si>
  <si>
    <t>0.90%</t>
  </si>
  <si>
    <t>8.74%</t>
  </si>
  <si>
    <t>3.88%</t>
  </si>
  <si>
    <t>11.61%</t>
  </si>
  <si>
    <t>18.24%</t>
  </si>
  <si>
    <t>6.36%</t>
  </si>
  <si>
    <t>1.18%</t>
  </si>
  <si>
    <t>9.86%</t>
  </si>
  <si>
    <t>14.86%</t>
  </si>
  <si>
    <t>3.68%</t>
  </si>
  <si>
    <t>2.37%</t>
  </si>
  <si>
    <t>5.22%</t>
  </si>
  <si>
    <t>1.19%</t>
  </si>
  <si>
    <t>1.04%</t>
  </si>
  <si>
    <t>0.41%</t>
  </si>
  <si>
    <t>3.13%</t>
  </si>
  <si>
    <t>1.33%</t>
  </si>
  <si>
    <t>1.54%</t>
  </si>
  <si>
    <t>2.09%</t>
  </si>
  <si>
    <t>10.57%</t>
  </si>
  <si>
    <t>7.39%</t>
  </si>
  <si>
    <t>9.10%</t>
  </si>
  <si>
    <t>6.05%</t>
  </si>
  <si>
    <t>8.28%</t>
  </si>
  <si>
    <t>10.35%</t>
  </si>
  <si>
    <t>7.28%</t>
  </si>
  <si>
    <t>13.11%</t>
  </si>
  <si>
    <t>22.45%</t>
  </si>
  <si>
    <t>7.88%</t>
  </si>
  <si>
    <t>8.30%</t>
  </si>
  <si>
    <t>7.46%</t>
  </si>
  <si>
    <t>17.39%</t>
  </si>
  <si>
    <t>2.05%</t>
  </si>
  <si>
    <t>2.20%</t>
  </si>
  <si>
    <t>5.32%</t>
  </si>
  <si>
    <t>5.83%</t>
  </si>
  <si>
    <t>6.10%</t>
  </si>
  <si>
    <t>9.29%</t>
  </si>
  <si>
    <t>36204D0811,36204ANM11,36204ANW11</t>
  </si>
  <si>
    <t>2.74%</t>
  </si>
  <si>
    <t>3.83%</t>
  </si>
  <si>
    <t>2.25%</t>
  </si>
  <si>
    <t>4.88%</t>
  </si>
  <si>
    <t>4.03%</t>
  </si>
  <si>
    <t>1.90%</t>
  </si>
  <si>
    <t>11.02%</t>
  </si>
  <si>
    <t>3.51%</t>
  </si>
  <si>
    <t>2.29%</t>
  </si>
  <si>
    <t>2.48%</t>
  </si>
  <si>
    <t>1.11%</t>
  </si>
  <si>
    <t>9.24%</t>
  </si>
  <si>
    <t>1.55%</t>
  </si>
  <si>
    <t>0.79%</t>
  </si>
  <si>
    <t>1.78%</t>
  </si>
  <si>
    <t>2.83%</t>
  </si>
  <si>
    <t>2.51%</t>
  </si>
  <si>
    <t>4.98%</t>
  </si>
  <si>
    <t>2.61%</t>
  </si>
  <si>
    <t>0.61%</t>
  </si>
  <si>
    <t>0.03%</t>
  </si>
  <si>
    <t>15.53%</t>
  </si>
  <si>
    <t>14.29%</t>
  </si>
  <si>
    <t>14.21%</t>
  </si>
  <si>
    <t>12.24%</t>
  </si>
  <si>
    <t>2.63%</t>
  </si>
  <si>
    <t>6.04%</t>
  </si>
  <si>
    <t>1.31%</t>
  </si>
  <si>
    <t>1.29%</t>
  </si>
  <si>
    <t>7.36%</t>
  </si>
  <si>
    <t>12.93%</t>
  </si>
  <si>
    <t>4.13%</t>
  </si>
  <si>
    <t>7.12%</t>
  </si>
  <si>
    <t>15.66%</t>
  </si>
  <si>
    <t>24.64%</t>
  </si>
  <si>
    <t>11.29%</t>
  </si>
  <si>
    <t>10.11%</t>
  </si>
  <si>
    <t>19.11%</t>
  </si>
  <si>
    <t>4.34%</t>
  </si>
  <si>
    <t>5.64%</t>
  </si>
  <si>
    <t>5.54%</t>
  </si>
  <si>
    <t>2.52%</t>
  </si>
  <si>
    <t>36204ANW11,36204APG11</t>
  </si>
  <si>
    <t>3.08%</t>
  </si>
  <si>
    <t>4.68%</t>
  </si>
  <si>
    <t>2.46%</t>
  </si>
  <si>
    <t>2.30%</t>
  </si>
  <si>
    <t>3.76%</t>
  </si>
  <si>
    <t>0.69%</t>
  </si>
  <si>
    <t>1.93%</t>
  </si>
  <si>
    <t>1.35%</t>
  </si>
  <si>
    <t>1.53%</t>
  </si>
  <si>
    <t>12.71%</t>
  </si>
  <si>
    <t>18.27%</t>
  </si>
  <si>
    <t>16.73%</t>
  </si>
  <si>
    <t>9.61%</t>
  </si>
  <si>
    <t>15.71%</t>
  </si>
  <si>
    <t>13.94%</t>
  </si>
  <si>
    <t>2.79%</t>
  </si>
  <si>
    <t>0.52%</t>
  </si>
  <si>
    <t>21.05%</t>
  </si>
  <si>
    <t>5.05%</t>
  </si>
  <si>
    <t>20.78%</t>
  </si>
  <si>
    <t>0.28%</t>
  </si>
  <si>
    <t>0.57%</t>
  </si>
  <si>
    <t>7.17%</t>
  </si>
  <si>
    <t>8.65%</t>
  </si>
  <si>
    <t>7.10%</t>
  </si>
  <si>
    <t>6.35%</t>
  </si>
  <si>
    <t>7.41%</t>
  </si>
  <si>
    <t>12.34%</t>
  </si>
  <si>
    <t>4.84%</t>
  </si>
  <si>
    <t>6.21%</t>
  </si>
  <si>
    <t>4.37%</t>
  </si>
  <si>
    <t>1.74%</t>
  </si>
  <si>
    <t>0.76%</t>
  </si>
  <si>
    <t>19.31%</t>
  </si>
  <si>
    <t>5.44%</t>
  </si>
  <si>
    <t>8.98%</t>
  </si>
  <si>
    <t>18.88%</t>
  </si>
  <si>
    <t>4.92%</t>
  </si>
  <si>
    <t>19.32%</t>
  </si>
  <si>
    <t>32.15%</t>
  </si>
  <si>
    <t>22.70%</t>
  </si>
  <si>
    <t>11.73%</t>
  </si>
  <si>
    <t>13.92%</t>
  </si>
  <si>
    <t>19.81%</t>
  </si>
  <si>
    <t>21.62%</t>
  </si>
  <si>
    <t>7.47%</t>
  </si>
  <si>
    <t>5.40%</t>
  </si>
  <si>
    <t>4.26%</t>
  </si>
  <si>
    <t>9.53%</t>
  </si>
  <si>
    <t>36204APG11</t>
  </si>
  <si>
    <t>3.81%</t>
  </si>
  <si>
    <t>3.02%</t>
  </si>
  <si>
    <t>5.50%</t>
  </si>
  <si>
    <t>14.89%</t>
  </si>
  <si>
    <t>6.47%</t>
  </si>
  <si>
    <t>2.77%</t>
  </si>
  <si>
    <t>TFA0412CNKRV</t>
  </si>
  <si>
    <t>4.82%</t>
  </si>
  <si>
    <t>5.90%</t>
  </si>
  <si>
    <t>3.24%</t>
  </si>
  <si>
    <t>1.21%</t>
  </si>
  <si>
    <t>2.62%</t>
  </si>
  <si>
    <t>2.67%</t>
  </si>
  <si>
    <t>4.53%</t>
  </si>
  <si>
    <t>2.97%</t>
  </si>
  <si>
    <t>3.91%</t>
  </si>
  <si>
    <t>11.69%</t>
  </si>
  <si>
    <t>Station 1</t>
    <phoneticPr fontId="1" type="noConversion"/>
  </si>
  <si>
    <t>7.08%</t>
  </si>
  <si>
    <t>5.49%</t>
  </si>
  <si>
    <t>5.73%</t>
  </si>
  <si>
    <t>6.69%</t>
  </si>
  <si>
    <t>4.30%</t>
  </si>
  <si>
    <t>1.69%</t>
  </si>
  <si>
    <t>36204APG11,36204AY811</t>
  </si>
  <si>
    <t>10.36%</t>
  </si>
  <si>
    <t>6.59%</t>
  </si>
  <si>
    <t>9.16%</t>
  </si>
  <si>
    <t>3.36%</t>
  </si>
  <si>
    <t>0.51%</t>
  </si>
  <si>
    <t>1.20%</t>
  </si>
  <si>
    <t>TFA0412CNKRV,TAA0412CDEJ9</t>
  </si>
  <si>
    <t>16.32%</t>
  </si>
  <si>
    <t>6.89%</t>
  </si>
  <si>
    <t>43.37%</t>
  </si>
  <si>
    <t>4.40%</t>
  </si>
  <si>
    <t>6.18%</t>
  </si>
  <si>
    <t>3.59%</t>
  </si>
  <si>
    <t>5.78%</t>
  </si>
  <si>
    <t>9.49%</t>
  </si>
  <si>
    <t>31.01%</t>
  </si>
  <si>
    <t>3.32%</t>
  </si>
  <si>
    <t>36204AFK11</t>
  </si>
  <si>
    <t>6.27%</t>
  </si>
  <si>
    <t>8.57%</t>
  </si>
  <si>
    <t>4.04%</t>
  </si>
  <si>
    <t>EFB0412VHD-CVPS F,EFB0412VHD-CVXA F</t>
  </si>
  <si>
    <t>15.36%</t>
  </si>
  <si>
    <t>10.86%</t>
  </si>
  <si>
    <t>17.73%</t>
  </si>
  <si>
    <t>11.23%</t>
  </si>
  <si>
    <t>15.27%</t>
  </si>
  <si>
    <t>4.58%</t>
  </si>
  <si>
    <t>3.57%</t>
  </si>
  <si>
    <t>5.17%</t>
  </si>
  <si>
    <t>11.99%</t>
  </si>
  <si>
    <t>26.82%</t>
  </si>
  <si>
    <t>6.83%</t>
  </si>
  <si>
    <t>11.64%</t>
  </si>
  <si>
    <t>26.17%</t>
  </si>
  <si>
    <t>5.98%</t>
  </si>
  <si>
    <t>6.13%</t>
  </si>
  <si>
    <t>11.85%</t>
  </si>
  <si>
    <t>12.32%</t>
  </si>
  <si>
    <t>13.08%</t>
  </si>
  <si>
    <t>8.18%</t>
  </si>
  <si>
    <t>9.69%</t>
  </si>
  <si>
    <t>3.29%</t>
  </si>
  <si>
    <t>5.33%</t>
  </si>
  <si>
    <t>12.50%</t>
  </si>
  <si>
    <t>2.96%</t>
  </si>
  <si>
    <t>12.25%</t>
  </si>
  <si>
    <t>0.83%</t>
  </si>
  <si>
    <t>13.98%</t>
  </si>
  <si>
    <t>20.81%</t>
  </si>
  <si>
    <t>10.04%</t>
  </si>
  <si>
    <t>11.53%</t>
  </si>
  <si>
    <t>12.64%</t>
  </si>
  <si>
    <t>13.71%</t>
  </si>
  <si>
    <t>20.74%</t>
  </si>
  <si>
    <t>9.70%</t>
  </si>
  <si>
    <t>11.30%</t>
  </si>
  <si>
    <t>12.18%</t>
  </si>
  <si>
    <t>13.12%</t>
  </si>
  <si>
    <t>9.38%</t>
  </si>
  <si>
    <t>19.02%</t>
  </si>
  <si>
    <t>10.63%</t>
  </si>
  <si>
    <t>7.68%</t>
  </si>
  <si>
    <t>16.80%</t>
  </si>
  <si>
    <t>1.70%</t>
  </si>
  <si>
    <t>2.17%</t>
  </si>
  <si>
    <t>36204AY811</t>
  </si>
  <si>
    <t>0.84%</t>
  </si>
  <si>
    <t>TAA0412CDEJ9,TAA0412CD-AF83 A</t>
  </si>
  <si>
    <t>13.52%</t>
  </si>
  <si>
    <t>39.19%</t>
  </si>
  <si>
    <t>8.04%</t>
  </si>
  <si>
    <t>7.77%</t>
  </si>
  <si>
    <t>28.71%</t>
  </si>
  <si>
    <t>1.98%</t>
  </si>
  <si>
    <t>11.45%</t>
  </si>
  <si>
    <t>7.92%</t>
  </si>
  <si>
    <t>12.90%</t>
  </si>
  <si>
    <t>8.90%</t>
  </si>
  <si>
    <t>4.50%</t>
  </si>
  <si>
    <t>5.92%</t>
  </si>
  <si>
    <t>11.63%</t>
  </si>
  <si>
    <t>2.80%</t>
  </si>
  <si>
    <t>11.00%</t>
  </si>
  <si>
    <t>10.09%</t>
  </si>
  <si>
    <t>21.36%</t>
  </si>
  <si>
    <t>9.55%</t>
  </si>
  <si>
    <t>9.98%</t>
  </si>
  <si>
    <t>20.89%</t>
  </si>
  <si>
    <t>9.41%</t>
  </si>
  <si>
    <t>5.43%</t>
  </si>
  <si>
    <t>3.18%</t>
  </si>
  <si>
    <t>2.82%</t>
  </si>
  <si>
    <t>33.35%</t>
  </si>
  <si>
    <t>29.78%</t>
  </si>
  <si>
    <t>40.97%</t>
  </si>
  <si>
    <t>30.73%</t>
  </si>
  <si>
    <t>36204AY811,FFB0412VN-00VE4,36204ATM11</t>
  </si>
  <si>
    <t>1.67%</t>
  </si>
  <si>
    <t>3.54%</t>
  </si>
  <si>
    <t>0.72%</t>
  </si>
  <si>
    <t>TAA0412CD-AF83 A</t>
  </si>
  <si>
    <t>14.61%</t>
  </si>
  <si>
    <t>12.92%</t>
  </si>
  <si>
    <t>34.47%</t>
  </si>
  <si>
    <t>10.25%</t>
  </si>
  <si>
    <t>7.38%</t>
  </si>
  <si>
    <t>7.52%</t>
  </si>
  <si>
    <t>4.29%</t>
  </si>
  <si>
    <t>24.54%</t>
  </si>
  <si>
    <t>Station 2</t>
    <phoneticPr fontId="1" type="noConversion"/>
  </si>
  <si>
    <t>13.47%</t>
  </si>
  <si>
    <t>13.23%</t>
  </si>
  <si>
    <t>16.21%</t>
  </si>
  <si>
    <t>5.84%</t>
  </si>
  <si>
    <t>6.43%</t>
  </si>
  <si>
    <t>5.09%</t>
  </si>
  <si>
    <t>7.14%</t>
  </si>
  <si>
    <t>8.25%</t>
  </si>
  <si>
    <t>23.07%</t>
  </si>
  <si>
    <t>3.47%</t>
  </si>
  <si>
    <t>6.52%</t>
  </si>
  <si>
    <t>21.26%</t>
  </si>
  <si>
    <t>1.45%</t>
  </si>
  <si>
    <t>1.73%</t>
  </si>
  <si>
    <t>1.81%</t>
  </si>
  <si>
    <t>2.03%</t>
  </si>
  <si>
    <t>8.27%</t>
  </si>
  <si>
    <t>8.72%</t>
  </si>
  <si>
    <t>7.82%</t>
  </si>
  <si>
    <t>7.86%</t>
  </si>
  <si>
    <t>9.19%</t>
  </si>
  <si>
    <t>21.47%</t>
  </si>
  <si>
    <t>81.13%</t>
  </si>
  <si>
    <t>14.79%</t>
  </si>
  <si>
    <t>9.05%</t>
  </si>
  <si>
    <t>3.43%</t>
  </si>
  <si>
    <t>13.96%</t>
  </si>
  <si>
    <t>8.84%</t>
  </si>
  <si>
    <t>5.21%</t>
  </si>
  <si>
    <t>5.19%</t>
  </si>
  <si>
    <t>2.68%</t>
  </si>
  <si>
    <t>8.64%</t>
  </si>
  <si>
    <t>36204ATM11,36204A5511</t>
  </si>
  <si>
    <t>0.99%</t>
  </si>
  <si>
    <t>14.76%</t>
  </si>
  <si>
    <t>12.47%</t>
  </si>
  <si>
    <t>28.52%</t>
  </si>
  <si>
    <t>9.43%</t>
  </si>
  <si>
    <t>6.57%</t>
  </si>
  <si>
    <t>3.46%</t>
  </si>
  <si>
    <t>6.44%</t>
  </si>
  <si>
    <t>2.19%</t>
  </si>
  <si>
    <t>2.02%</t>
  </si>
  <si>
    <t>20.05%</t>
  </si>
  <si>
    <t>36204AFK11,36204B5911</t>
  </si>
  <si>
    <t>1.05%</t>
  </si>
  <si>
    <t>9.89%</t>
  </si>
  <si>
    <t>10.34%</t>
  </si>
  <si>
    <t>3.80%</t>
  </si>
  <si>
    <t>4.81%</t>
  </si>
  <si>
    <t>6.16%</t>
  </si>
  <si>
    <t>5.53%</t>
  </si>
  <si>
    <t>9.48%</t>
  </si>
  <si>
    <t>4.89%</t>
  </si>
  <si>
    <t>28.38%</t>
  </si>
  <si>
    <t>5.94%</t>
  </si>
  <si>
    <t>5.86%</t>
  </si>
  <si>
    <t>25.68%</t>
  </si>
  <si>
    <t>3.62%</t>
  </si>
  <si>
    <t>8.38%</t>
  </si>
  <si>
    <t>19.52%</t>
  </si>
  <si>
    <t>8.14%</t>
  </si>
  <si>
    <t>19.05%</t>
  </si>
  <si>
    <t>5.46%</t>
  </si>
  <si>
    <t>10.62%</t>
  </si>
  <si>
    <t>10.22%</t>
  </si>
  <si>
    <t>10.79%</t>
  </si>
  <si>
    <t>10.64%</t>
  </si>
  <si>
    <t>10.50%</t>
  </si>
  <si>
    <t>1.44%</t>
  </si>
  <si>
    <t>36204A5511</t>
  </si>
  <si>
    <t>4.59%</t>
  </si>
  <si>
    <t>4.78%</t>
  </si>
  <si>
    <t>5.04%</t>
  </si>
  <si>
    <t>4.19%</t>
  </si>
  <si>
    <t>5.82%</t>
  </si>
  <si>
    <t>4.63%</t>
  </si>
  <si>
    <t>15.01%</t>
  </si>
  <si>
    <t>15.65%</t>
  </si>
  <si>
    <t>14.77%</t>
  </si>
  <si>
    <t>14.36%</t>
  </si>
  <si>
    <t>4.75%</t>
  </si>
  <si>
    <t>9.97%</t>
  </si>
  <si>
    <t>10.43%</t>
  </si>
  <si>
    <t>10.02%</t>
  </si>
  <si>
    <t>9.27%</t>
  </si>
  <si>
    <t>4.18%</t>
  </si>
  <si>
    <t>4.76%</t>
  </si>
  <si>
    <t>4.02%</t>
  </si>
  <si>
    <t>0.93%</t>
  </si>
  <si>
    <t>1.27%</t>
  </si>
  <si>
    <t>3.22%</t>
  </si>
  <si>
    <t>3620499311,THA0412ADZBC</t>
  </si>
  <si>
    <t>7.44%</t>
  </si>
  <si>
    <t>12.51%</t>
  </si>
  <si>
    <t>4.46%</t>
  </si>
  <si>
    <t>15.64%</t>
  </si>
  <si>
    <t>40.42%</t>
  </si>
  <si>
    <t>3.66%</t>
  </si>
  <si>
    <t>15.02%</t>
  </si>
  <si>
    <t>39.67%</t>
  </si>
  <si>
    <t>3.27%</t>
  </si>
  <si>
    <t>0.55%</t>
  </si>
  <si>
    <t>10.93%</t>
  </si>
  <si>
    <t>6.81%</t>
  </si>
  <si>
    <t>4.06%</t>
  </si>
  <si>
    <t>4.41%</t>
  </si>
  <si>
    <t>4.15%</t>
  </si>
  <si>
    <t>0.96%</t>
  </si>
  <si>
    <t>Station 3</t>
    <phoneticPr fontId="1" type="noConversion"/>
  </si>
  <si>
    <t>Station 4</t>
    <phoneticPr fontId="1" type="noConversion"/>
  </si>
  <si>
    <t>C202</t>
    <phoneticPr fontId="1" type="noConversion"/>
  </si>
  <si>
    <t>Total Fail Rate</t>
    <phoneticPr fontId="1" type="noConversion"/>
  </si>
  <si>
    <t>C203</t>
    <phoneticPr fontId="1" type="noConversion"/>
  </si>
  <si>
    <t>C208</t>
    <phoneticPr fontId="1" type="noConversion"/>
  </si>
  <si>
    <t>C209</t>
    <phoneticPr fontId="1" type="noConversion"/>
  </si>
  <si>
    <t>C214</t>
    <phoneticPr fontId="1" type="noConversion"/>
  </si>
  <si>
    <t>C215</t>
    <phoneticPr fontId="1" type="noConversion"/>
  </si>
  <si>
    <t>C216</t>
    <phoneticPr fontId="1" type="noConversion"/>
  </si>
  <si>
    <t>C217</t>
    <phoneticPr fontId="1" type="noConversion"/>
  </si>
  <si>
    <t>Shut down device</t>
    <phoneticPr fontId="1" type="noConversion"/>
  </si>
  <si>
    <t>5.31%</t>
  </si>
  <si>
    <t>9.15%</t>
  </si>
  <si>
    <t>3.90%</t>
  </si>
  <si>
    <t>7.99%</t>
  </si>
  <si>
    <t>3.64%</t>
  </si>
  <si>
    <t>0.91%</t>
  </si>
  <si>
    <t>2.69%</t>
  </si>
  <si>
    <t>9.87%</t>
  </si>
  <si>
    <t>3.44%</t>
  </si>
  <si>
    <t>7.55%</t>
  </si>
  <si>
    <t>6.50%</t>
  </si>
  <si>
    <t>8.11%</t>
  </si>
  <si>
    <t>7.02%</t>
  </si>
  <si>
    <t>9.35%</t>
  </si>
  <si>
    <t>8.26%</t>
  </si>
  <si>
    <t>12.48%</t>
  </si>
  <si>
    <t>11.72%</t>
  </si>
  <si>
    <t>12.95%</t>
  </si>
  <si>
    <t>13.42%</t>
  </si>
  <si>
    <t>5.65%</t>
  </si>
  <si>
    <t>6.07%</t>
  </si>
  <si>
    <t>7.37%</t>
  </si>
  <si>
    <t>5.35%</t>
  </si>
  <si>
    <t>13.80%</t>
  </si>
  <si>
    <t>12.05%</t>
  </si>
  <si>
    <t>11.79%</t>
  </si>
  <si>
    <t>11.62%</t>
  </si>
  <si>
    <t>13.64%</t>
  </si>
  <si>
    <t>11.70%</t>
  </si>
  <si>
    <t>10.31%</t>
  </si>
  <si>
    <t>8.24%</t>
  </si>
  <si>
    <t>THA0412ADZBC</t>
  </si>
  <si>
    <t>8.21%</t>
  </si>
  <si>
    <t>17.23%</t>
  </si>
  <si>
    <t>4.49%</t>
  </si>
  <si>
    <t>5.18%</t>
  </si>
  <si>
    <t>16.79%</t>
  </si>
  <si>
    <t>4.22%</t>
  </si>
  <si>
    <t>5.06%</t>
  </si>
  <si>
    <t>5.03%</t>
  </si>
  <si>
    <t>8.43%</t>
  </si>
  <si>
    <t>6.73%</t>
  </si>
  <si>
    <t>2.40%</t>
  </si>
  <si>
    <t>3.03%</t>
  </si>
  <si>
    <t>36204AJP11</t>
  </si>
  <si>
    <t>3.93%</t>
  </si>
  <si>
    <t>EFB0412VHD-CVA2 F,FA122A04-L28 C</t>
  </si>
  <si>
    <t>Failure Mode</t>
    <phoneticPr fontId="1" type="noConversion"/>
  </si>
  <si>
    <t>參數調用錯誤</t>
    <phoneticPr fontId="1" type="noConversion"/>
  </si>
  <si>
    <t>治具異常</t>
    <phoneticPr fontId="1" type="noConversion"/>
  </si>
  <si>
    <t>機構異常</t>
    <phoneticPr fontId="1" type="noConversion"/>
  </si>
  <si>
    <t>異音不良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</si>
  <si>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</si>
  <si>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</si>
  <si>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</si>
  <si>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2, 3</t>
    <phoneticPr fontId="1" type="noConversion"/>
  </si>
  <si>
    <t>音訊部件異常</t>
    <phoneticPr fontId="1" type="noConversion"/>
  </si>
  <si>
    <t>4</t>
    <phoneticPr fontId="1" type="noConversion"/>
  </si>
  <si>
    <t>測試參數定義錯誤</t>
    <phoneticPr fontId="1" type="noConversion"/>
  </si>
  <si>
    <t>1, 5</t>
    <phoneticPr fontId="1" type="noConversion"/>
  </si>
  <si>
    <t>Description</t>
    <phoneticPr fontId="1" type="noConversion"/>
  </si>
  <si>
    <t>單條線不同設備有多種參數組合</t>
    <phoneticPr fontId="1" type="noConversion"/>
  </si>
  <si>
    <t>無轉速/失控/無條碼的數量平均分布</t>
    <phoneticPr fontId="1" type="noConversion"/>
  </si>
  <si>
    <t>單台機無轉速/無條碼</t>
    <phoneticPr fontId="1" type="noConversion"/>
  </si>
  <si>
    <t>未達到合適的轉速、index</t>
    <phoneticPr fontId="1" type="noConversion"/>
  </si>
  <si>
    <t>音頻包含異響</t>
    <phoneticPr fontId="1" type="noConversion"/>
  </si>
  <si>
    <t>1, 2, 3</t>
    <phoneticPr fontId="1" type="noConversion"/>
  </si>
  <si>
    <t>1, 2, 5</t>
    <phoneticPr fontId="1" type="noConversion"/>
  </si>
  <si>
    <t>1, 2, 3, 5</t>
    <phoneticPr fontId="1" type="noConversion"/>
  </si>
  <si>
    <t>4, 6</t>
  </si>
  <si>
    <t>4, 6</t>
    <phoneticPr fontId="1" type="noConversion"/>
  </si>
  <si>
    <t>6</t>
    <phoneticPr fontId="1" type="noConversion"/>
  </si>
  <si>
    <t>3, 5</t>
    <phoneticPr fontId="1" type="noConversion"/>
  </si>
  <si>
    <t>1, 3, 5</t>
    <phoneticPr fontId="1" type="noConversion"/>
  </si>
  <si>
    <t xml:space="preserve"> 6</t>
    <phoneticPr fontId="1" type="noConversion"/>
  </si>
  <si>
    <t>2, 5</t>
    <phoneticPr fontId="1" type="noConversion"/>
  </si>
  <si>
    <t>11.15%</t>
  </si>
  <si>
    <t>6.99%</t>
  </si>
  <si>
    <t>9.63%</t>
  </si>
  <si>
    <t>4.16%</t>
  </si>
  <si>
    <t>6.26%</t>
  </si>
  <si>
    <t>4.24%</t>
  </si>
  <si>
    <t>6.28%</t>
  </si>
  <si>
    <t>THA0412ADZBC,3620404D11</t>
  </si>
  <si>
    <t>21.06%</t>
  </si>
  <si>
    <t>20.82%</t>
  </si>
  <si>
    <t>5.02%</t>
  </si>
  <si>
    <t>5.99%</t>
  </si>
  <si>
    <t>10.13%</t>
  </si>
  <si>
    <t>2.38%</t>
  </si>
  <si>
    <t>7.19%</t>
  </si>
  <si>
    <t>4.39%</t>
  </si>
  <si>
    <t>2.23%</t>
  </si>
  <si>
    <t>5.12%</t>
  </si>
  <si>
    <t>5.25%</t>
  </si>
  <si>
    <t>EFB0412VHD-CVA2 F</t>
  </si>
  <si>
    <t>1, 4</t>
    <phoneticPr fontId="1" type="noConversion"/>
  </si>
  <si>
    <t>音頻檔有爆音、dB值較低，或麥克風位置異常</t>
    <phoneticPr fontId="1" type="noConversion"/>
  </si>
  <si>
    <t>調整除214 215線之麥克風位置</t>
    <phoneticPr fontId="1" type="noConversion"/>
  </si>
  <si>
    <t>FFB0412UHN-CH68,BFB0512VHD-F00</t>
    <phoneticPr fontId="1" type="noConversion"/>
  </si>
  <si>
    <t>TAA0412DDX01W2P F,3620499311</t>
    <phoneticPr fontId="1" type="noConversion"/>
  </si>
  <si>
    <t>3.48%</t>
  </si>
  <si>
    <t>7.49%</t>
  </si>
  <si>
    <t>10.59%</t>
  </si>
  <si>
    <t>11.18%</t>
  </si>
  <si>
    <t>7.06%</t>
  </si>
  <si>
    <t>18.43%</t>
  </si>
  <si>
    <t>6.01%</t>
  </si>
  <si>
    <t>9.58%</t>
  </si>
  <si>
    <t>4.05%</t>
  </si>
  <si>
    <t>3.75%</t>
  </si>
  <si>
    <t>8.85%</t>
  </si>
  <si>
    <t>12.59%</t>
  </si>
  <si>
    <t>12.44%</t>
  </si>
  <si>
    <t>18.58%</t>
  </si>
  <si>
    <t>13.53%</t>
  </si>
  <si>
    <t>11.59%</t>
  </si>
  <si>
    <t>10.37%</t>
  </si>
  <si>
    <t>12.33%</t>
  </si>
  <si>
    <t>17.70%</t>
  </si>
  <si>
    <t>12.78%</t>
  </si>
  <si>
    <t>3620404D11,36204B6311</t>
  </si>
  <si>
    <t>16.98%</t>
  </si>
  <si>
    <t>4.12%</t>
  </si>
  <si>
    <t>16.66%</t>
  </si>
  <si>
    <t>3.39%</t>
  </si>
  <si>
    <t>11.17%</t>
  </si>
  <si>
    <t>8.73%</t>
  </si>
  <si>
    <t>10.30%</t>
  </si>
  <si>
    <t>14.23%</t>
  </si>
  <si>
    <t>7.62%</t>
  </si>
  <si>
    <t>6.08%</t>
  </si>
  <si>
    <t>7.89%</t>
  </si>
  <si>
    <t>4.85%</t>
  </si>
  <si>
    <t>36204A5511,36204AGJ11</t>
  </si>
  <si>
    <t>2.33%</t>
  </si>
  <si>
    <t>1.71%</t>
  </si>
  <si>
    <t>2.24%</t>
  </si>
  <si>
    <t>8.95%</t>
  </si>
  <si>
    <t>EFB0412VHD-CVA2 F,EFB0412VHD-CVPS,EFB0412VHD-CVPS F</t>
  </si>
  <si>
    <t>8.92%</t>
  </si>
  <si>
    <t>5.85%</t>
  </si>
  <si>
    <t>12.36%</t>
  </si>
  <si>
    <t>8.22%</t>
  </si>
  <si>
    <t>22.63%</t>
  </si>
  <si>
    <t>13.69%</t>
  </si>
  <si>
    <t>43.49%</t>
  </si>
  <si>
    <t>11.33%</t>
  </si>
  <si>
    <t>13.39%</t>
  </si>
  <si>
    <t>36.43%</t>
  </si>
  <si>
    <t>33.27%</t>
  </si>
  <si>
    <t>1.22%</t>
  </si>
  <si>
    <t>36204B6311</t>
  </si>
  <si>
    <t>13.62%</t>
  </si>
  <si>
    <t>6.97%</t>
  </si>
  <si>
    <t>13.43%</t>
  </si>
  <si>
    <t>6.60%</t>
  </si>
  <si>
    <t>41.56%</t>
  </si>
  <si>
    <t>37.12%</t>
  </si>
  <si>
    <t>41.94%</t>
  </si>
  <si>
    <t>42.47%</t>
  </si>
  <si>
    <t>1.76%</t>
  </si>
  <si>
    <t>1.85%</t>
  </si>
  <si>
    <t>2.21%</t>
  </si>
  <si>
    <t>39.17%</t>
  </si>
  <si>
    <t>32.32%</t>
  </si>
  <si>
    <t>40.09%</t>
  </si>
  <si>
    <t>40.25%</t>
  </si>
  <si>
    <t>11.04%</t>
  </si>
  <si>
    <t>6.93%</t>
  </si>
  <si>
    <t>5.23%</t>
  </si>
  <si>
    <t>5.37%</t>
  </si>
  <si>
    <t>6.23%</t>
  </si>
  <si>
    <t>36204AHK11,36204H8411</t>
  </si>
  <si>
    <t>Line_217</t>
  </si>
  <si>
    <t>EFB0412VHD-CVPS,EFB0412VHD-CVPS F</t>
  </si>
  <si>
    <t>11.32%</t>
  </si>
  <si>
    <t>9.17%</t>
  </si>
  <si>
    <t>11.16%</t>
  </si>
  <si>
    <t>9.01%</t>
  </si>
  <si>
    <t>13.68%</t>
  </si>
  <si>
    <t>22.21%</t>
  </si>
  <si>
    <t>24.13%</t>
  </si>
  <si>
    <t>16.51%</t>
  </si>
  <si>
    <t>26.64%</t>
  </si>
  <si>
    <t>14.93%</t>
  </si>
  <si>
    <t>15.91%</t>
  </si>
  <si>
    <t>9.77%</t>
  </si>
  <si>
    <t>20.39%</t>
  </si>
  <si>
    <t>7.20%</t>
  </si>
  <si>
    <t>1.96%</t>
  </si>
  <si>
    <t>1.99%</t>
  </si>
  <si>
    <t>1.48%</t>
  </si>
  <si>
    <t>1.43%</t>
  </si>
  <si>
    <t>7.43%</t>
  </si>
  <si>
    <t>5.26%</t>
  </si>
  <si>
    <t>8.36%</t>
  </si>
  <si>
    <t>8.82%</t>
  </si>
  <si>
    <t>45.15%</t>
  </si>
  <si>
    <t>45.71%</t>
  </si>
  <si>
    <t>44.59%</t>
  </si>
  <si>
    <t>2.75%</t>
  </si>
  <si>
    <t>42.57%</t>
  </si>
  <si>
    <t>43.32%</t>
  </si>
  <si>
    <t>41.85%</t>
  </si>
  <si>
    <t>0.78%</t>
  </si>
  <si>
    <t>10.65%</t>
  </si>
  <si>
    <t>4.71%</t>
  </si>
  <si>
    <t>16.69%</t>
  </si>
  <si>
    <t>12.30%</t>
  </si>
  <si>
    <t>6.32%</t>
  </si>
  <si>
    <t>4.00%</t>
  </si>
  <si>
    <t>3.74%</t>
  </si>
  <si>
    <t>36204H8411</t>
  </si>
  <si>
    <t>3.09%</t>
  </si>
  <si>
    <t>4</t>
    <phoneticPr fontId="1" type="noConversion"/>
  </si>
  <si>
    <t>2</t>
    <phoneticPr fontId="1" type="noConversion"/>
  </si>
  <si>
    <t>4, 6</t>
    <phoneticPr fontId="1" type="noConversion"/>
  </si>
  <si>
    <t>1, 4, 6</t>
    <phoneticPr fontId="1" type="noConversion"/>
  </si>
  <si>
    <t>2, 4, 6, 網路</t>
    <phoneticPr fontId="1" type="noConversion"/>
  </si>
  <si>
    <t>2, 4,  6</t>
    <phoneticPr fontId="1" type="noConversion"/>
  </si>
  <si>
    <t>2,  4, 6</t>
    <phoneticPr fontId="1" type="noConversion"/>
  </si>
  <si>
    <t>1, 2,  4, 5, 6</t>
    <phoneticPr fontId="1" type="noConversion"/>
  </si>
  <si>
    <t>1, 2,  4,  6</t>
    <phoneticPr fontId="1" type="noConversion"/>
  </si>
  <si>
    <t>1, 2,  4, 6</t>
    <phoneticPr fontId="1" type="noConversion"/>
  </si>
  <si>
    <t>1, 2, 3,  4, 6</t>
    <phoneticPr fontId="1" type="noConversion"/>
  </si>
  <si>
    <t>1, 2, 3, 5,  4, 6</t>
    <phoneticPr fontId="1" type="noConversion"/>
  </si>
  <si>
    <t>1, 2, 5,  4, 6</t>
    <phoneticPr fontId="1" type="noConversion"/>
  </si>
  <si>
    <t>1, 2, 5, 4,  6</t>
    <phoneticPr fontId="1" type="noConversion"/>
  </si>
  <si>
    <t>1,  4, 5, 6</t>
    <phoneticPr fontId="1" type="noConversion"/>
  </si>
  <si>
    <t>2, 4, 6, OK but NGX</t>
    <phoneticPr fontId="1" type="noConversion"/>
  </si>
  <si>
    <t>5.97%</t>
  </si>
  <si>
    <t>12.69%</t>
  </si>
  <si>
    <t>12.01%</t>
  </si>
  <si>
    <t>20.59%</t>
  </si>
  <si>
    <t>19.53%</t>
  </si>
  <si>
    <t>25.57%</t>
  </si>
  <si>
    <t>17.79%</t>
  </si>
  <si>
    <t>16.04%</t>
  </si>
  <si>
    <t>15.47%</t>
  </si>
  <si>
    <t>19.24%</t>
  </si>
  <si>
    <t>14.10%</t>
  </si>
  <si>
    <t>6.33%</t>
  </si>
  <si>
    <t>8.29%</t>
  </si>
  <si>
    <t>7.60%</t>
  </si>
  <si>
    <t>18.10%</t>
  </si>
  <si>
    <t>15.74%</t>
  </si>
  <si>
    <t>17.93%</t>
  </si>
  <si>
    <t>2.57%</t>
  </si>
  <si>
    <t>10.77%</t>
  </si>
  <si>
    <t>11.92%</t>
  </si>
  <si>
    <t>36204AGJ11,36204B8011,36204A7911</t>
  </si>
  <si>
    <t>16.01%</t>
  </si>
  <si>
    <t>18.13%</t>
  </si>
  <si>
    <t>25.86%</t>
  </si>
  <si>
    <t>2.53%</t>
  </si>
  <si>
    <t>7.80%</t>
  </si>
  <si>
    <t>6.37%</t>
  </si>
  <si>
    <t>12.85%</t>
  </si>
  <si>
    <t>36204F6311</t>
  </si>
  <si>
    <t>7.63%</t>
  </si>
  <si>
    <t>6.54%</t>
  </si>
  <si>
    <t>6</t>
    <phoneticPr fontId="1" type="noConversion"/>
  </si>
  <si>
    <t>1, 2, 5</t>
    <phoneticPr fontId="1" type="noConversion"/>
  </si>
  <si>
    <t>3</t>
    <phoneticPr fontId="1" type="noConversion"/>
  </si>
  <si>
    <t>2, 6, OK but NGX</t>
    <phoneticPr fontId="1" type="noConversion"/>
  </si>
  <si>
    <t>2, 4</t>
    <phoneticPr fontId="1" type="noConversion"/>
  </si>
  <si>
    <t>1, 2, 3, 5</t>
    <phoneticPr fontId="1" type="noConversion"/>
  </si>
  <si>
    <t>2, 3</t>
    <phoneticPr fontId="1" type="noConversion"/>
  </si>
  <si>
    <t>1, 2, 4, 5, 6</t>
    <phoneticPr fontId="1" type="noConversion"/>
  </si>
  <si>
    <t>Total</t>
    <phoneticPr fontId="1" type="noConversion"/>
  </si>
  <si>
    <t>累積占比</t>
    <phoneticPr fontId="1" type="noConversion"/>
  </si>
  <si>
    <t>占比</t>
    <phoneticPr fontId="1" type="noConversion"/>
  </si>
  <si>
    <t>參數調用錯誤</t>
    <phoneticPr fontId="1" type="noConversion"/>
  </si>
  <si>
    <t>中轉版故障</t>
    <phoneticPr fontId="1" type="noConversion"/>
  </si>
  <si>
    <t>4.74%</t>
  </si>
  <si>
    <t>7.79%</t>
  </si>
  <si>
    <t>19.90%</t>
  </si>
  <si>
    <t>21.31%</t>
  </si>
  <si>
    <t>18.42%</t>
  </si>
  <si>
    <t>10.87%</t>
  </si>
  <si>
    <t>13.27%</t>
  </si>
  <si>
    <t>9.04%</t>
  </si>
  <si>
    <t>10.10%</t>
  </si>
  <si>
    <t>Line_208</t>
  </si>
  <si>
    <t>19.83%</t>
  </si>
  <si>
    <t>1.95%</t>
  </si>
  <si>
    <t>18.98%</t>
  </si>
  <si>
    <t>6.48%</t>
  </si>
  <si>
    <t>6.86%</t>
  </si>
  <si>
    <t>5.91%</t>
  </si>
  <si>
    <t>6.72%</t>
  </si>
  <si>
    <t>5.70%</t>
  </si>
  <si>
    <t>6.29%</t>
  </si>
  <si>
    <t>3.96%</t>
  </si>
  <si>
    <t>7.67%</t>
  </si>
  <si>
    <t>2.49%</t>
  </si>
  <si>
    <t>36204A7911</t>
  </si>
  <si>
    <t>Line_216</t>
  </si>
  <si>
    <t>15.22%</t>
  </si>
  <si>
    <t>23.18%</t>
  </si>
  <si>
    <t>19.23%</t>
  </si>
  <si>
    <t>1.57%</t>
  </si>
  <si>
    <t>8.45%</t>
  </si>
  <si>
    <t>8.88%</t>
  </si>
  <si>
    <t>7.72%</t>
  </si>
  <si>
    <t>6.30%</t>
  </si>
  <si>
    <t>原因</t>
    <phoneticPr fontId="1" type="noConversion"/>
  </si>
  <si>
    <t>探針故障</t>
    <phoneticPr fontId="1" type="noConversion"/>
  </si>
  <si>
    <t>麥克風位置偏移、麥克風/信號線故障、隔音箱內部氣管漏氣</t>
    <phoneticPr fontId="1" type="noConversion"/>
  </si>
  <si>
    <t>新機種未確認工作duty</t>
    <phoneticPr fontId="1" type="noConversion"/>
  </si>
  <si>
    <t>測試軟件與人耳判定結果不同、風扇運轉不穩定導致異響偶發</t>
    <phoneticPr fontId="1" type="noConversion"/>
  </si>
  <si>
    <t xml:space="preserve"> </t>
    <phoneticPr fontId="1" type="noConversion"/>
  </si>
  <si>
    <t>對策</t>
    <phoneticPr fontId="1" type="noConversion"/>
  </si>
  <si>
    <t>4.61%</t>
  </si>
  <si>
    <t>4.20%</t>
  </si>
  <si>
    <t>14.66%</t>
  </si>
  <si>
    <t>13.41%</t>
  </si>
  <si>
    <t>4.38%</t>
  </si>
  <si>
    <t>5.81%</t>
  </si>
  <si>
    <t>21.85%</t>
  </si>
  <si>
    <t>2.81%</t>
  </si>
  <si>
    <t>9.12%</t>
  </si>
  <si>
    <t>8.79%</t>
  </si>
  <si>
    <t>9.42%</t>
  </si>
  <si>
    <t>8.93%</t>
  </si>
  <si>
    <t>8.68%</t>
  </si>
  <si>
    <t>7.54%</t>
  </si>
  <si>
    <t>8.55%</t>
  </si>
  <si>
    <t>3.52%</t>
  </si>
  <si>
    <t>9.67%</t>
  </si>
  <si>
    <t>16.83%</t>
  </si>
  <si>
    <t>2.45%</t>
  </si>
  <si>
    <t>6.70%</t>
  </si>
  <si>
    <t>9.20%</t>
  </si>
  <si>
    <t>3.55%</t>
  </si>
  <si>
    <t>16.22%</t>
  </si>
  <si>
    <t>21.53%</t>
  </si>
  <si>
    <t>12.86%</t>
  </si>
  <si>
    <t>9.13%</t>
  </si>
  <si>
    <t>18.75%</t>
  </si>
  <si>
    <t>14.80%</t>
  </si>
  <si>
    <t>3.95%</t>
  </si>
  <si>
    <t>7.84%</t>
  </si>
  <si>
    <t>8.35%</t>
  </si>
  <si>
    <t>7.45%</t>
  </si>
  <si>
    <t>7.66%</t>
  </si>
  <si>
    <t>7.91%</t>
  </si>
  <si>
    <t>7.94%</t>
  </si>
  <si>
    <t>4.45%</t>
  </si>
  <si>
    <t>12.03%</t>
  </si>
  <si>
    <t>13.28%</t>
  </si>
  <si>
    <t>11.34%</t>
  </si>
  <si>
    <t>2.84%</t>
  </si>
  <si>
    <t>36204ANN11</t>
  </si>
  <si>
    <t>7.34%</t>
  </si>
  <si>
    <t>11.28%</t>
  </si>
  <si>
    <t>2.39%</t>
  </si>
  <si>
    <t>6.22%</t>
  </si>
  <si>
    <t>6.12%</t>
  </si>
  <si>
    <t>5.77%</t>
  </si>
  <si>
    <t>12.97%</t>
  </si>
  <si>
    <t>8.40%</t>
  </si>
  <si>
    <t>5.11%</t>
  </si>
  <si>
    <t>1.30%</t>
  </si>
  <si>
    <t>3.82%</t>
  </si>
  <si>
    <t>3.00%</t>
  </si>
  <si>
    <t>36204B6311,FFB0412EHN-DJ08 W</t>
  </si>
  <si>
    <t>7.76%</t>
  </si>
  <si>
    <t>6.85%</t>
  </si>
  <si>
    <t>Line_214</t>
  </si>
  <si>
    <t>4.60%</t>
  </si>
  <si>
    <t>3.49%</t>
  </si>
  <si>
    <t>1.24%</t>
  </si>
  <si>
    <t>15.58%</t>
  </si>
  <si>
    <t>20.10%</t>
  </si>
  <si>
    <t>15.92%</t>
  </si>
  <si>
    <t>13.46%</t>
  </si>
  <si>
    <t>18.11%</t>
  </si>
  <si>
    <t>14.39%</t>
  </si>
  <si>
    <t>5.62%</t>
  </si>
  <si>
    <t>10.23%</t>
  </si>
  <si>
    <t>11.06%</t>
  </si>
  <si>
    <t>14.52%</t>
  </si>
  <si>
    <t>4.86%</t>
  </si>
  <si>
    <t>10.81%</t>
  </si>
  <si>
    <t>6.55%</t>
  </si>
  <si>
    <t>9.14%</t>
  </si>
  <si>
    <t>30.74%</t>
  </si>
  <si>
    <t>24.73%</t>
  </si>
  <si>
    <t>FFB0412EHN-DJ08 W</t>
  </si>
  <si>
    <t>6.09%</t>
  </si>
  <si>
    <t>6.15%</t>
  </si>
  <si>
    <t>5.87%</t>
  </si>
  <si>
    <t>13.54%</t>
  </si>
  <si>
    <t>16.29%</t>
  </si>
  <si>
    <t>17.20%</t>
  </si>
  <si>
    <t>7.75%</t>
  </si>
  <si>
    <t>6.40%</t>
  </si>
  <si>
    <t>36204AGV11,36204APG11</t>
  </si>
  <si>
    <t>1.01%</t>
  </si>
  <si>
    <t>1.03%</t>
  </si>
  <si>
    <t>TAA0412CD-AF83 A,TAA0412CD-BD1A A</t>
  </si>
  <si>
    <t>10.33%</t>
  </si>
  <si>
    <t>10.26%</t>
  </si>
  <si>
    <t>10.71%</t>
  </si>
  <si>
    <t>8.52%</t>
  </si>
  <si>
    <t>8.94%</t>
  </si>
  <si>
    <t>8.16%</t>
  </si>
  <si>
    <t>6.75%</t>
  </si>
  <si>
    <t>21.13%</t>
  </si>
  <si>
    <t>20.98%</t>
  </si>
  <si>
    <t>11.37%</t>
  </si>
  <si>
    <t>15.07%</t>
  </si>
  <si>
    <t>1.42%</t>
  </si>
  <si>
    <t>15.15%</t>
  </si>
  <si>
    <t>9.09%</t>
  </si>
  <si>
    <t>10.78%</t>
  </si>
  <si>
    <t>10.08%</t>
  </si>
  <si>
    <t>11.49%</t>
  </si>
  <si>
    <t>10.47%</t>
  </si>
  <si>
    <t>17.31%</t>
  </si>
  <si>
    <t>14.18%</t>
  </si>
  <si>
    <t>3.94%</t>
  </si>
  <si>
    <t>1.88%</t>
  </si>
  <si>
    <t>TAA0412CD-BD1A A</t>
  </si>
  <si>
    <t>8.46%</t>
  </si>
  <si>
    <t>5.51%</t>
  </si>
  <si>
    <t>22.38%</t>
  </si>
  <si>
    <t>4.80%</t>
  </si>
  <si>
    <t>36204D6511,36204H8311</t>
  </si>
  <si>
    <t>6.87%</t>
  </si>
  <si>
    <t>3.10%</t>
  </si>
  <si>
    <t>10.61%</t>
  </si>
  <si>
    <t>10.46%</t>
  </si>
  <si>
    <t>10.75%</t>
  </si>
  <si>
    <t>2.60%</t>
  </si>
  <si>
    <t>17.50%</t>
  </si>
  <si>
    <t>20.11%</t>
  </si>
  <si>
    <t>23.68%</t>
  </si>
  <si>
    <t>5.76%</t>
  </si>
  <si>
    <t>12.22%</t>
  </si>
  <si>
    <t>15.11%</t>
  </si>
  <si>
    <t>9.99%</t>
  </si>
  <si>
    <t>8.53%</t>
  </si>
  <si>
    <t>11.44%</t>
  </si>
  <si>
    <t>10.49%</t>
  </si>
  <si>
    <t>18.66%</t>
  </si>
  <si>
    <t>7.61%</t>
  </si>
  <si>
    <t>14.50%</t>
  </si>
  <si>
    <t>36204APG11,36204C1411</t>
  </si>
  <si>
    <t>2.14%</t>
  </si>
  <si>
    <t>2.06%</t>
  </si>
  <si>
    <t>10.68%</t>
  </si>
  <si>
    <t>9.83%</t>
  </si>
  <si>
    <t>4.73%</t>
  </si>
  <si>
    <t>36204H8311,36204D9011,36204AC411</t>
  </si>
  <si>
    <t>8.49%</t>
  </si>
  <si>
    <t>7.42%</t>
  </si>
  <si>
    <t>13.24%</t>
  </si>
  <si>
    <t>13.49%</t>
  </si>
  <si>
    <t>20.00%</t>
  </si>
  <si>
    <t>5.60%</t>
  </si>
  <si>
    <t>6.03%</t>
  </si>
  <si>
    <t>3.05%</t>
  </si>
  <si>
    <t>36204A9411</t>
  </si>
  <si>
    <t>4.01%</t>
  </si>
  <si>
    <t>10.06%</t>
  </si>
  <si>
    <t>13.04%</t>
  </si>
  <si>
    <t>14.53%</t>
  </si>
  <si>
    <t>12.14%</t>
  </si>
  <si>
    <t>11.75%</t>
  </si>
  <si>
    <t>8.76%</t>
  </si>
  <si>
    <t>10.52%</t>
  </si>
  <si>
    <t>8.08%</t>
  </si>
  <si>
    <t>36204AC411,36204C7811</t>
  </si>
  <si>
    <t>5.95%</t>
  </si>
  <si>
    <t>12.62%</t>
  </si>
  <si>
    <t>17.86%</t>
  </si>
  <si>
    <t>14.16%</t>
  </si>
  <si>
    <t>2.07%</t>
  </si>
  <si>
    <t>2.98%</t>
  </si>
  <si>
    <t>1.52%</t>
  </si>
  <si>
    <t>4.83%</t>
  </si>
  <si>
    <t>4.72%</t>
  </si>
  <si>
    <t>10.58%</t>
  </si>
  <si>
    <t>18.99%</t>
  </si>
  <si>
    <t>17.01%</t>
  </si>
  <si>
    <t>36204C7811,36204ALQ11</t>
  </si>
  <si>
    <t>8.71%</t>
  </si>
  <si>
    <t>5.48%</t>
  </si>
  <si>
    <t>1.12%</t>
  </si>
  <si>
    <t>12.20%</t>
  </si>
  <si>
    <t>12.08%</t>
  </si>
  <si>
    <t>11.56%</t>
  </si>
  <si>
    <t>11.76%</t>
  </si>
  <si>
    <t>11.94%</t>
  </si>
  <si>
    <t>15.13%</t>
  </si>
  <si>
    <t>12.17%</t>
  </si>
  <si>
    <t>2.78%</t>
  </si>
  <si>
    <t>2.13%</t>
  </si>
  <si>
    <t>36204A9411,36204D9911,36204J4611,36204AR211</t>
  </si>
  <si>
    <t>4.67%</t>
  </si>
  <si>
    <t>13.95%</t>
  </si>
  <si>
    <t>5.27%</t>
  </si>
  <si>
    <t>36204ALQ11,FFB0412EN-00DN9,36204B5911</t>
  </si>
  <si>
    <t>4.25%</t>
  </si>
  <si>
    <t>4.09%</t>
  </si>
  <si>
    <t>14.37%</t>
  </si>
  <si>
    <t>14.51%</t>
  </si>
  <si>
    <t>13.59%</t>
  </si>
  <si>
    <t>15.89%</t>
  </si>
  <si>
    <t>18.60%</t>
  </si>
  <si>
    <t>23.82%</t>
  </si>
  <si>
    <t>2.27%</t>
  </si>
  <si>
    <t>13.97%</t>
  </si>
  <si>
    <t>16.70%</t>
  </si>
  <si>
    <t>22.17%</t>
  </si>
  <si>
    <t>18.52%</t>
  </si>
  <si>
    <t>9.46%</t>
  </si>
  <si>
    <t>9.45%</t>
  </si>
  <si>
    <t>9.32%</t>
  </si>
  <si>
    <t>9.66%</t>
  </si>
  <si>
    <t>9.65%</t>
  </si>
  <si>
    <t>4.87%</t>
  </si>
  <si>
    <t>36204J4611,36204AY811</t>
  </si>
  <si>
    <t>2.94%</t>
  </si>
  <si>
    <t>1.00%</t>
  </si>
  <si>
    <t>TAA0412CD-BD1A A,TFA0412CNZHG C</t>
  </si>
  <si>
    <t>3.04%</t>
  </si>
  <si>
    <t>3.20%</t>
  </si>
  <si>
    <t>EFB0412VHD-CVPS F,EFB0412VHD-CVPS</t>
  </si>
  <si>
    <t>Total</t>
    <phoneticPr fontId="1" type="noConversion"/>
  </si>
  <si>
    <t>Tag</t>
    <phoneticPr fontId="1" type="noConversion"/>
  </si>
  <si>
    <t>W15(4/6~11)</t>
    <phoneticPr fontId="1" type="noConversion"/>
  </si>
  <si>
    <t>W16(4/13~18)</t>
    <phoneticPr fontId="1" type="noConversion"/>
  </si>
  <si>
    <t>Noise Fail</t>
    <phoneticPr fontId="1" type="noConversion"/>
  </si>
  <si>
    <t>RPM Fail</t>
    <phoneticPr fontId="1" type="noConversion"/>
  </si>
  <si>
    <t>Others Fail</t>
    <phoneticPr fontId="1" type="noConversion"/>
  </si>
  <si>
    <t>音頻含有異音</t>
    <phoneticPr fontId="1" type="noConversion"/>
  </si>
  <si>
    <t>C216</t>
    <phoneticPr fontId="1" type="noConversion"/>
  </si>
  <si>
    <t>C217</t>
    <phoneticPr fontId="1" type="noConversion"/>
  </si>
  <si>
    <t>C215</t>
    <phoneticPr fontId="1" type="noConversion"/>
  </si>
  <si>
    <t>C214</t>
    <phoneticPr fontId="1" type="noConversion"/>
  </si>
  <si>
    <t>C209</t>
    <phoneticPr fontId="1" type="noConversion"/>
  </si>
  <si>
    <t>C208</t>
    <phoneticPr fontId="1" type="noConversion"/>
  </si>
  <si>
    <t>C203</t>
    <phoneticPr fontId="1" type="noConversion"/>
  </si>
  <si>
    <t>C202</t>
    <phoneticPr fontId="1" type="noConversion"/>
  </si>
  <si>
    <t>12.28%</t>
  </si>
  <si>
    <t>12.91%</t>
  </si>
  <si>
    <t>12.02%</t>
  </si>
  <si>
    <t>12.45%</t>
  </si>
  <si>
    <t>19.99%</t>
  </si>
  <si>
    <t>23.84%</t>
  </si>
  <si>
    <t>22.59%</t>
  </si>
  <si>
    <t>14.42%</t>
  </si>
  <si>
    <t>14.99%</t>
  </si>
  <si>
    <t>8.75%</t>
  </si>
  <si>
    <t>9.33%</t>
  </si>
  <si>
    <t>3.28%</t>
  </si>
  <si>
    <t>6.82%</t>
  </si>
  <si>
    <t>11.90%</t>
  </si>
  <si>
    <t>9.25%</t>
  </si>
  <si>
    <t>5.15%</t>
  </si>
  <si>
    <t>TFA0412CNZHG C</t>
  </si>
  <si>
    <t>11.57%</t>
  </si>
  <si>
    <t>EFB0412VHD-CVPS</t>
  </si>
  <si>
    <t>28.39%</t>
  </si>
  <si>
    <t>28.31%</t>
  </si>
  <si>
    <t>1.46%</t>
  </si>
  <si>
    <t>中轉版故障</t>
    <phoneticPr fontId="1" type="noConversion"/>
  </si>
  <si>
    <t>一號機MIC位置異常</t>
    <phoneticPr fontId="1" type="noConversion"/>
  </si>
  <si>
    <t>音頻含有異音
中轉版故障</t>
    <phoneticPr fontId="1" type="noConversion"/>
  </si>
  <si>
    <t>非常明顯之異音</t>
    <phoneticPr fontId="1" type="noConversion"/>
  </si>
  <si>
    <t>16.50%</t>
  </si>
  <si>
    <t>19.36%</t>
  </si>
  <si>
    <t>5.68%</t>
  </si>
  <si>
    <t>5.47%</t>
  </si>
  <si>
    <t>4.64%</t>
  </si>
  <si>
    <t>46.87%</t>
  </si>
  <si>
    <t>46.62%</t>
  </si>
  <si>
    <t>7.24%</t>
  </si>
  <si>
    <t>6.63%</t>
  </si>
  <si>
    <t>9.31%</t>
  </si>
  <si>
    <t>7.33%</t>
  </si>
  <si>
    <t>3.11%</t>
  </si>
  <si>
    <t>6.38%</t>
  </si>
  <si>
    <t>4.44%</t>
  </si>
  <si>
    <t>17.97%</t>
  </si>
  <si>
    <t>17.75%</t>
  </si>
  <si>
    <t>TFA0412CNZHG C,TAA0412CD-DC2E A</t>
  </si>
  <si>
    <t>5.75%</t>
  </si>
  <si>
    <t>3.07%</t>
  </si>
  <si>
    <t>9.64%</t>
  </si>
  <si>
    <t>EFB0412VHD-CVPS,EFB0412VHD-CVXA F</t>
  </si>
  <si>
    <t>音頻異音不良</t>
    <phoneticPr fontId="1" type="noConversion"/>
  </si>
  <si>
    <t>音訊部件異常</t>
    <phoneticPr fontId="1" type="noConversion"/>
  </si>
  <si>
    <t>機構異常</t>
    <phoneticPr fontId="1" type="noConversion"/>
  </si>
  <si>
    <t>Fail (pcs)</t>
    <phoneticPr fontId="1" type="noConversion"/>
  </si>
  <si>
    <t>4/6~9的測試參數錯誤(1444Pcs)</t>
    <phoneticPr fontId="1" type="noConversion"/>
  </si>
  <si>
    <t>Failure Mode</t>
    <phoneticPr fontId="1" type="noConversion"/>
  </si>
  <si>
    <t>Fail (次數)</t>
    <phoneticPr fontId="1" type="noConversion"/>
  </si>
  <si>
    <t>測試參數定義錯誤</t>
    <phoneticPr fontId="1" type="noConversion"/>
  </si>
  <si>
    <t>參數調用錯誤</t>
    <phoneticPr fontId="1" type="noConversion"/>
  </si>
  <si>
    <t>10.32%</t>
  </si>
  <si>
    <t>11.14%</t>
  </si>
  <si>
    <t>9.51%</t>
  </si>
  <si>
    <t>8.87%</t>
  </si>
  <si>
    <t>8.12%</t>
  </si>
  <si>
    <t>10.85%</t>
  </si>
  <si>
    <t>12.81%</t>
  </si>
  <si>
    <t>11.67%</t>
  </si>
  <si>
    <t>9.57%</t>
  </si>
  <si>
    <t>10.56%</t>
  </si>
  <si>
    <t>13.37%</t>
  </si>
  <si>
    <t>10.83%</t>
  </si>
  <si>
    <t>8.77%</t>
  </si>
  <si>
    <t>8.96%</t>
  </si>
  <si>
    <t>3.33%</t>
  </si>
  <si>
    <t>36204AY811,36204A7911</t>
  </si>
  <si>
    <t>1.62%</t>
  </si>
  <si>
    <t>TAA0412CD-DC2E A,AFB0412SHBYQB</t>
  </si>
  <si>
    <t>9.85%</t>
  </si>
  <si>
    <t>8.89%</t>
  </si>
  <si>
    <t>36204B5911,36204AJP11</t>
  </si>
  <si>
    <t>10.74%</t>
  </si>
  <si>
    <t>13.14%</t>
  </si>
  <si>
    <t>EFB0412VHD-CVXA F</t>
  </si>
  <si>
    <t>7.53%</t>
  </si>
  <si>
    <t>14.68%</t>
  </si>
  <si>
    <t>8.15%</t>
  </si>
  <si>
    <t>9.47%</t>
  </si>
  <si>
    <t>11.20%</t>
  </si>
  <si>
    <t>4.56%</t>
  </si>
  <si>
    <t>Line_215</t>
  </si>
  <si>
    <t>5.36%</t>
  </si>
  <si>
    <t>2.66%</t>
  </si>
  <si>
    <t>4.14%</t>
  </si>
  <si>
    <t>12.13%</t>
  </si>
  <si>
    <t>10.98%</t>
  </si>
  <si>
    <t>11.96%</t>
  </si>
  <si>
    <t>Station 4</t>
    <phoneticPr fontId="1" type="noConversion"/>
  </si>
  <si>
    <t>Station 3</t>
    <phoneticPr fontId="1" type="noConversion"/>
  </si>
  <si>
    <t>18.46%</t>
  </si>
  <si>
    <t>20.83%</t>
  </si>
  <si>
    <t>15.56%</t>
  </si>
  <si>
    <t>18.32%</t>
  </si>
  <si>
    <t>11.81%</t>
  </si>
  <si>
    <t>13.91%</t>
  </si>
  <si>
    <t>6.62%</t>
  </si>
  <si>
    <t>7.73%</t>
  </si>
  <si>
    <t>5.88%</t>
  </si>
  <si>
    <t>36204A7911,36204AF611</t>
  </si>
  <si>
    <t>TAA0412CD-DC2E A,TAA0412CD-BD1A A</t>
  </si>
  <si>
    <t>4.07%</t>
  </si>
  <si>
    <t>3.84%</t>
  </si>
  <si>
    <t>36204AJP11,36204AHK11</t>
  </si>
  <si>
    <t>9.26%</t>
  </si>
  <si>
    <t>10.12%</t>
  </si>
  <si>
    <t>9.18%</t>
  </si>
  <si>
    <t>EFB0412VHD-CVXA F,EFB0412VHD-CVA2 F</t>
  </si>
  <si>
    <t>19.03%</t>
  </si>
  <si>
    <t>21.60%</t>
  </si>
  <si>
    <t>16.77%</t>
  </si>
  <si>
    <t>15.80%</t>
  </si>
  <si>
    <t>5.80%</t>
  </si>
  <si>
    <t>14.63%</t>
  </si>
  <si>
    <t>9.73%</t>
  </si>
  <si>
    <t>7.04%</t>
  </si>
  <si>
    <t>8.81%</t>
  </si>
  <si>
    <t>8.54%</t>
  </si>
  <si>
    <t>36204AF611,36204AQW11</t>
  </si>
  <si>
    <t>15.54%</t>
  </si>
  <si>
    <t>15.32%</t>
  </si>
  <si>
    <t>W15拋料類型</t>
    <phoneticPr fontId="1" type="noConversion"/>
  </si>
  <si>
    <t>W16拋料類型</t>
    <phoneticPr fontId="1" type="noConversion"/>
  </si>
  <si>
    <t>9.59%</t>
  </si>
  <si>
    <t>10.70%</t>
  </si>
  <si>
    <t>21.49%</t>
  </si>
  <si>
    <t>27.20%</t>
  </si>
  <si>
    <t>16.89%</t>
  </si>
  <si>
    <t>21.24%</t>
  </si>
  <si>
    <t>12.49%</t>
  </si>
  <si>
    <t>18.00%</t>
  </si>
  <si>
    <t>FFB0412EHN-DJ08 W,3620478111</t>
  </si>
  <si>
    <t>12.42%</t>
  </si>
  <si>
    <t>11.42%</t>
  </si>
  <si>
    <t>4.94%</t>
  </si>
  <si>
    <t>12.11%</t>
  </si>
  <si>
    <t>10.19%</t>
  </si>
  <si>
    <t>14.40%</t>
  </si>
  <si>
    <t>14.25%</t>
  </si>
  <si>
    <t>8.70%</t>
  </si>
  <si>
    <t>36204AQW11,36204APG11,36204A7911</t>
  </si>
  <si>
    <t>20.96%</t>
  </si>
  <si>
    <t>20.36%</t>
  </si>
  <si>
    <t>TAA0412CD-BD1A A,TAA0412CD-AF83 A</t>
  </si>
  <si>
    <t>12.12%</t>
  </si>
  <si>
    <t>14.81%</t>
  </si>
  <si>
    <t>20.13%</t>
  </si>
  <si>
    <t>9.71%</t>
  </si>
  <si>
    <t>11.27%</t>
  </si>
  <si>
    <t>FFB0412EN-00W2W,36204AFK11</t>
  </si>
  <si>
    <t>8.42%</t>
  </si>
  <si>
    <t>14.69%</t>
  </si>
  <si>
    <t>14.47%</t>
  </si>
  <si>
    <t>14.58%</t>
  </si>
  <si>
    <t>14.00%</t>
  </si>
  <si>
    <t>14.32%</t>
  </si>
  <si>
    <t>13.57%</t>
  </si>
  <si>
    <t>13.22%</t>
  </si>
  <si>
    <t>12.68%</t>
  </si>
  <si>
    <t>7.98%</t>
  </si>
  <si>
    <t>3620478111</t>
  </si>
  <si>
    <t>7.05%</t>
  </si>
  <si>
    <t>36204APG11,36204A5511,36204AAS11</t>
  </si>
  <si>
    <t>11.35%</t>
  </si>
  <si>
    <t>11.13%</t>
  </si>
  <si>
    <t>36204H1711</t>
  </si>
  <si>
    <t>9.94%</t>
  </si>
  <si>
    <t>3.34%</t>
  </si>
  <si>
    <t>36204ANN11,FFB0412EN-00K5U</t>
    <phoneticPr fontId="1" type="noConversion"/>
  </si>
  <si>
    <t>6.42%</t>
  </si>
  <si>
    <t>15.81%</t>
  </si>
  <si>
    <t>18.63%</t>
  </si>
  <si>
    <t>12.21%</t>
  </si>
  <si>
    <t>10.44%</t>
  </si>
  <si>
    <t>12.37%</t>
  </si>
  <si>
    <t>9.50%</t>
  </si>
  <si>
    <t>11.51%</t>
  </si>
  <si>
    <t>8.13%</t>
  </si>
  <si>
    <t>8.99%</t>
  </si>
  <si>
    <t>10.84%</t>
  </si>
  <si>
    <t>6.64%</t>
  </si>
  <si>
    <t>3.41%</t>
  </si>
  <si>
    <t>6.76%</t>
  </si>
  <si>
    <t>3.14%</t>
  </si>
  <si>
    <t>36204ANM11,36204A5511,36204AAS11,TAA0412CD-BD1A A</t>
  </si>
  <si>
    <t>4.48%</t>
  </si>
  <si>
    <t>36204AFK11,36204H8411</t>
  </si>
  <si>
    <t>3.99%</t>
  </si>
  <si>
    <t>8.91%</t>
  </si>
  <si>
    <t>6.14%</t>
  </si>
  <si>
    <t>10.67%</t>
  </si>
  <si>
    <t>11.08%</t>
  </si>
  <si>
    <t>11.50%</t>
  </si>
  <si>
    <t>19.10%</t>
  </si>
  <si>
    <t>16.47%</t>
  </si>
  <si>
    <t>3620478111,FFB0412UHN-CY6W,3620478111</t>
  </si>
  <si>
    <t>11.26%</t>
  </si>
  <si>
    <t>12.83%</t>
  </si>
  <si>
    <t>13.32%</t>
  </si>
  <si>
    <t>4.79%</t>
  </si>
  <si>
    <t>3.50%</t>
  </si>
  <si>
    <t>4.95%</t>
  </si>
  <si>
    <t>36204H8411,36204F6311</t>
  </si>
  <si>
    <t>Unknown 10_184_36_120</t>
  </si>
  <si>
    <t>11.43%</t>
  </si>
  <si>
    <t>11.60%</t>
  </si>
  <si>
    <t>20.65%</t>
  </si>
  <si>
    <t>32.24%</t>
  </si>
  <si>
    <t>24.08%</t>
  </si>
  <si>
    <t>FFB0412UHN-CY6W</t>
  </si>
  <si>
    <t>14.09%</t>
  </si>
  <si>
    <t>16.61%</t>
  </si>
  <si>
    <t>11.93%</t>
  </si>
  <si>
    <t>13.06%</t>
  </si>
  <si>
    <t>10.60%</t>
  </si>
  <si>
    <t>25.28%</t>
  </si>
  <si>
    <t>20.87%</t>
  </si>
  <si>
    <t>12.80%</t>
  </si>
  <si>
    <t>11.10%</t>
  </si>
  <si>
    <t>12.56%</t>
  </si>
  <si>
    <t>9.75%</t>
  </si>
  <si>
    <t>6.46%</t>
  </si>
  <si>
    <t>12.55%</t>
  </si>
  <si>
    <t>12.15%</t>
  </si>
  <si>
    <t>13.18%</t>
  </si>
  <si>
    <t>14.03%</t>
  </si>
  <si>
    <t>15.70%</t>
  </si>
  <si>
    <t>8.39%</t>
  </si>
  <si>
    <t>15.55%</t>
  </si>
  <si>
    <t>FFB0412UHN-CH68,FA121A04-P05 C</t>
  </si>
  <si>
    <t>4.52%</t>
  </si>
  <si>
    <t>50.00%</t>
  </si>
  <si>
    <t>15.67%</t>
  </si>
  <si>
    <t>7.90%</t>
  </si>
  <si>
    <t>17.21%</t>
  </si>
  <si>
    <t>6.66%</t>
  </si>
  <si>
    <t>36204F6311,36204D6511</t>
  </si>
  <si>
    <t>W17(4/20~25)</t>
    <phoneticPr fontId="1" type="noConversion"/>
  </si>
  <si>
    <t>W17拋料類型</t>
    <phoneticPr fontId="1" type="noConversion"/>
  </si>
  <si>
    <t>36204G3811</t>
    <phoneticPr fontId="1" type="noConversion"/>
  </si>
  <si>
    <t>36204G1711</t>
    <phoneticPr fontId="1" type="noConversion"/>
  </si>
  <si>
    <t>17.12%</t>
  </si>
  <si>
    <t>16.30%</t>
  </si>
  <si>
    <t>16.35%</t>
  </si>
  <si>
    <t>22.05%</t>
  </si>
  <si>
    <t>11.54%</t>
  </si>
  <si>
    <t>11.84%</t>
  </si>
  <si>
    <t>20.28%</t>
  </si>
  <si>
    <t>30.45%</t>
  </si>
  <si>
    <t>67.05%</t>
  </si>
  <si>
    <t>18.97%</t>
  </si>
  <si>
    <t>29.00%</t>
  </si>
  <si>
    <t>64.77%</t>
  </si>
  <si>
    <t>FFB0412UHN-BC2EA12</t>
  </si>
  <si>
    <t>4.35%</t>
  </si>
  <si>
    <t>FA121A04-P05 C</t>
  </si>
  <si>
    <t>13.84%</t>
  </si>
  <si>
    <t>12.75%</t>
  </si>
  <si>
    <t>4.77%</t>
  </si>
  <si>
    <t>16.12%</t>
  </si>
  <si>
    <t>7.64%</t>
  </si>
  <si>
    <t>36204D6511,36204AMD11</t>
  </si>
  <si>
    <t>10.38%</t>
  </si>
  <si>
    <t>17.05%</t>
  </si>
  <si>
    <t>20.04%</t>
  </si>
  <si>
    <t>16.93%</t>
  </si>
  <si>
    <t>44.09%</t>
  </si>
  <si>
    <t>43.31%</t>
  </si>
  <si>
    <t>3.61%</t>
  </si>
  <si>
    <t>1.91%</t>
  </si>
  <si>
    <t>12.46%</t>
  </si>
  <si>
    <t>36204A5511,36204AR211</t>
  </si>
  <si>
    <t>75.00%</t>
  </si>
  <si>
    <t>25.00%</t>
  </si>
  <si>
    <t>14.22%</t>
  </si>
  <si>
    <t>7.85%</t>
  </si>
  <si>
    <t>36204AMD11,FFB0412EN-00K5U</t>
  </si>
  <si>
    <t>5.00%</t>
  </si>
  <si>
    <t>18.01%</t>
  </si>
  <si>
    <t>15.00%</t>
  </si>
  <si>
    <t>12.73%</t>
  </si>
  <si>
    <t>9.56%</t>
  </si>
  <si>
    <t>教材已完成，製造課長學習調整duty</t>
    <phoneticPr fontId="1" type="noConversion"/>
  </si>
  <si>
    <t>試線TE確認duty</t>
    <phoneticPr fontId="1" type="noConversion"/>
  </si>
  <si>
    <t>燒錄設備已完成，201已完成，其餘待展開</t>
    <phoneticPr fontId="1" type="noConversion"/>
  </si>
  <si>
    <t>進度</t>
    <phoneticPr fontId="1" type="noConversion"/>
  </si>
  <si>
    <t>On-going</t>
    <phoneticPr fontId="1" type="noConversion"/>
  </si>
  <si>
    <t>TBD</t>
    <phoneticPr fontId="1" type="noConversion"/>
  </si>
  <si>
    <t>測試軟件增加一D地址，輸出判斷status</t>
    <phoneticPr fontId="1" type="noConversion"/>
  </si>
  <si>
    <t>Status定義已完成，測試軟體待更新</t>
    <phoneticPr fontId="1" type="noConversion"/>
  </si>
  <si>
    <t>平展</t>
    <phoneticPr fontId="1" type="noConversion"/>
  </si>
  <si>
    <t>測試程序調用要求加入OI中</t>
    <phoneticPr fontId="1" type="noConversion"/>
  </si>
  <si>
    <t>測試程序雲端化</t>
    <phoneticPr fontId="1" type="noConversion"/>
  </si>
  <si>
    <t>設備重啟無確認測試參數</t>
    <phoneticPr fontId="1" type="noConversion"/>
  </si>
  <si>
    <t>換線未確認測試參數</t>
    <phoneticPr fontId="1" type="noConversion"/>
  </si>
  <si>
    <t>製造試線過程找TE確認duty</t>
    <phoneticPr fontId="1" type="noConversion"/>
  </si>
  <si>
    <t>製造一、二課需學習調整duty</t>
    <phoneticPr fontId="1" type="noConversion"/>
  </si>
  <si>
    <t>治具異常管理</t>
    <phoneticPr fontId="1" type="noConversion"/>
  </si>
  <si>
    <t>載具ID；測試軟體配置上傳載具ID</t>
    <phoneticPr fontId="1" type="noConversion"/>
  </si>
  <si>
    <t>error code上傳至設備(載具、中轉板自動排查)</t>
    <phoneticPr fontId="1" type="noConversion"/>
  </si>
  <si>
    <t>軟體功能未完成</t>
    <phoneticPr fontId="1" type="noConversion"/>
  </si>
  <si>
    <t>Fail</t>
    <phoneticPr fontId="1" type="noConversion"/>
  </si>
  <si>
    <t>人機統計功能已完成於C217，未展開</t>
    <phoneticPr fontId="1" type="noConversion"/>
  </si>
  <si>
    <t>驗證Status後，確認OK後進行</t>
    <phoneticPr fontId="1" type="noConversion"/>
  </si>
  <si>
    <t>新增異音自檢功能</t>
    <phoneticPr fontId="1" type="noConversion"/>
  </si>
  <si>
    <t>配置操作說明</t>
    <phoneticPr fontId="1" type="noConversion"/>
  </si>
  <si>
    <t>已完成</t>
    <phoneticPr fontId="1" type="noConversion"/>
  </si>
  <si>
    <t>3月拋料類型</t>
    <phoneticPr fontId="1" type="noConversion"/>
  </si>
  <si>
    <t>Fail Count</t>
    <phoneticPr fontId="1" type="noConversion"/>
  </si>
  <si>
    <t>16.94%</t>
  </si>
  <si>
    <t>19.51%</t>
  </si>
  <si>
    <t>12.60%</t>
  </si>
  <si>
    <t>20.46%</t>
  </si>
  <si>
    <t>9.78%</t>
  </si>
  <si>
    <t>17.63%</t>
  </si>
  <si>
    <t>FA121A04-P05 C,FFB0412UHN-CALW</t>
  </si>
  <si>
    <t>36204AK511,36204A9411,36204AR211</t>
  </si>
  <si>
    <t>17.59%</t>
  </si>
  <si>
    <t>10.97%</t>
  </si>
  <si>
    <t>FFB0412EN-00K5U</t>
  </si>
  <si>
    <t>16.10%</t>
  </si>
  <si>
    <t>21.12%</t>
  </si>
  <si>
    <t>17.77%</t>
  </si>
  <si>
    <t>22.00%</t>
  </si>
  <si>
    <t>11.65%</t>
  </si>
  <si>
    <t>11.36%</t>
  </si>
  <si>
    <t>9.30%</t>
  </si>
  <si>
    <t>FFB0412UHN-BC2EA12,TAA0412DDX01W2P F</t>
  </si>
  <si>
    <t>2.34%</t>
  </si>
  <si>
    <t>21.33%</t>
  </si>
  <si>
    <t>36204A9411,36204C1211</t>
  </si>
  <si>
    <t>21.54%</t>
  </si>
  <si>
    <t>21.19%</t>
  </si>
  <si>
    <t>5.56%</t>
  </si>
  <si>
    <t>19.98%</t>
  </si>
  <si>
    <t>11.40%</t>
  </si>
  <si>
    <t>14.48%</t>
  </si>
  <si>
    <t>FFB0412EN-00K5U,36204B5911</t>
  </si>
  <si>
    <t>27.83%</t>
  </si>
  <si>
    <t>27.35%</t>
  </si>
  <si>
    <t>6.19%</t>
  </si>
  <si>
    <t>7.95%</t>
  </si>
  <si>
    <t>3.16%</t>
  </si>
  <si>
    <t>3.92%</t>
  </si>
  <si>
    <t>FA121A04-P05 C,FA121A04-M02 C</t>
  </si>
  <si>
    <t>11.87%</t>
  </si>
  <si>
    <t>13.25%</t>
  </si>
  <si>
    <t>36204C1211,36204AY811</t>
  </si>
  <si>
    <t>13.20%</t>
  </si>
  <si>
    <t>13.75%</t>
  </si>
  <si>
    <t>29.97%</t>
  </si>
  <si>
    <t>27.13%</t>
  </si>
  <si>
    <t>18.39%</t>
  </si>
  <si>
    <t>17.69%</t>
  </si>
  <si>
    <t>19.42%</t>
  </si>
  <si>
    <t>12.54%</t>
  </si>
  <si>
    <t>11.21%</t>
  </si>
  <si>
    <t>2.08%</t>
  </si>
  <si>
    <t>34.65%</t>
  </si>
  <si>
    <t>43.26%</t>
  </si>
  <si>
    <t>42.38%</t>
  </si>
  <si>
    <t>14.31%</t>
  </si>
  <si>
    <t>FA121A04-P70 C,FA121A04-M02 C,FFB0412UHN-CH68</t>
  </si>
  <si>
    <t>4.65%</t>
  </si>
  <si>
    <t>36204AY811,36204AGV11</t>
  </si>
  <si>
    <t>Station 11</t>
  </si>
  <si>
    <t>6.65%</t>
  </si>
  <si>
    <t>12.09%</t>
  </si>
  <si>
    <t>14.06%</t>
  </si>
  <si>
    <t>9.79%</t>
  </si>
  <si>
    <t>14.08%</t>
  </si>
  <si>
    <t>11.58%</t>
  </si>
  <si>
    <t>3.97%</t>
  </si>
  <si>
    <t>36204AGV11</t>
  </si>
  <si>
    <t>TAA0412CD-BD1A A,TAA0412CD-DC2E A</t>
  </si>
  <si>
    <t>36204AJP11,36204AFK11</t>
  </si>
  <si>
    <t>12.52%</t>
  </si>
  <si>
    <t>12.26%</t>
  </si>
  <si>
    <t>7.78%</t>
  </si>
  <si>
    <t>15.20%</t>
  </si>
  <si>
    <t>13.72%</t>
  </si>
  <si>
    <t>14.17%</t>
  </si>
  <si>
    <t>17.17%</t>
  </si>
  <si>
    <t>19.27%</t>
  </si>
  <si>
    <t>4.69%</t>
  </si>
  <si>
    <t>TAA0412CD-DC2E A</t>
  </si>
  <si>
    <t>11.31%</t>
  </si>
  <si>
    <t>16.33%</t>
  </si>
  <si>
    <t>11.01%</t>
  </si>
  <si>
    <t>15.96%</t>
  </si>
  <si>
    <t>14.71%</t>
  </si>
  <si>
    <t>11.07%</t>
  </si>
  <si>
    <t>16.76%</t>
  </si>
  <si>
    <t>14.38%</t>
  </si>
  <si>
    <t>15.09%</t>
  </si>
  <si>
    <t>36204AGV11,36204AAS11</t>
  </si>
  <si>
    <t>TAA0412CD-DC2E A,TAA0412CDEJ9,EFB0412HHDFAT C</t>
  </si>
  <si>
    <t>11.05%</t>
  </si>
  <si>
    <t>14.95%</t>
  </si>
  <si>
    <t>9.90%</t>
  </si>
  <si>
    <t>10.95%</t>
  </si>
  <si>
    <t>7.21%</t>
  </si>
  <si>
    <t>13.67%</t>
  </si>
  <si>
    <t>16.67%</t>
  </si>
  <si>
    <t>10.48%</t>
  </si>
  <si>
    <t>13.77%</t>
  </si>
  <si>
    <t>10.94%</t>
  </si>
  <si>
    <t>36204AAS11,TFA0412CNJTP M,36204ANM11,36204C3111</t>
  </si>
  <si>
    <t>8.86%</t>
  </si>
  <si>
    <t>36204AFK11,36204AV011</t>
  </si>
  <si>
    <t>36204H1711,36204H1611</t>
  </si>
  <si>
    <t>12.29%</t>
  </si>
  <si>
    <t>46.35%</t>
  </si>
  <si>
    <t>44.91%</t>
  </si>
  <si>
    <t>46.94%</t>
  </si>
  <si>
    <t>47.32%</t>
  </si>
  <si>
    <t>43.28%</t>
  </si>
  <si>
    <t>43.76%</t>
  </si>
  <si>
    <t>42.36%</t>
  </si>
  <si>
    <t>43.65%</t>
  </si>
  <si>
    <t>36204ANM11,36204AGJ11</t>
  </si>
  <si>
    <t>12.04%</t>
  </si>
  <si>
    <t>5.79%</t>
  </si>
  <si>
    <t>TAA0412DDX01W2P F,3620499411</t>
  </si>
  <si>
    <t>5.72%</t>
  </si>
  <si>
    <t>12.40%</t>
  </si>
  <si>
    <t>15.50%</t>
  </si>
  <si>
    <t>13.40%</t>
  </si>
  <si>
    <t>14.85%</t>
  </si>
  <si>
    <t>36204H1611</t>
  </si>
  <si>
    <t>4.10%</t>
  </si>
  <si>
    <t>14.96%</t>
  </si>
  <si>
    <t>13.56%</t>
  </si>
  <si>
    <t>10.91%</t>
  </si>
  <si>
    <t>48.20%</t>
  </si>
  <si>
    <t>48.92%</t>
  </si>
  <si>
    <t>48.58%</t>
  </si>
  <si>
    <t>46.50%</t>
  </si>
  <si>
    <t>3620499411,3620499311</t>
  </si>
  <si>
    <t>2.85%</t>
  </si>
  <si>
    <t>11.83%</t>
  </si>
  <si>
    <t>FFB0412VN-00VFE,36204A5511</t>
  </si>
  <si>
    <t>12.66%</t>
  </si>
  <si>
    <t>51.66%</t>
  </si>
  <si>
    <t>34.57%</t>
  </si>
  <si>
    <t>41.18%</t>
  </si>
  <si>
    <t>14.57%</t>
  </si>
  <si>
    <t>11.11%</t>
  </si>
  <si>
    <t>38.24%</t>
  </si>
  <si>
    <t>27.81%</t>
  </si>
  <si>
    <t>36204ALH11</t>
  </si>
  <si>
    <t>48.04%</t>
  </si>
  <si>
    <t>44.58%</t>
  </si>
  <si>
    <t>49.63%</t>
  </si>
  <si>
    <t>50.78%</t>
  </si>
  <si>
    <t>3620499311,3620478111</t>
  </si>
  <si>
    <t>14.67%</t>
  </si>
  <si>
    <t>8.44%</t>
  </si>
  <si>
    <t>13.63%</t>
  </si>
  <si>
    <t>1.23%</t>
  </si>
  <si>
    <t>36204A5511,36204AY811</t>
  </si>
  <si>
    <t>FFB0412EN-00K5U,FFB0412EN-00VRT,36204AHK11</t>
  </si>
  <si>
    <t>36204AL711</t>
  </si>
  <si>
    <t>11.78%</t>
  </si>
  <si>
    <t>15.85%</t>
  </si>
  <si>
    <t>14.90%</t>
  </si>
  <si>
    <t>13.38%</t>
  </si>
  <si>
    <t>13.10%</t>
  </si>
  <si>
    <t>6.51%</t>
  </si>
  <si>
    <t>13.82%</t>
  </si>
  <si>
    <t>36204AY811,36204ALA11</t>
  </si>
  <si>
    <t>EFB0412HHDHGN,EFB0412HHDFAT C</t>
  </si>
  <si>
    <t>36204AL711,36204ALH11</t>
  </si>
  <si>
    <t>36204AV011,FFB0412EN-00K5U</t>
    <phoneticPr fontId="1" type="noConversion"/>
  </si>
  <si>
    <t>19.28%</t>
  </si>
  <si>
    <t>16.05%</t>
  </si>
  <si>
    <t>17.22%</t>
  </si>
  <si>
    <t>13.13%</t>
  </si>
  <si>
    <t>5.39%</t>
  </si>
  <si>
    <t>3620478111,36204B6311</t>
  </si>
  <si>
    <t>36204ALA11,FFB0412UHNECQ</t>
  </si>
  <si>
    <t>36204ALH11,AFB0412SHB70V</t>
  </si>
  <si>
    <t>13.02%</t>
  </si>
  <si>
    <t>24.87%</t>
  </si>
  <si>
    <t>24.78%</t>
  </si>
  <si>
    <t>FFB0412UHNECQ</t>
  </si>
  <si>
    <t>14.92%</t>
  </si>
  <si>
    <t>14.65%</t>
  </si>
  <si>
    <t>16.15%</t>
  </si>
  <si>
    <t>10.54%</t>
  </si>
  <si>
    <t>36204AHK11,36204ARD11,36204AC411,36204F6311</t>
  </si>
  <si>
    <t>13.55%</t>
  </si>
  <si>
    <t>22.18%</t>
  </si>
  <si>
    <t>23.55%</t>
  </si>
  <si>
    <t>21.98%</t>
  </si>
  <si>
    <t>21.51%</t>
  </si>
  <si>
    <t>16.03%</t>
  </si>
  <si>
    <t>15.46%</t>
  </si>
  <si>
    <t>36204F6311,FFB0412EN-00K5U</t>
  </si>
  <si>
    <t>AFB0412SHBFF1,AFB0412SHBKHV</t>
  </si>
  <si>
    <t>36204G3711,36204H1711</t>
  </si>
  <si>
    <t>15.76%</t>
  </si>
  <si>
    <t>4.91%</t>
  </si>
  <si>
    <t>13.76%</t>
  </si>
  <si>
    <t>5.69%</t>
  </si>
  <si>
    <t>7.65%</t>
  </si>
  <si>
    <t>11.03%</t>
  </si>
  <si>
    <t>10.89%</t>
  </si>
  <si>
    <t>FFB0412UHNECQ,FFB0412UHNFFE</t>
  </si>
  <si>
    <t>50.09%</t>
  </si>
  <si>
    <t>19.34%</t>
  </si>
  <si>
    <t>19.29%</t>
  </si>
  <si>
    <t>18.91%</t>
  </si>
  <si>
    <t>19.71%</t>
  </si>
  <si>
    <t>10.90%</t>
  </si>
  <si>
    <t>AFB0412SHBKHV</t>
  </si>
  <si>
    <t>12.35%</t>
  </si>
  <si>
    <t>34.12%</t>
  </si>
  <si>
    <t>7.74%</t>
  </si>
  <si>
    <t>14.54%</t>
  </si>
  <si>
    <t>34.05%</t>
  </si>
  <si>
    <t>FFB0412UHNFFE</t>
  </si>
  <si>
    <t>2.10%</t>
  </si>
  <si>
    <t>47.17%</t>
  </si>
  <si>
    <t>18.53%</t>
  </si>
  <si>
    <t>21.95%</t>
  </si>
  <si>
    <t>9.88%</t>
  </si>
  <si>
    <t>38.03%</t>
  </si>
  <si>
    <t>61.98%</t>
  </si>
  <si>
    <t>25.38%</t>
  </si>
  <si>
    <t>43.93%</t>
  </si>
  <si>
    <t>42.67%</t>
  </si>
  <si>
    <t>73.82%</t>
  </si>
  <si>
    <t>PFM0448GN-00VK6</t>
  </si>
  <si>
    <t>9.60%</t>
  </si>
  <si>
    <t>6.49%</t>
  </si>
  <si>
    <t>9.06%</t>
  </si>
  <si>
    <t>10.07%</t>
  </si>
  <si>
    <t>48.60%</t>
  </si>
  <si>
    <t>12.96%</t>
  </si>
  <si>
    <t>15.33%</t>
  </si>
  <si>
    <t>16.71%</t>
  </si>
  <si>
    <t>12.87%</t>
  </si>
  <si>
    <t>5.66%</t>
  </si>
  <si>
    <t>12.16%</t>
  </si>
  <si>
    <t>11.95%</t>
  </si>
  <si>
    <t>FFB0412UHNFFE,THA0412ADX06</t>
  </si>
  <si>
    <t>48.98%</t>
  </si>
  <si>
    <t>14.14%</t>
  </si>
  <si>
    <t>15.28%</t>
  </si>
  <si>
    <t>36204F6311,36204B5911</t>
  </si>
  <si>
    <t>18.94%</t>
  </si>
  <si>
    <t>26.11%</t>
  </si>
  <si>
    <t>24.81%</t>
  </si>
  <si>
    <t>12.07%</t>
  </si>
  <si>
    <t>4.62%</t>
  </si>
  <si>
    <t>10.01%</t>
  </si>
  <si>
    <t>48.79%</t>
  </si>
  <si>
    <t>36204B5911,36204C7811,FFB0412EN-00K5U</t>
  </si>
  <si>
    <t>13.85%</t>
  </si>
  <si>
    <t>TAA0412DDX01W2P F,TAA0412DDX01VPN</t>
  </si>
  <si>
    <t>19.50%</t>
  </si>
  <si>
    <t>10.15%</t>
  </si>
  <si>
    <t>14.13%</t>
  </si>
  <si>
    <t>47.79%</t>
  </si>
  <si>
    <t>EFB0412HHDHGN,TFA0412CNZHG C</t>
  </si>
  <si>
    <t>36204AMG11,36204ALQ11</t>
  </si>
  <si>
    <t>AFB0412SHBKHV,36204A8811</t>
  </si>
  <si>
    <t>更換機種沒找TE調參數</t>
    <phoneticPr fontId="1" type="noConversion"/>
  </si>
  <si>
    <t>16.49%</t>
  </si>
  <si>
    <t>25.15%</t>
  </si>
  <si>
    <t>12.79%</t>
  </si>
  <si>
    <t>21.28%</t>
  </si>
  <si>
    <t>36.17%</t>
  </si>
  <si>
    <t>60.51%</t>
  </si>
  <si>
    <t>14.49%</t>
  </si>
  <si>
    <t>15.87%</t>
  </si>
  <si>
    <t>11.48%</t>
  </si>
  <si>
    <t>16.54%</t>
  </si>
  <si>
    <t>TAA0412DDX01VPN</t>
  </si>
  <si>
    <t>10.41%</t>
  </si>
  <si>
    <t>6.90%</t>
  </si>
  <si>
    <t>36204ALQ11,36204ANN11</t>
  </si>
  <si>
    <t>TAA0412DDX01VPN,TAA0412DDX01VPN F</t>
  </si>
  <si>
    <t>9.39%</t>
  </si>
  <si>
    <t>TFA0412CNZHG C,TFA0412CNKRV,TAA0412CD-AF83 A</t>
  </si>
  <si>
    <t>17.67%</t>
  </si>
  <si>
    <t>PFM0448GN-00VK6,36204G1411</t>
  </si>
  <si>
    <t>12.77%</t>
  </si>
  <si>
    <t>TAA0412DDX01VPN F</t>
  </si>
  <si>
    <t>47.21%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</si>
</sst>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&quot;月&quot;d&quot;日&quot;"/>
    <numFmt numFmtId="177" formatCode="0.00_);[Red]\(0.00\)"/>
    <numFmt numFmtId="178" formatCode="0.0%"/>
    <numFmt numFmtId="179" formatCode="0_);[Red]\(0\)"/>
    <numFmt numFmtId="180" formatCode="0.000_);[Red]\(0.000\)"/>
  </numFmts>
  <fonts count="1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color rgb="FF000000"/>
      <name val="新細明體"/>
      <family val="1"/>
      <charset val="136"/>
    </font>
    <font>
      <b/>
      <sz val="11"/>
      <name val="新細明體"/>
      <family val="1"/>
      <charset val="136"/>
    </font>
    <font>
      <sz val="11"/>
      <color rgb="FF000000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  <fill>
      <patternFill patternType="solid">
        <fgColor rgb="FFFF5050"/>
        <bgColor rgb="FFFF5050"/>
      </patternFill>
    </fill>
    <fill>
      <patternFill patternType="solid">
        <fgColor rgb="FFFF9999"/>
        <bgColor rgb="FFFF9999"/>
      </patternFill>
    </fill>
    <fill>
      <patternFill patternType="solid">
        <fgColor rgb="FFBDE7FF"/>
        <bgColor rgb="FFBDE7FF"/>
      </patternFill>
    </fill>
    <fill>
      <patternFill patternType="solid">
        <fgColor rgb="FFD1EFFF"/>
        <bgColor rgb="FFD1EFFF"/>
      </patternFill>
    </fill>
    <fill>
      <patternFill patternType="solid">
        <fgColor rgb="FFA0E8E6"/>
        <bgColor rgb="FFA0E8E6"/>
      </patternFill>
    </fill>
    <fill>
      <patternFill patternType="solid">
        <fgColor rgb="FFC6F1F0"/>
        <bgColor rgb="FFC6F1F0"/>
      </patternFill>
    </fill>
    <fill>
      <patternFill patternType="solid">
        <fgColor rgb="FFC9F084"/>
        <bgColor rgb="FFC9F084"/>
      </patternFill>
    </fill>
    <fill>
      <patternFill patternType="solid">
        <fgColor rgb="FFE0F6B8"/>
        <bgColor rgb="FFE0F6B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FF5050"/>
      </patternFill>
    </fill>
    <fill>
      <patternFill patternType="solid">
        <fgColor rgb="FFFF9999"/>
        <bgColor rgb="FFFF5050"/>
      </patternFill>
    </fill>
    <fill>
      <patternFill patternType="solid">
        <fgColor rgb="FFFFCCCC"/>
        <bgColor rgb="FFFF9999"/>
      </patternFill>
    </fill>
    <fill>
      <patternFill patternType="solid">
        <fgColor rgb="FFFFCCCC"/>
        <bgColor rgb="FFFF5050"/>
      </patternFill>
    </fill>
    <fill>
      <patternFill patternType="solid">
        <fgColor rgb="FFFF9999"/>
        <bgColor rgb="FFFFCCCC"/>
      </patternFill>
    </fill>
    <fill>
      <patternFill patternType="solid">
        <fgColor rgb="FFFF5050"/>
        <bgColor rgb="FFFF9999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>
      <alignment vertical="center"/>
    </xf>
    <xf numFmtId="0" fontId="10" fillId="0" borderId="0"/>
  </cellStyleXfs>
  <cellXfs count="19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5" xfId="0" applyBorder="1"/>
    <xf numFmtId="177" fontId="0" fillId="0" borderId="5" xfId="0" applyNumberFormat="1" applyBorder="1"/>
    <xf numFmtId="0" fontId="0" fillId="0" borderId="6" xfId="0" applyBorder="1"/>
    <xf numFmtId="0" fontId="0" fillId="0" borderId="7" xfId="0" applyBorder="1"/>
    <xf numFmtId="176" fontId="0" fillId="13" borderId="9" xfId="0" applyNumberFormat="1" applyFill="1" applyBorder="1"/>
    <xf numFmtId="176" fontId="0" fillId="13" borderId="10" xfId="0" applyNumberFormat="1" applyFill="1" applyBorder="1"/>
    <xf numFmtId="177" fontId="0" fillId="14" borderId="5" xfId="0" applyNumberFormat="1" applyFill="1" applyBorder="1"/>
    <xf numFmtId="177" fontId="0" fillId="14" borderId="12" xfId="0" applyNumberFormat="1" applyFill="1" applyBorder="1"/>
    <xf numFmtId="0" fontId="0" fillId="14" borderId="5" xfId="0" applyFill="1" applyBorder="1"/>
    <xf numFmtId="0" fontId="0" fillId="14" borderId="14" xfId="0" applyFill="1" applyBorder="1"/>
    <xf numFmtId="0" fontId="0" fillId="14" borderId="15" xfId="0" applyFill="1" applyBorder="1"/>
    <xf numFmtId="0" fontId="0" fillId="14" borderId="12" xfId="0" applyFill="1" applyBorder="1"/>
    <xf numFmtId="10" fontId="0" fillId="14" borderId="5" xfId="0" applyNumberFormat="1" applyFill="1" applyBorder="1"/>
    <xf numFmtId="0" fontId="0" fillId="14" borderId="6" xfId="0" applyFill="1" applyBorder="1"/>
    <xf numFmtId="0" fontId="4" fillId="12" borderId="1" xfId="0" applyFont="1" applyFill="1" applyBorder="1" applyAlignment="1">
      <alignment horizontal="center" vertical="center"/>
    </xf>
    <xf numFmtId="10" fontId="0" fillId="14" borderId="5" xfId="1" applyNumberFormat="1" applyFont="1" applyFill="1" applyBorder="1" applyAlignment="1"/>
    <xf numFmtId="0" fontId="7" fillId="13" borderId="8" xfId="0" applyFont="1" applyFill="1" applyBorder="1"/>
    <xf numFmtId="177" fontId="7" fillId="13" borderId="11" xfId="0" applyNumberFormat="1" applyFont="1" applyFill="1" applyBorder="1"/>
    <xf numFmtId="0" fontId="7" fillId="13" borderId="11" xfId="0" applyFont="1" applyFill="1" applyBorder="1"/>
    <xf numFmtId="0" fontId="7" fillId="13" borderId="13" xfId="0" applyFont="1" applyFill="1" applyBorder="1"/>
    <xf numFmtId="0" fontId="7" fillId="0" borderId="7" xfId="0" applyFont="1" applyBorder="1"/>
    <xf numFmtId="0" fontId="7" fillId="0" borderId="5" xfId="0" applyFont="1" applyBorder="1"/>
    <xf numFmtId="0" fontId="7" fillId="13" borderId="16" xfId="0" applyFont="1" applyFill="1" applyBorder="1"/>
    <xf numFmtId="49" fontId="0" fillId="14" borderId="17" xfId="0" applyNumberFormat="1" applyFill="1" applyBorder="1" applyAlignment="1">
      <alignment horizontal="center"/>
    </xf>
    <xf numFmtId="49" fontId="0" fillId="14" borderId="18" xfId="0" applyNumberFormat="1" applyFill="1" applyBorder="1" applyAlignment="1">
      <alignment horizontal="center"/>
    </xf>
    <xf numFmtId="49" fontId="0" fillId="14" borderId="6" xfId="1" applyNumberFormat="1" applyFont="1" applyFill="1" applyBorder="1" applyAlignment="1">
      <alignment horizontal="center"/>
    </xf>
    <xf numFmtId="49" fontId="0" fillId="14" borderId="5" xfId="1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78" fontId="4" fillId="5" borderId="1" xfId="1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76" fontId="9" fillId="13" borderId="9" xfId="0" applyNumberFormat="1" applyFont="1" applyFill="1" applyBorder="1"/>
    <xf numFmtId="176" fontId="8" fillId="15" borderId="9" xfId="0" applyNumberFormat="1" applyFont="1" applyFill="1" applyBorder="1"/>
    <xf numFmtId="176" fontId="7" fillId="15" borderId="9" xfId="0" applyNumberFormat="1" applyFont="1" applyFill="1" applyBorder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10" fontId="4" fillId="4" borderId="1" xfId="1" applyNumberFormat="1" applyFont="1" applyFill="1" applyBorder="1" applyAlignment="1">
      <alignment horizontal="center" vertical="center"/>
    </xf>
    <xf numFmtId="9" fontId="0" fillId="14" borderId="5" xfId="1" applyFont="1" applyFill="1" applyBorder="1" applyAlignment="1">
      <alignment horizontal="right"/>
    </xf>
    <xf numFmtId="10" fontId="0" fillId="14" borderId="5" xfId="1" applyNumberFormat="1" applyFont="1" applyFill="1" applyBorder="1" applyAlignment="1">
      <alignment horizontal="right"/>
    </xf>
    <xf numFmtId="177" fontId="0" fillId="14" borderId="5" xfId="0" applyNumberFormat="1" applyFill="1" applyBorder="1" applyAlignment="1">
      <alignment horizontal="right"/>
    </xf>
    <xf numFmtId="10" fontId="0" fillId="14" borderId="5" xfId="0" applyNumberFormat="1" applyFill="1" applyBorder="1" applyAlignment="1">
      <alignment horizontal="right"/>
    </xf>
    <xf numFmtId="49" fontId="0" fillId="14" borderId="17" xfId="0" applyNumberFormat="1" applyFill="1" applyBorder="1" applyAlignment="1">
      <alignment horizontal="center" wrapText="1"/>
    </xf>
    <xf numFmtId="0" fontId="7" fillId="13" borderId="16" xfId="0" applyFont="1" applyFill="1" applyBorder="1" applyAlignment="1">
      <alignment vertical="center"/>
    </xf>
    <xf numFmtId="49" fontId="0" fillId="14" borderId="17" xfId="0" applyNumberFormat="1" applyFill="1" applyBorder="1" applyAlignment="1">
      <alignment horizontal="center" vertical="center"/>
    </xf>
    <xf numFmtId="0" fontId="0" fillId="0" borderId="19" xfId="0" applyBorder="1"/>
    <xf numFmtId="0" fontId="0" fillId="0" borderId="17" xfId="0" applyBorder="1"/>
    <xf numFmtId="0" fontId="0" fillId="0" borderId="22" xfId="0" applyBorder="1"/>
    <xf numFmtId="179" fontId="0" fillId="0" borderId="22" xfId="0" applyNumberFormat="1" applyBorder="1"/>
    <xf numFmtId="9" fontId="0" fillId="0" borderId="22" xfId="0" applyNumberFormat="1" applyBorder="1"/>
    <xf numFmtId="9" fontId="0" fillId="0" borderId="22" xfId="1" applyNumberFormat="1" applyFont="1" applyBorder="1" applyAlignment="1"/>
    <xf numFmtId="0" fontId="0" fillId="0" borderId="23" xfId="0" applyBorder="1"/>
    <xf numFmtId="177" fontId="0" fillId="0" borderId="22" xfId="0" applyNumberFormat="1" applyBorder="1"/>
    <xf numFmtId="49" fontId="0" fillId="0" borderId="17" xfId="0" applyNumberFormat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11" fillId="0" borderId="22" xfId="2" applyFont="1" applyBorder="1" applyAlignment="1">
      <alignment horizontal="left" vertical="center" wrapText="1"/>
    </xf>
    <xf numFmtId="176" fontId="0" fillId="13" borderId="24" xfId="0" applyNumberFormat="1" applyFill="1" applyBorder="1"/>
    <xf numFmtId="177" fontId="0" fillId="14" borderId="23" xfId="0" applyNumberFormat="1" applyFill="1" applyBorder="1"/>
    <xf numFmtId="49" fontId="0" fillId="14" borderId="25" xfId="0" applyNumberFormat="1" applyFill="1" applyBorder="1" applyAlignment="1">
      <alignment horizontal="center"/>
    </xf>
    <xf numFmtId="0" fontId="0" fillId="14" borderId="25" xfId="0" applyFill="1" applyBorder="1"/>
    <xf numFmtId="49" fontId="0" fillId="14" borderId="26" xfId="0" applyNumberFormat="1" applyFill="1" applyBorder="1" applyAlignment="1">
      <alignment horizontal="center"/>
    </xf>
    <xf numFmtId="0" fontId="0" fillId="14" borderId="26" xfId="0" applyFill="1" applyBorder="1"/>
    <xf numFmtId="9" fontId="0" fillId="14" borderId="12" xfId="1" applyFont="1" applyFill="1" applyBorder="1" applyAlignment="1"/>
    <xf numFmtId="10" fontId="0" fillId="14" borderId="23" xfId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0" fontId="0" fillId="0" borderId="0" xfId="1" applyNumberFormat="1" applyFont="1" applyAlignment="1"/>
    <xf numFmtId="176" fontId="7" fillId="15" borderId="24" xfId="0" applyNumberFormat="1" applyFont="1" applyFill="1" applyBorder="1"/>
    <xf numFmtId="0" fontId="0" fillId="0" borderId="28" xfId="0" applyBorder="1"/>
    <xf numFmtId="0" fontId="0" fillId="0" borderId="24" xfId="0" applyBorder="1"/>
    <xf numFmtId="0" fontId="7" fillId="13" borderId="5" xfId="0" applyFont="1" applyFill="1" applyBorder="1"/>
    <xf numFmtId="176" fontId="7" fillId="13" borderId="24" xfId="0" applyNumberFormat="1" applyFont="1" applyFill="1" applyBorder="1" applyAlignment="1">
      <alignment horizontal="center" vertical="center"/>
    </xf>
    <xf numFmtId="179" fontId="0" fillId="0" borderId="5" xfId="1" applyNumberFormat="1" applyFont="1" applyBorder="1" applyAlignment="1"/>
    <xf numFmtId="179" fontId="0" fillId="0" borderId="5" xfId="0" applyNumberFormat="1" applyBorder="1"/>
    <xf numFmtId="0" fontId="0" fillId="0" borderId="7" xfId="0" applyBorder="1" applyAlignment="1">
      <alignment wrapText="1"/>
    </xf>
    <xf numFmtId="9" fontId="0" fillId="0" borderId="22" xfId="1" applyFont="1" applyBorder="1" applyAlignment="1"/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79" fontId="0" fillId="0" borderId="23" xfId="0" applyNumberFormat="1" applyBorder="1"/>
    <xf numFmtId="179" fontId="0" fillId="0" borderId="6" xfId="0" applyNumberFormat="1" applyBorder="1"/>
    <xf numFmtId="0" fontId="4" fillId="12" borderId="1" xfId="0" applyFont="1" applyFill="1" applyBorder="1" applyAlignment="1">
      <alignment horizontal="center" vertical="center"/>
    </xf>
    <xf numFmtId="10" fontId="4" fillId="17" borderId="1" xfId="1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49" fontId="0" fillId="16" borderId="22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0" fontId="0" fillId="14" borderId="23" xfId="1" applyNumberFormat="1" applyFont="1" applyFill="1" applyBorder="1" applyAlignment="1"/>
    <xf numFmtId="10" fontId="0" fillId="14" borderId="25" xfId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179" fontId="4" fillId="3" borderId="1" xfId="1" applyNumberFormat="1" applyFont="1" applyFill="1" applyBorder="1" applyAlignment="1">
      <alignment horizontal="center" vertical="center"/>
    </xf>
    <xf numFmtId="10" fontId="4" fillId="20" borderId="1" xfId="1" applyNumberFormat="1" applyFont="1" applyFill="1" applyBorder="1" applyAlignment="1">
      <alignment horizontal="center" vertical="center"/>
    </xf>
    <xf numFmtId="10" fontId="4" fillId="21" borderId="1" xfId="1" applyNumberFormat="1" applyFont="1" applyFill="1" applyBorder="1" applyAlignment="1">
      <alignment horizontal="center" vertical="center"/>
    </xf>
    <xf numFmtId="10" fontId="4" fillId="22" borderId="1" xfId="1" applyNumberFormat="1" applyFont="1" applyFill="1" applyBorder="1" applyAlignment="1">
      <alignment horizontal="center" vertical="center"/>
    </xf>
    <xf numFmtId="0" fontId="0" fillId="0" borderId="31" xfId="0" applyBorder="1"/>
    <xf numFmtId="177" fontId="0" fillId="0" borderId="6" xfId="0" applyNumberFormat="1" applyBorder="1"/>
    <xf numFmtId="180" fontId="0" fillId="0" borderId="6" xfId="0" applyNumberFormat="1" applyBorder="1"/>
    <xf numFmtId="0" fontId="0" fillId="0" borderId="29" xfId="0" applyBorder="1"/>
    <xf numFmtId="176" fontId="0" fillId="0" borderId="22" xfId="0" applyNumberFormat="1" applyBorder="1"/>
    <xf numFmtId="0" fontId="0" fillId="0" borderId="26" xfId="0" applyBorder="1"/>
    <xf numFmtId="0" fontId="0" fillId="0" borderId="30" xfId="0" applyBorder="1"/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horizontal="left" vertical="center"/>
    </xf>
    <xf numFmtId="0" fontId="9" fillId="0" borderId="22" xfId="0" applyFont="1" applyBorder="1" applyAlignment="1">
      <alignment horizontal="left"/>
    </xf>
    <xf numFmtId="177" fontId="0" fillId="0" borderId="22" xfId="0" applyNumberFormat="1" applyBorder="1" applyAlignment="1">
      <alignment vertical="center"/>
    </xf>
    <xf numFmtId="0" fontId="11" fillId="0" borderId="22" xfId="2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49" fontId="0" fillId="14" borderId="0" xfId="0" applyNumberFormat="1" applyFill="1" applyBorder="1" applyAlignment="1">
      <alignment horizontal="center"/>
    </xf>
    <xf numFmtId="176" fontId="0" fillId="13" borderId="0" xfId="0" applyNumberFormat="1" applyFill="1" applyBorder="1"/>
    <xf numFmtId="9" fontId="0" fillId="14" borderId="23" xfId="1" applyFont="1" applyFill="1" applyBorder="1" applyAlignment="1"/>
    <xf numFmtId="10" fontId="0" fillId="14" borderId="23" xfId="1" applyNumberFormat="1" applyFont="1" applyFill="1" applyBorder="1" applyAlignment="1">
      <alignment horizontal="right"/>
    </xf>
    <xf numFmtId="176" fontId="12" fillId="23" borderId="24" xfId="0" applyNumberFormat="1" applyFont="1" applyFill="1" applyBorder="1"/>
    <xf numFmtId="0" fontId="4" fillId="12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16" borderId="29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0" borderId="22" xfId="0" applyBorder="1" applyAlignment="1">
      <alignment horizontal="left" vertical="center" wrapText="1"/>
    </xf>
    <xf numFmtId="177" fontId="0" fillId="0" borderId="33" xfId="0" applyNumberFormat="1" applyBorder="1" applyAlignment="1">
      <alignment horizontal="left" vertical="center"/>
    </xf>
    <xf numFmtId="177" fontId="0" fillId="0" borderId="34" xfId="0" applyNumberFormat="1" applyBorder="1" applyAlignment="1">
      <alignment horizontal="left" vertical="center"/>
    </xf>
    <xf numFmtId="179" fontId="0" fillId="16" borderId="22" xfId="0" applyNumberFormat="1" applyFill="1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49" fontId="0" fillId="16" borderId="22" xfId="0" applyNumberFormat="1" applyFill="1" applyBorder="1" applyAlignment="1">
      <alignment horizontal="center"/>
    </xf>
    <xf numFmtId="49" fontId="0" fillId="16" borderId="22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79" fontId="0" fillId="16" borderId="29" xfId="0" applyNumberFormat="1" applyFill="1" applyBorder="1" applyAlignment="1">
      <alignment horizontal="center" vertical="center"/>
    </xf>
    <xf numFmtId="179" fontId="0" fillId="16" borderId="30" xfId="0" applyNumberFormat="1" applyFill="1" applyBorder="1" applyAlignment="1">
      <alignment horizontal="center" vertical="center"/>
    </xf>
    <xf numFmtId="0" fontId="7" fillId="13" borderId="17" xfId="0" applyFont="1" applyFill="1" applyBorder="1" applyAlignment="1">
      <alignment horizontal="left" vertical="center"/>
    </xf>
    <xf numFmtId="0" fontId="7" fillId="13" borderId="7" xfId="0" applyFont="1" applyFill="1" applyBorder="1" applyAlignment="1">
      <alignment horizontal="left" vertical="center"/>
    </xf>
    <xf numFmtId="49" fontId="0" fillId="16" borderId="29" xfId="0" applyNumberFormat="1" applyFill="1" applyBorder="1" applyAlignment="1">
      <alignment horizontal="center"/>
    </xf>
    <xf numFmtId="49" fontId="0" fillId="16" borderId="30" xfId="0" applyNumberForma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0" xfId="0" applyBorder="1" applyAlignment="1">
      <alignment horizontal="left"/>
    </xf>
    <xf numFmtId="177" fontId="0" fillId="0" borderId="35" xfId="0" applyNumberFormat="1" applyBorder="1" applyAlignment="1">
      <alignment horizontal="left" vertical="center"/>
    </xf>
    <xf numFmtId="177" fontId="0" fillId="0" borderId="36" xfId="0" applyNumberFormat="1" applyBorder="1" applyAlignment="1">
      <alignment horizontal="left" vertical="center"/>
    </xf>
    <xf numFmtId="177" fontId="0" fillId="0" borderId="37" xfId="0" applyNumberFormat="1" applyBorder="1" applyAlignment="1">
      <alignment horizontal="left" vertical="center"/>
    </xf>
    <xf numFmtId="177" fontId="0" fillId="0" borderId="38" xfId="0" applyNumberFormat="1" applyBorder="1" applyAlignment="1">
      <alignment horizontal="left" vertical="center"/>
    </xf>
    <xf numFmtId="177" fontId="0" fillId="0" borderId="39" xfId="0" applyNumberFormat="1" applyBorder="1" applyAlignment="1">
      <alignment horizontal="left" vertical="center"/>
    </xf>
    <xf numFmtId="177" fontId="0" fillId="0" borderId="40" xfId="0" applyNumberFormat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 vertic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 vertical="center"/>
    </xf>
  </cellXfs>
  <cellStyles count="3">
    <cellStyle name="一般" xfId="0" builtinId="0"/>
    <cellStyle name="一般 2" xfId="2" xr:uid="{0A1D4955-308E-4E59-8170-912D76BBE409}"/>
    <cellStyle name="百分比" xfId="1" builtinId="5"/>
  </cellStyles>
  <dxfs count="5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0077BE"/>
      <color rgb="FFFF5050"/>
      <color rgb="FFFFCCCC"/>
      <color rgb="FFBE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Summary!$DW$71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Summary!$DU$72:$DU$76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Summary!$DW$72:$DW$76</c:f>
              <c:numCache>
                <c:formatCode>0_);[Red]\(0\)</c:formatCode>
                <c:ptCount val="5"/>
                <c:pt idx="0">
                  <c:v>6708</c:v>
                </c:pt>
                <c:pt idx="1">
                  <c:v>2323</c:v>
                </c:pt>
                <c:pt idx="2">
                  <c:v>1444</c:v>
                </c:pt>
                <c:pt idx="3">
                  <c:v>216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D-4B9A-BD64-5DFEAC0C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Summary!$DX$71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Summary!$DU$72:$DU$76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Summary!$DX$72:$DX$76</c:f>
              <c:numCache>
                <c:formatCode>0%</c:formatCode>
                <c:ptCount val="5"/>
                <c:pt idx="0">
                  <c:v>0.62744364418669907</c:v>
                </c:pt>
                <c:pt idx="1">
                  <c:v>0.84472921148629687</c:v>
                </c:pt>
                <c:pt idx="2">
                  <c:v>0.97979609016930125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D-4B9A-BD64-5DFEAC0C6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Summary!$DW$71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Summary!$DW$62:$DW$67</c:f>
              <c:numCache>
                <c:formatCode>0_);[Red]\(0\)</c:formatCode>
                <c:ptCount val="6"/>
                <c:pt idx="0">
                  <c:v>65</c:v>
                </c:pt>
                <c:pt idx="1">
                  <c:v>55</c:v>
                </c:pt>
                <c:pt idx="2">
                  <c:v>49</c:v>
                </c:pt>
                <c:pt idx="3">
                  <c:v>47</c:v>
                </c:pt>
                <c:pt idx="4">
                  <c:v>39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C-424A-9FA2-AD18C2281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Summary!$DX$71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Summary!$DX$62:$DX$67</c:f>
              <c:numCache>
                <c:formatCode>0%</c:formatCode>
                <c:ptCount val="6"/>
                <c:pt idx="0">
                  <c:v>0.23131672597864769</c:v>
                </c:pt>
                <c:pt idx="1">
                  <c:v>0.42704626334519574</c:v>
                </c:pt>
                <c:pt idx="2">
                  <c:v>0.60142348754448394</c:v>
                </c:pt>
                <c:pt idx="3">
                  <c:v>0.76868327402135228</c:v>
                </c:pt>
                <c:pt idx="4">
                  <c:v>0.90747330960854089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3C-424A-9FA2-AD18C2281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Summary!$DW$71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Summary!$DW$72:$DW$76</c:f>
              <c:numCache>
                <c:formatCode>0_);[Red]\(0\)</c:formatCode>
                <c:ptCount val="5"/>
                <c:pt idx="0">
                  <c:v>6708</c:v>
                </c:pt>
                <c:pt idx="1">
                  <c:v>2323</c:v>
                </c:pt>
                <c:pt idx="2">
                  <c:v>1444</c:v>
                </c:pt>
                <c:pt idx="3">
                  <c:v>216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9-4DB8-850E-B48F2273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Summary!$DX$71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Summary!$DX$72:$DX$76</c:f>
              <c:numCache>
                <c:formatCode>0%</c:formatCode>
                <c:ptCount val="5"/>
                <c:pt idx="0">
                  <c:v>0.62744364418669907</c:v>
                </c:pt>
                <c:pt idx="1">
                  <c:v>0.84472921148629687</c:v>
                </c:pt>
                <c:pt idx="2">
                  <c:v>0.97979609016930125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9-4DB8-850E-B48F2273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Summary!$DW$79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Summary!$DW$80:$DW$84</c:f>
              <c:numCache>
                <c:formatCode>0_);[Red]\(0\)</c:formatCode>
                <c:ptCount val="5"/>
                <c:pt idx="0">
                  <c:v>9732</c:v>
                </c:pt>
                <c:pt idx="1">
                  <c:v>3571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B-4BA1-AFE7-C42114E0F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Summary!$DX$79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Summary!$DX$80:$DX$84</c:f>
              <c:numCache>
                <c:formatCode>0%</c:formatCode>
                <c:ptCount val="5"/>
                <c:pt idx="0">
                  <c:v>0.73156430880252576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AB-4BA1-AFE7-C42114E0F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Summary!$DW$87</c:f>
              <c:strCache>
                <c:ptCount val="1"/>
                <c:pt idx="0">
                  <c:v>Fail (pcs)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Summary!$DU$88:$DV$92</c:f>
              <c:strCache>
                <c:ptCount val="5"/>
                <c:pt idx="0">
                  <c:v>音頻異音不良</c:v>
                </c:pt>
                <c:pt idx="1">
                  <c:v>治具異常</c:v>
                </c:pt>
                <c:pt idx="2">
                  <c:v>參數調用錯誤</c:v>
                </c:pt>
                <c:pt idx="3">
                  <c:v>機構異常</c:v>
                </c:pt>
                <c:pt idx="4">
                  <c:v>音訊部件異常</c:v>
                </c:pt>
              </c:strCache>
            </c:strRef>
          </c:cat>
          <c:val>
            <c:numRef>
              <c:f>Summary!$DW$88:$DW$92</c:f>
              <c:numCache>
                <c:formatCode>0_);[Red]\(0\)</c:formatCode>
                <c:ptCount val="5"/>
                <c:pt idx="0">
                  <c:v>11316</c:v>
                </c:pt>
                <c:pt idx="1">
                  <c:v>4388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0-45CF-AAD1-4E012D6C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078512256"/>
        <c:axId val="2078512736"/>
      </c:barChart>
      <c:lineChart>
        <c:grouping val="standard"/>
        <c:varyColors val="0"/>
        <c:ser>
          <c:idx val="1"/>
          <c:order val="1"/>
          <c:tx>
            <c:strRef>
              <c:f>Summary!$DX$87</c:f>
              <c:strCache>
                <c:ptCount val="1"/>
                <c:pt idx="0">
                  <c:v>累積占比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Summary!$DU$62:$DU$67</c:f>
              <c:strCache>
                <c:ptCount val="6"/>
                <c:pt idx="0">
                  <c:v>音頻異音不良</c:v>
                </c:pt>
                <c:pt idx="1">
                  <c:v>音訊部件異常</c:v>
                </c:pt>
                <c:pt idx="2">
                  <c:v>參數調用錯誤</c:v>
                </c:pt>
                <c:pt idx="3">
                  <c:v>治具異常</c:v>
                </c:pt>
                <c:pt idx="4">
                  <c:v>測試參數定義錯誤</c:v>
                </c:pt>
                <c:pt idx="5">
                  <c:v>機構異常</c:v>
                </c:pt>
              </c:strCache>
            </c:strRef>
          </c:cat>
          <c:val>
            <c:numRef>
              <c:f>Summary!$DX$88:$DX$92</c:f>
              <c:numCache>
                <c:formatCode>0%</c:formatCode>
                <c:ptCount val="5"/>
                <c:pt idx="0">
                  <c:v>0.66994257296785276</c:v>
                </c:pt>
                <c:pt idx="1">
                  <c:v>0.92972588952696711</c:v>
                </c:pt>
                <c:pt idx="2">
                  <c:v>0.92972588952696711</c:v>
                </c:pt>
                <c:pt idx="3">
                  <c:v>0.92972588952696711</c:v>
                </c:pt>
                <c:pt idx="4">
                  <c:v>0.92972588952696711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0-45CF-AAD1-4E012D6C7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021040"/>
        <c:axId val="296993680"/>
      </c:lineChart>
      <c:catAx>
        <c:axId val="207851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078512736"/>
        <c:crosses val="autoZero"/>
        <c:auto val="1"/>
        <c:lblAlgn val="ctr"/>
        <c:lblOffset val="100"/>
        <c:noMultiLvlLbl val="0"/>
      </c:catAx>
      <c:valAx>
        <c:axId val="20785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78512256"/>
        <c:crosses val="autoZero"/>
        <c:crossBetween val="between"/>
      </c:valAx>
      <c:valAx>
        <c:axId val="296993680"/>
        <c:scaling>
          <c:orientation val="minMax"/>
          <c:max val="1.05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97021040"/>
        <c:crosses val="max"/>
        <c:crossBetween val="between"/>
      </c:valAx>
      <c:catAx>
        <c:axId val="297021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6993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2609726</xdr:colOff>
      <xdr:row>23</xdr:row>
      <xdr:rowOff>35858</xdr:rowOff>
    </xdr:from>
    <xdr:to>
      <xdr:col>152</xdr:col>
      <xdr:colOff>444749</xdr:colOff>
      <xdr:row>37</xdr:row>
      <xdr:rowOff>179293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13994EF-A245-444C-9DB6-A12A68F1D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49</xdr:col>
      <xdr:colOff>618566</xdr:colOff>
      <xdr:row>56</xdr:row>
      <xdr:rowOff>98609</xdr:rowOff>
    </xdr:from>
    <xdr:to>
      <xdr:col>122</xdr:col>
      <xdr:colOff>336176</xdr:colOff>
      <xdr:row>71</xdr:row>
      <xdr:rowOff>89644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F454CA7-C4D6-4B82-ACDB-99833121B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129</xdr:col>
      <xdr:colOff>179294</xdr:colOff>
      <xdr:row>61</xdr:row>
      <xdr:rowOff>179294</xdr:rowOff>
    </xdr:from>
    <xdr:to>
      <xdr:col>131</xdr:col>
      <xdr:colOff>2120151</xdr:colOff>
      <xdr:row>76</xdr:row>
      <xdr:rowOff>170329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BACBBEB-2369-4D82-AF0F-2DED4B077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129</xdr:col>
      <xdr:colOff>71718</xdr:colOff>
      <xdr:row>77</xdr:row>
      <xdr:rowOff>89645</xdr:rowOff>
    </xdr:from>
    <xdr:to>
      <xdr:col>131</xdr:col>
      <xdr:colOff>2012575</xdr:colOff>
      <xdr:row>92</xdr:row>
      <xdr:rowOff>80681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D77EF063-46C3-4D9E-A939-FDAB207E2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367553</xdr:colOff>
      <xdr:row>87</xdr:row>
      <xdr:rowOff>134469</xdr:rowOff>
    </xdr:from>
    <xdr:to>
      <xdr:col>122</xdr:col>
      <xdr:colOff>85163</xdr:colOff>
      <xdr:row>102</xdr:row>
      <xdr:rowOff>125505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FECEAE4-AD16-4799-A78D-EFC111562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7619-4166-43FF-A4CD-6F76784ADEBE}">
  <dimension ref="A1:EK101"/>
  <sheetViews>
    <sheetView zoomScale="85" zoomScaleNormal="85" workbookViewId="0">
      <selection activeCell="BU7" sqref="BU7"/>
    </sheetView>
  </sheetViews>
  <sheetFormatPr defaultRowHeight="15" x14ac:dyDescent="0.3"/>
  <cols>
    <col min="1" max="1" width="21.875" style="41" customWidth="1"/>
    <col min="2" max="2" width="9.625" style="20" hidden="1" customWidth="1"/>
    <col min="3" max="5" width="9" style="20" hidden="1" customWidth="1"/>
    <col min="6" max="6" width="10" style="20" hidden="1" customWidth="1"/>
    <col min="7" max="7" width="10.625" style="20" hidden="1" customWidth="1"/>
    <col min="8" max="9" width="9" style="20" hidden="1" customWidth="1"/>
    <col min="10" max="22" width="11" style="20" hidden="1" customWidth="1"/>
    <col min="23" max="23" width="10" style="20" hidden="1" customWidth="1"/>
    <col min="24" max="24" width="12.75" style="20" hidden="1" customWidth="1"/>
    <col min="25" max="25" width="21.875" style="20" hidden="1" customWidth="1"/>
    <col min="26" max="26" width="17.875" style="20" hidden="1" customWidth="1"/>
    <col min="27" max="27" width="9" style="20" hidden="1" customWidth="1"/>
    <col min="28" max="28" width="10.5" style="20" hidden="1" customWidth="1"/>
    <col min="29" max="31" width="9" style="20" hidden="1" customWidth="1"/>
    <col min="32" max="35" width="0" style="20" hidden="1" customWidth="1"/>
    <col min="36" max="37" width="10.625" style="20" hidden="1" customWidth="1"/>
    <col min="38" max="38" width="9" style="20" hidden="1" customWidth="1"/>
    <col min="39" max="39" width="10.625" style="20" hidden="1" customWidth="1"/>
    <col min="40" max="47" width="11" style="20" hidden="1" customWidth="1"/>
    <col min="48" max="48" width="9" style="20" hidden="1" customWidth="1"/>
    <col min="49" max="51" width="11" style="20" hidden="1" customWidth="1"/>
    <col min="52" max="52" width="9" style="20" hidden="1" customWidth="1"/>
    <col min="53" max="53" width="11" style="20" hidden="1" customWidth="1"/>
    <col min="54" max="54" width="11.125" style="20" hidden="1" customWidth="1"/>
    <col min="55" max="60" width="9" style="20" hidden="1" customWidth="1"/>
    <col min="61" max="62" width="11" style="20" bestFit="1" customWidth="1"/>
    <col min="63" max="72" width="9" style="20" customWidth="1"/>
    <col min="73" max="73" width="11" style="20" bestFit="1" customWidth="1"/>
    <col min="74" max="117" width="9" style="20" customWidth="1"/>
    <col min="118" max="118" width="9" style="20"/>
    <col min="119" max="119" width="12.5" style="20" bestFit="1" customWidth="1"/>
    <col min="120" max="120" width="23.625" style="20" customWidth="1"/>
    <col min="121" max="121" width="17.875" style="20" bestFit="1" customWidth="1"/>
    <col min="122" max="122" width="17.875" style="20" customWidth="1"/>
    <col min="123" max="124" width="9" style="20"/>
    <col min="125" max="125" width="5.875" style="20" customWidth="1"/>
    <col min="126" max="126" width="20" style="20" customWidth="1"/>
    <col min="127" max="127" width="9.375" style="20" customWidth="1"/>
    <col min="128" max="128" width="11.125" style="20" bestFit="1" customWidth="1"/>
    <col min="129" max="129" width="8.875" style="20" customWidth="1"/>
    <col min="130" max="130" width="9.375" style="20" customWidth="1"/>
    <col min="131" max="131" width="66.125" style="20" bestFit="1" customWidth="1"/>
    <col min="132" max="132" width="51.875" style="20" bestFit="1" customWidth="1"/>
    <col min="133" max="133" width="49" style="20" bestFit="1" customWidth="1"/>
    <col min="134" max="134" width="33.75" style="20" bestFit="1" customWidth="1"/>
    <col min="135" max="135" width="9" style="20"/>
    <col min="136" max="136" width="15.625" style="20" bestFit="1" customWidth="1"/>
    <col min="137" max="137" width="10.625" style="20" bestFit="1" customWidth="1"/>
    <col min="138" max="138" width="13.625" style="20" bestFit="1" customWidth="1"/>
    <col min="139" max="139" width="16.25" style="20" bestFit="1" customWidth="1"/>
    <col min="140" max="140" width="10.625" style="20" bestFit="1" customWidth="1"/>
    <col min="141" max="16384" width="9" style="20"/>
  </cols>
  <sheetData>
    <row r="1" spans="1:141" x14ac:dyDescent="0.3">
      <c r="A1" s="36" t="s">
        <v>872</v>
      </c>
      <c r="B1" s="24">
        <v>46083</v>
      </c>
      <c r="C1" s="53">
        <v>46084</v>
      </c>
      <c r="D1" s="24">
        <v>46085</v>
      </c>
      <c r="E1" s="24">
        <v>46086</v>
      </c>
      <c r="F1" s="24">
        <v>46087</v>
      </c>
      <c r="G1" s="24">
        <v>46088</v>
      </c>
      <c r="H1" s="53">
        <v>46090</v>
      </c>
      <c r="I1" s="24">
        <v>46091</v>
      </c>
      <c r="J1" s="24">
        <v>46092</v>
      </c>
      <c r="K1" s="24">
        <v>46093</v>
      </c>
      <c r="L1" s="24">
        <v>46094</v>
      </c>
      <c r="M1" s="24">
        <v>46095</v>
      </c>
      <c r="N1" s="53">
        <v>46097</v>
      </c>
      <c r="O1" s="24">
        <v>46098</v>
      </c>
      <c r="P1" s="24">
        <v>46099</v>
      </c>
      <c r="Q1" s="24">
        <v>46100</v>
      </c>
      <c r="R1" s="24">
        <v>46101</v>
      </c>
      <c r="S1" s="24">
        <v>46102</v>
      </c>
      <c r="T1" s="24">
        <v>46104</v>
      </c>
      <c r="U1" s="24">
        <v>46105</v>
      </c>
      <c r="V1" s="53">
        <v>46106</v>
      </c>
      <c r="W1" s="24">
        <v>46107</v>
      </c>
      <c r="X1" s="24">
        <v>46108</v>
      </c>
      <c r="Y1" s="24">
        <v>46109</v>
      </c>
      <c r="Z1" s="24">
        <v>46111</v>
      </c>
      <c r="AA1" s="25">
        <v>46112</v>
      </c>
      <c r="AB1" s="80">
        <v>46113</v>
      </c>
      <c r="AC1" s="90">
        <v>46114</v>
      </c>
      <c r="AD1" s="80">
        <v>46115</v>
      </c>
      <c r="AE1" s="80">
        <v>46116</v>
      </c>
      <c r="AF1" s="80">
        <v>46118</v>
      </c>
      <c r="AG1" s="80">
        <v>46119</v>
      </c>
      <c r="AH1" s="80">
        <v>46120</v>
      </c>
      <c r="AI1" s="80">
        <v>46121</v>
      </c>
      <c r="AJ1" s="80">
        <v>46122</v>
      </c>
      <c r="AK1" s="90">
        <v>46123</v>
      </c>
      <c r="AL1" s="80">
        <v>46125</v>
      </c>
      <c r="AM1" s="80">
        <v>46126</v>
      </c>
      <c r="AN1" s="80">
        <v>46127</v>
      </c>
      <c r="AO1" s="80">
        <v>46128</v>
      </c>
      <c r="AP1" s="80">
        <v>46129</v>
      </c>
      <c r="AQ1" s="90">
        <v>46130</v>
      </c>
      <c r="AR1" s="80">
        <v>46132</v>
      </c>
      <c r="AS1" s="80">
        <v>46133</v>
      </c>
      <c r="AT1" s="80">
        <v>46134</v>
      </c>
      <c r="AU1" s="80">
        <v>46135</v>
      </c>
      <c r="AV1" s="80">
        <v>46136</v>
      </c>
      <c r="AW1" s="80">
        <v>46137</v>
      </c>
      <c r="AX1" s="80">
        <v>46139</v>
      </c>
      <c r="AY1" s="80">
        <v>46140</v>
      </c>
      <c r="AZ1" s="80">
        <v>46141</v>
      </c>
      <c r="BA1" s="90">
        <v>46142</v>
      </c>
      <c r="BB1" s="80">
        <v>46143</v>
      </c>
      <c r="BC1" s="80">
        <v>46146</v>
      </c>
      <c r="BD1" s="80">
        <v>46147</v>
      </c>
      <c r="BE1" s="80">
        <v>46148</v>
      </c>
      <c r="BF1" s="80">
        <v>46149</v>
      </c>
      <c r="BG1" s="90">
        <v>46150</v>
      </c>
      <c r="BH1" s="80">
        <v>46151</v>
      </c>
      <c r="BI1" s="80">
        <v>46153</v>
      </c>
      <c r="BJ1" s="80">
        <v>46154</v>
      </c>
      <c r="BK1" s="80">
        <v>46155</v>
      </c>
      <c r="BL1" s="80">
        <v>46156</v>
      </c>
      <c r="BM1" s="80">
        <v>46157</v>
      </c>
      <c r="BN1" s="80">
        <v>46158</v>
      </c>
      <c r="BO1" s="80">
        <v>46160</v>
      </c>
      <c r="BP1" s="80">
        <v>46161</v>
      </c>
      <c r="BQ1" s="80">
        <v>46162</v>
      </c>
      <c r="BR1" s="80">
        <v>46163</v>
      </c>
      <c r="BS1" s="80">
        <v>46164</v>
      </c>
      <c r="BT1" s="80">
        <v>46165</v>
      </c>
      <c r="BU1" s="90">
        <v>46167</v>
      </c>
      <c r="BV1" s="80">
        <v>46168</v>
      </c>
      <c r="BW1" s="80">
        <v>46169</v>
      </c>
      <c r="BX1" s="80">
        <v>46170</v>
      </c>
      <c r="BY1" s="80">
        <v>46171</v>
      </c>
      <c r="BZ1" s="80">
        <v>46172</v>
      </c>
      <c r="CA1" s="80">
        <v>46173</v>
      </c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  <c r="DE1" s="80"/>
      <c r="DF1" s="80"/>
      <c r="DG1" s="80"/>
      <c r="DH1" s="80"/>
      <c r="DI1" s="80"/>
      <c r="DJ1" s="80"/>
      <c r="DK1" s="80"/>
      <c r="DL1" s="80"/>
      <c r="DM1" s="80"/>
      <c r="DO1" s="93" t="s">
        <v>1429</v>
      </c>
      <c r="DP1" s="94" t="s">
        <v>1416</v>
      </c>
      <c r="DQ1" s="94" t="s">
        <v>1417</v>
      </c>
      <c r="DR1" s="94" t="s">
        <v>1672</v>
      </c>
      <c r="DT1" s="22"/>
      <c r="DU1" s="146" t="s">
        <v>1482</v>
      </c>
      <c r="DV1" s="146"/>
      <c r="DW1" s="146" t="s">
        <v>942</v>
      </c>
      <c r="DX1" s="146"/>
      <c r="DY1" s="146"/>
      <c r="DZ1" s="146"/>
      <c r="EA1" s="77" t="s">
        <v>1189</v>
      </c>
      <c r="EB1" s="77" t="s">
        <v>1195</v>
      </c>
      <c r="EC1" s="140" t="s">
        <v>1720</v>
      </c>
      <c r="ED1" s="141"/>
    </row>
    <row r="2" spans="1:141" s="21" customFormat="1" x14ac:dyDescent="0.3">
      <c r="A2" s="37" t="s">
        <v>873</v>
      </c>
      <c r="B2" s="32">
        <v>7.4000000000000003E-3</v>
      </c>
      <c r="C2" s="32">
        <v>5.7999999999999996E-3</v>
      </c>
      <c r="D2" s="32">
        <v>4.4000000000000003E-3</v>
      </c>
      <c r="E2" s="32">
        <v>2.7000000000000001E-3</v>
      </c>
      <c r="F2" s="32">
        <v>7.3000000000000001E-3</v>
      </c>
      <c r="G2" s="32">
        <v>2.4199999999999999E-2</v>
      </c>
      <c r="H2" s="32">
        <v>8.2000000000000007E-3</v>
      </c>
      <c r="I2" s="32">
        <v>3.3E-3</v>
      </c>
      <c r="J2" s="32">
        <v>6.1999999999999998E-3</v>
      </c>
      <c r="K2" s="32">
        <v>1.14E-2</v>
      </c>
      <c r="L2" s="32">
        <v>9.1999999999999998E-3</v>
      </c>
      <c r="M2" s="32">
        <v>4.8999999999999998E-3</v>
      </c>
      <c r="N2" s="32">
        <v>3.85E-2</v>
      </c>
      <c r="O2" s="32">
        <v>3.9E-2</v>
      </c>
      <c r="P2" s="32">
        <v>3.6400000000000002E-2</v>
      </c>
      <c r="Q2" s="32">
        <v>5.96E-2</v>
      </c>
      <c r="R2" s="32">
        <v>4.3999999999999997E-2</v>
      </c>
      <c r="S2" s="32">
        <v>4.3099999999999999E-2</v>
      </c>
      <c r="T2" s="32">
        <v>4.41E-2</v>
      </c>
      <c r="U2" s="32">
        <v>5.3100000000000001E-2</v>
      </c>
      <c r="V2" s="63" t="s">
        <v>653</v>
      </c>
      <c r="W2" s="64" t="s">
        <v>502</v>
      </c>
      <c r="X2" s="64" t="s">
        <v>1022</v>
      </c>
      <c r="Y2" s="64" t="s">
        <v>1058</v>
      </c>
      <c r="Z2" s="26" t="str">
        <f>'C202'!$B509</f>
        <v>5.97%</v>
      </c>
      <c r="AA2" s="27" t="str">
        <f>'C202'!$B530</f>
        <v>5.29%</v>
      </c>
      <c r="AB2" s="81" t="str" cm="1">
        <f t="array" ref="AB2">INDEX('C202'!$H:$H,5+(COLUMN()-28)*21)</f>
        <v>4.47%</v>
      </c>
      <c r="AC2" s="81" t="str" cm="1">
        <f t="array" ref="AC2">INDEX('C202'!$H:$H,5+(COLUMN()-28)*21)</f>
        <v>3.91%</v>
      </c>
      <c r="AD2" s="81" t="str" cm="1">
        <f t="array" ref="AD2">INDEX('C202'!$H:$H,5+(COLUMN()-28)*21)</f>
        <v>2.65%</v>
      </c>
      <c r="AE2" s="81" t="str" cm="1">
        <f t="array" ref="AE2">INDEX('C202'!$H:$H,5+(COLUMN()-28)*21)</f>
        <v>6.22%</v>
      </c>
      <c r="AF2" s="81" t="str" cm="1">
        <f t="array" ref="AF2">INDEX('C202'!$H:$H,5+(COLUMN()-28)*21)</f>
        <v>8.52%</v>
      </c>
      <c r="AG2" s="81" t="str" cm="1">
        <f t="array" ref="AG2">INDEX('C202'!$H:$H,5+(COLUMN()-28)*21)</f>
        <v>10.61%</v>
      </c>
      <c r="AH2" s="81" t="str" cm="1">
        <f t="array" ref="AH2">INDEX('C202'!$H:$H,5+(COLUMN()-28)*21)</f>
        <v>8.49%</v>
      </c>
      <c r="AI2" s="81" t="str" cm="1">
        <f t="array" ref="AI2">INDEX('C202'!$H:$H,5+(COLUMN()-28)*21)</f>
        <v>7.19%</v>
      </c>
      <c r="AJ2" s="81" t="str" cm="1">
        <f t="array" ref="AJ2">INDEX('C202'!$H:$H,5+(COLUMN()-28)*21)</f>
        <v>12.20%</v>
      </c>
      <c r="AK2" s="81" t="str" cm="1">
        <f t="array" ref="AK2">INDEX('C202'!$H:$H,5+(COLUMN()-28)*21)</f>
        <v>14.37%</v>
      </c>
      <c r="AL2" s="81" t="str" cm="1">
        <f t="array" ref="AL2">INDEX('C202'!$H:$H,5+(COLUMN()-28)*21)</f>
        <v>12.62%</v>
      </c>
      <c r="AM2" s="81" t="str" cm="1">
        <f t="array" ref="AM2">INDEX('C202'!$H:$H,5+(COLUMN()-28)*21)</f>
        <v>8.90%</v>
      </c>
      <c r="AN2" s="81" t="str" cm="1">
        <f t="array" ref="AN2">INDEX('C202'!$H:$H,5+(COLUMN()-28)*21)</f>
        <v>10.32%</v>
      </c>
      <c r="AO2" s="81" t="str" cm="1">
        <f t="array" ref="AO2">INDEX('C202'!$H:$H,5+(COLUMN()-28)*21)</f>
        <v>10.53%</v>
      </c>
      <c r="AP2" s="81" t="str" cm="1">
        <f t="array" ref="AP2">INDEX('C202'!$H:$H,5+(COLUMN()-28)*21)</f>
        <v>8.59%</v>
      </c>
      <c r="AQ2" s="81" t="str" cm="1">
        <f t="array" ref="AQ2">INDEX('C202'!$H:$H,5+(COLUMN()-28)*21)</f>
        <v>8.37%</v>
      </c>
      <c r="AR2" s="81" t="str" cm="1">
        <f t="array" ref="AR2">INDEX('C202'!$H:$H,5+(COLUMN()-28)*21)</f>
        <v>10.16%</v>
      </c>
      <c r="AS2" s="81" t="str" cm="1">
        <f t="array" ref="AS2">INDEX('C202'!$H:$H,5+(COLUMN()-28)*21)</f>
        <v>14.29%</v>
      </c>
      <c r="AT2" s="81" t="str" cm="1">
        <f t="array" ref="AT2">INDEX('C202'!$H:$H,5+(COLUMN()-28)*21)</f>
        <v>6.67%</v>
      </c>
      <c r="AU2" s="81" t="str" cm="1">
        <f t="array" ref="AU2">INDEX('C202'!$H:$H,5+(COLUMN()-28)*21)</f>
        <v>6.13%</v>
      </c>
      <c r="AV2" s="87" t="str" cm="1">
        <f t="array" ref="AV2">INDEX('C202'!$H:$H,5+(COLUMN()-28)*21)</f>
        <v>8.49%</v>
      </c>
      <c r="AW2" s="81" t="str" cm="1">
        <f t="array" ref="AW2">INDEX('C202'!$H:$H,5+(COLUMN()-28)*21)</f>
        <v>12.02%</v>
      </c>
      <c r="AX2" s="81" t="str" cm="1">
        <f t="array" ref="AX2">INDEX('C202'!$H:$H,5+(COLUMN()-28)*21)</f>
        <v>9.62%</v>
      </c>
      <c r="AY2" s="81" t="str" cm="1">
        <f t="array" ref="AY2">INDEX('C202'!$H:$H,5+(COLUMN()-28)*21)</f>
        <v>9.86%</v>
      </c>
      <c r="AZ2" s="110" cm="1">
        <f t="array" ref="AZ2">_xlfn.NUMBERVALUE(INDEX('C202'!$H:$H,5+(COLUMN()-28)*21))</f>
        <v>9.11E-2</v>
      </c>
      <c r="BA2" s="135" t="str" cm="1">
        <f t="array" ref="BA2">INDEX('C202'!$H:$H,5+(COLUMN()-28)*21)</f>
        <v>10.70%</v>
      </c>
      <c r="BB2" s="110" cm="1">
        <f t="array" ref="BB2">_xlfn.NUMBERVALUE(INDEX('C202'!$N:$N,5+(COLUMN()-54)*21))</f>
        <v>8.8399999999999992E-2</v>
      </c>
      <c r="BC2" s="110" cm="1">
        <f t="array" ref="BC2">_xlfn.NUMBERVALUE(INDEX('C202'!$N:$N,5+(COLUMN()-54)*21))</f>
        <v>0.18390000000000001</v>
      </c>
      <c r="BD2" s="110" cm="1">
        <f t="array" ref="BD2">_xlfn.NUMBERVALUE(INDEX('C202'!$N:$N,5+(COLUMN()-54)*21))</f>
        <v>8.14E-2</v>
      </c>
      <c r="BE2" s="110" cm="1">
        <f t="array" ref="BE2">_xlfn.NUMBERVALUE(INDEX('C202'!$N:$N,5+(COLUMN()-54)*21))</f>
        <v>0.12520000000000001</v>
      </c>
      <c r="BF2" s="110" cm="1">
        <f t="array" ref="BF2">_xlfn.NUMBERVALUE(INDEX('C202'!$N:$N,5+(COLUMN()-54)*21))</f>
        <v>3.3500000000000002E-2</v>
      </c>
      <c r="BG2" s="110" cm="1">
        <f t="array" ref="BG2">_xlfn.NUMBERVALUE(INDEX('C202'!$N:$N,5+(COLUMN()-54)*21))</f>
        <v>8.1300000000000011E-2</v>
      </c>
      <c r="BH2" s="110" cm="1">
        <f t="array" ref="BH2">_xlfn.NUMBERVALUE(INDEX('C202'!$N:$N,5+(COLUMN()-54)*21))</f>
        <v>5.4299999999999994E-2</v>
      </c>
      <c r="BI2" s="110" cm="1">
        <f t="array" ref="BI2">_xlfn.NUMBERVALUE(INDEX('C202'!$N:$N,5+(COLUMN()-54)*21))</f>
        <v>8.0399999999999985E-2</v>
      </c>
      <c r="BJ2" s="110" cm="1">
        <f t="array" ref="BJ2">_xlfn.NUMBERVALUE(INDEX('C202'!$N:$N,5+(COLUMN()-54)*21))</f>
        <v>7.8E-2</v>
      </c>
      <c r="BK2" s="110" cm="1">
        <f t="array" ref="BK2">_xlfn.NUMBERVALUE(INDEX('C202'!$N:$N,5+(COLUMN()-54)*21))</f>
        <v>8.2799999999999999E-2</v>
      </c>
      <c r="BL2" s="110" cm="1">
        <f t="array" ref="BL2">_xlfn.NUMBERVALUE(INDEX('C202'!$N:$N,5+(COLUMN()-54)*21))</f>
        <v>4.87E-2</v>
      </c>
      <c r="BM2" s="110" cm="1">
        <f t="array" ref="BM2">_xlfn.NUMBERVALUE(INDEX('C202'!$N:$N,5+(COLUMN()-54)*21))</f>
        <v>8.3499999999999991E-2</v>
      </c>
      <c r="BN2" s="110" cm="1">
        <f t="array" ref="BN2">_xlfn.NUMBERVALUE(INDEX('C202'!$N:$N,5+(COLUMN()-54)*21))</f>
        <v>7.3800000000000004E-2</v>
      </c>
      <c r="BO2" s="110" cm="1">
        <f t="array" ref="BO2">_xlfn.NUMBERVALUE(INDEX('C202'!$N:$N,5+(COLUMN()-54)*21))</f>
        <v>5.3899999999999997E-2</v>
      </c>
      <c r="BP2" s="110" cm="1">
        <f t="array" ref="BP2">_xlfn.NUMBERVALUE(INDEX('C202'!$N:$N,5+(COLUMN()-54)*21))</f>
        <v>9.3000000000000013E-2</v>
      </c>
      <c r="BQ2" s="110" cm="1">
        <f t="array" ref="BQ2">_xlfn.NUMBERVALUE(INDEX('C202'!$N:$N,5+(COLUMN()-54)*21))</f>
        <v>8.14E-2</v>
      </c>
      <c r="BR2" s="110" cm="1">
        <f t="array" ref="BR2">_xlfn.NUMBERVALUE(INDEX('C202'!$N:$N,5+(COLUMN()-54)*21))</f>
        <v>9.6000000000000002E-2</v>
      </c>
      <c r="BS2" s="110" cm="1">
        <f t="array" ref="BS2">_xlfn.NUMBERVALUE(INDEX('C202'!$N:$N,5+(COLUMN()-54)*21))</f>
        <v>0.15329999999999999</v>
      </c>
      <c r="BT2" s="110" cm="1">
        <f t="array" ref="BT2">_xlfn.NUMBERVALUE(INDEX('C202'!$N:$N,5+(COLUMN()-54)*21))</f>
        <v>0.18940000000000001</v>
      </c>
      <c r="BU2" s="110" cm="1">
        <f t="array" ref="BU2">_xlfn.NUMBERVALUE(INDEX('C202'!$N:$N,5+(COLUMN()-54)*21))</f>
        <v>0.38030000000000003</v>
      </c>
      <c r="BV2" s="110" cm="1">
        <f t="array" ref="BV2">_xlfn.NUMBERVALUE(INDEX('C202'!$N:$N,5+(COLUMN()-54)*21))</f>
        <v>0.16489999999999999</v>
      </c>
      <c r="BW2" s="110" cm="1">
        <f t="array" ref="BW2">_xlfn.NUMBERVALUE(INDEX('C202'!$N:$N,5+(COLUMN()-54)*21))</f>
        <v>5.2780729720155899E-2</v>
      </c>
      <c r="BX2" s="110" cm="1">
        <f t="array" ref="BX2">_xlfn.NUMBERVALUE(INDEX('C202'!$N:$N,5+(COLUMN()-54)*21))</f>
        <v>5.2699999999999997E-2</v>
      </c>
      <c r="BY2" s="110" cm="1">
        <f t="array" ref="BY2">_xlfn.NUMBERVALUE(INDEX('C202'!$N:$N,5+(COLUMN()-54)*21))</f>
        <v>0</v>
      </c>
      <c r="BZ2" s="110" cm="1">
        <f t="array" ref="BZ2">_xlfn.NUMBERVALUE(INDEX('C202'!$N:$N,5+(COLUMN()-54)*21))</f>
        <v>0</v>
      </c>
      <c r="CA2" s="110" cm="1">
        <f t="array" ref="CA2">_xlfn.NUMBERVALUE(INDEX('C202'!$N:$N,5+(COLUMN()-54)*21))</f>
        <v>0</v>
      </c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20"/>
      <c r="DO2" s="93" t="s">
        <v>1414</v>
      </c>
      <c r="DP2" s="95" cm="1">
        <f t="array" ref="DP2">INDEX('C202'!$H:$H,3+4*21)+INDEX('C202'!$H:$H,3+5*21)+INDEX('C202'!$H:$H,3+6*21)+INDEX('C202'!$H:$H,3+7*21)+INDEX('C202'!$H:$H,3+8*21)+INDEX('C202'!$H:$H,3+9*21)</f>
        <v>15818</v>
      </c>
      <c r="DQ2" s="101" cm="1">
        <f t="array" ref="DQ2">INDEX('C202'!$H:$H,3+10*21)+INDEX('C202'!$H:$H,3+11*21)+INDEX('C202'!$H:$H,3+12*21)+INDEX('C202'!$H:$H,3+13*21)+INDEX('C202'!$H:$H,3+14*21)+INDEX('C202'!$H:$H,3+15*21)</f>
        <v>18303</v>
      </c>
      <c r="DR2" s="101" cm="1">
        <f t="array" ref="DR2">INDEX('C202'!$H:$H,3+16*21)+INDEX('C202'!$H:$H,3+17*21)+INDEX('C202'!$H:$H,3+18*21)+INDEX('C202'!$H:$H,3+19*21)+INDEX('C202'!$H:$H,3+20*21)+INDEX('C202'!$H:$H,3+21*21)</f>
        <v>18024</v>
      </c>
      <c r="DS2" s="20"/>
      <c r="DT2" s="74"/>
      <c r="DU2" s="148">
        <v>1</v>
      </c>
      <c r="DV2" s="143" t="s">
        <v>930</v>
      </c>
      <c r="DW2" s="161" t="s">
        <v>943</v>
      </c>
      <c r="DX2" s="162"/>
      <c r="DY2" s="162"/>
      <c r="DZ2" s="163"/>
      <c r="EA2" s="128" t="s">
        <v>1729</v>
      </c>
      <c r="EB2" s="129" t="s">
        <v>1730</v>
      </c>
      <c r="EC2" s="79" t="s">
        <v>1718</v>
      </c>
      <c r="ED2" s="75" t="s">
        <v>1721</v>
      </c>
      <c r="EE2" s="118"/>
    </row>
    <row r="3" spans="1:141" x14ac:dyDescent="0.3">
      <c r="A3" s="38" t="s">
        <v>12</v>
      </c>
      <c r="B3" s="32">
        <v>6.4999999999999997E-3</v>
      </c>
      <c r="C3" s="32">
        <v>0</v>
      </c>
      <c r="D3" s="32">
        <v>0</v>
      </c>
      <c r="E3" s="32">
        <v>0</v>
      </c>
      <c r="F3" s="32">
        <v>0</v>
      </c>
      <c r="G3" s="32">
        <v>0</v>
      </c>
      <c r="H3" s="32">
        <v>2.7000000000000001E-3</v>
      </c>
      <c r="I3" s="32">
        <v>0</v>
      </c>
      <c r="J3" s="32">
        <v>2.0999999999999999E-3</v>
      </c>
      <c r="K3" s="32">
        <v>5.0000000000000001E-4</v>
      </c>
      <c r="L3" s="32">
        <v>1E-3</v>
      </c>
      <c r="M3" s="32">
        <v>0</v>
      </c>
      <c r="N3" s="32">
        <v>2.4799999999999999E-2</v>
      </c>
      <c r="O3" s="32">
        <v>3.6700000000000003E-2</v>
      </c>
      <c r="P3" s="32">
        <v>3.0200000000000001E-2</v>
      </c>
      <c r="Q3" s="32">
        <v>3.44E-2</v>
      </c>
      <c r="R3" s="32">
        <v>1.7500000000000002E-2</v>
      </c>
      <c r="S3" s="32">
        <v>3.1899999999999998E-2</v>
      </c>
      <c r="T3" s="32">
        <v>3.44E-2</v>
      </c>
      <c r="U3" s="32">
        <v>4.2299999999999997E-2</v>
      </c>
      <c r="V3" s="64" t="s">
        <v>116</v>
      </c>
      <c r="W3" s="64" t="s">
        <v>983</v>
      </c>
      <c r="X3" s="64" t="s">
        <v>1025</v>
      </c>
      <c r="Y3" s="64" t="s">
        <v>1060</v>
      </c>
      <c r="Z3" s="26" t="str">
        <f>'C202'!$B510</f>
        <v>5.26%</v>
      </c>
      <c r="AA3" s="27" t="str">
        <f>'C202'!$B531</f>
        <v>4.74%</v>
      </c>
      <c r="AB3" s="81" t="str" cm="1">
        <f t="array" ref="AB3">INDEX('C202'!$H:$H,6+(COLUMN()-28)*21)</f>
        <v>4.15%</v>
      </c>
      <c r="AC3" s="81" t="str" cm="1">
        <f t="array" ref="AC3">INDEX('C202'!$H:$H,6+(COLUMN()-28)*21)</f>
        <v>3.47%</v>
      </c>
      <c r="AD3" s="81" t="str" cm="1">
        <f t="array" ref="AD3">INDEX('C202'!$H:$H,6+(COLUMN()-28)*21)</f>
        <v>2.43%</v>
      </c>
      <c r="AE3" s="81" t="str" cm="1">
        <f t="array" ref="AE3">INDEX('C202'!$H:$H,6+(COLUMN()-28)*21)</f>
        <v>5.85%</v>
      </c>
      <c r="AF3" s="81" t="str" cm="1">
        <f t="array" ref="AF3">INDEX('C202'!$H:$H,6+(COLUMN()-28)*21)</f>
        <v>7.44%</v>
      </c>
      <c r="AG3" s="81" t="str" cm="1">
        <f t="array" ref="AG3">INDEX('C202'!$H:$H,6+(COLUMN()-28)*21)</f>
        <v>7.84%</v>
      </c>
      <c r="AH3" s="81" t="str" cm="1">
        <f t="array" ref="AH3">INDEX('C202'!$H:$H,6+(COLUMN()-28)*21)</f>
        <v>7.42%</v>
      </c>
      <c r="AI3" s="81" t="str" cm="1">
        <f t="array" ref="AI3">INDEX('C202'!$H:$H,6+(COLUMN()-28)*21)</f>
        <v>6.58%</v>
      </c>
      <c r="AJ3" s="81" t="str" cm="1">
        <f t="array" ref="AJ3">INDEX('C202'!$H:$H,6+(COLUMN()-28)*21)</f>
        <v>11.56%</v>
      </c>
      <c r="AK3" s="81" t="str" cm="1">
        <f t="array" ref="AK3">INDEX('C202'!$H:$H,6+(COLUMN()-28)*21)</f>
        <v>13.59%</v>
      </c>
      <c r="AL3" s="81" t="str" cm="1">
        <f t="array" ref="AL3">INDEX('C202'!$H:$H,6+(COLUMN()-28)*21)</f>
        <v>12.25%</v>
      </c>
      <c r="AM3" s="81" t="str" cm="1">
        <f t="array" ref="AM3">INDEX('C202'!$H:$H,6+(COLUMN()-28)*21)</f>
        <v>8.48%</v>
      </c>
      <c r="AN3" s="81" t="str" cm="1">
        <f t="array" ref="AN3">INDEX('C202'!$H:$H,6+(COLUMN()-28)*21)</f>
        <v>8.87%</v>
      </c>
      <c r="AO3" s="81" t="str" cm="1">
        <f t="array" ref="AO3">INDEX('C202'!$H:$H,6+(COLUMN()-28)*21)</f>
        <v>8.24%</v>
      </c>
      <c r="AP3" s="81" t="str" cm="1">
        <f t="array" ref="AP3">INDEX('C202'!$H:$H,6+(COLUMN()-28)*21)</f>
        <v>6.59%</v>
      </c>
      <c r="AQ3" s="81" t="str" cm="1">
        <f t="array" ref="AQ3">INDEX('C202'!$H:$H,6+(COLUMN()-28)*21)</f>
        <v>6.81%</v>
      </c>
      <c r="AR3" s="81" t="str" cm="1">
        <f t="array" ref="AR3">INDEX('C202'!$H:$H,6+(COLUMN()-28)*21)</f>
        <v>9.89%</v>
      </c>
      <c r="AS3" s="81" t="str" cm="1">
        <f t="array" ref="AS3">INDEX('C202'!$H:$H,6+(COLUMN()-28)*21)</f>
        <v>13.94%</v>
      </c>
      <c r="AT3" s="81" t="str" cm="1">
        <f t="array" ref="AT3">INDEX('C202'!$H:$H,6+(COLUMN()-28)*21)</f>
        <v>6.42%</v>
      </c>
      <c r="AU3" s="81" t="str" cm="1">
        <f t="array" ref="AU3">INDEX('C202'!$H:$H,6+(COLUMN()-28)*21)</f>
        <v>5.90%</v>
      </c>
      <c r="AV3" s="87" t="str" cm="1">
        <f t="array" ref="AV3">INDEX('C202'!$H:$H,6+(COLUMN()-28)*21)</f>
        <v>8.37%</v>
      </c>
      <c r="AW3" s="81" t="str" cm="1">
        <f t="array" ref="AW3">INDEX('C202'!$H:$H,6+(COLUMN()-28)*21)</f>
        <v>11.76%</v>
      </c>
      <c r="AX3" s="81" t="str" cm="1">
        <f t="array" ref="AX3">INDEX('C202'!$H:$H,6+(COLUMN()-28)*21)</f>
        <v>9.35%</v>
      </c>
      <c r="AY3" s="81" t="str" cm="1">
        <f t="array" ref="AY3">INDEX('C202'!$H:$H,6+(COLUMN()-28)*21)</f>
        <v>9.81%</v>
      </c>
      <c r="AZ3" s="110" cm="1">
        <f t="array" ref="AZ3">_xlfn.NUMBERVALUE(INDEX('C202'!$H:$H,6+(COLUMN()-28)*21))</f>
        <v>9.0500000000000011E-2</v>
      </c>
      <c r="BA3" s="135" t="str" cm="1">
        <f t="array" ref="BA3">INDEX('C202'!$H:$H,6+(COLUMN()-28)*21)</f>
        <v>10.55%</v>
      </c>
      <c r="BB3" s="110" cm="1">
        <f t="array" ref="BB3">_xlfn.NUMBERVALUE(INDEX('C202'!$N:$N,6+(COLUMN()-54)*21))</f>
        <v>6.1600000000000002E-2</v>
      </c>
      <c r="BC3" s="110" cm="1">
        <f t="array" ref="BC3">_xlfn.NUMBERVALUE(INDEX('C202'!$N:$N,6+(COLUMN()-54)*21))</f>
        <v>0.11890000000000001</v>
      </c>
      <c r="BD3" s="110" cm="1">
        <f t="array" ref="BD3">_xlfn.NUMBERVALUE(INDEX('C202'!$N:$N,6+(COLUMN()-54)*21))</f>
        <v>6.6500000000000004E-2</v>
      </c>
      <c r="BE3" s="110" cm="1">
        <f t="array" ref="BE3">_xlfn.NUMBERVALUE(INDEX('C202'!$N:$N,6+(COLUMN()-54)*21))</f>
        <v>0.11349999999999999</v>
      </c>
      <c r="BF3" s="110" cm="1">
        <f t="array" ref="BF3">_xlfn.NUMBERVALUE(INDEX('C202'!$N:$N,6+(COLUMN()-54)*21))</f>
        <v>3.1099999999999999E-2</v>
      </c>
      <c r="BG3" s="110" cm="1">
        <f t="array" ref="BG3">_xlfn.NUMBERVALUE(INDEX('C202'!$N:$N,6+(COLUMN()-54)*21))</f>
        <v>3.8699999999999998E-2</v>
      </c>
      <c r="BH3" s="110" cm="1">
        <f t="array" ref="BH3">_xlfn.NUMBERVALUE(INDEX('C202'!$N:$N,6+(COLUMN()-54)*21))</f>
        <v>2.1299999999999999E-2</v>
      </c>
      <c r="BI3" s="110" cm="1">
        <f t="array" ref="BI3">_xlfn.NUMBERVALUE(INDEX('C202'!$N:$N,6+(COLUMN()-54)*21))</f>
        <v>4.9299999999999997E-2</v>
      </c>
      <c r="BJ3" s="110" cm="1">
        <f t="array" ref="BJ3">_xlfn.NUMBERVALUE(INDEX('C202'!$N:$N,6+(COLUMN()-54)*21))</f>
        <v>4.1299999999999996E-2</v>
      </c>
      <c r="BK3" s="110" cm="1">
        <f t="array" ref="BK3">_xlfn.NUMBERVALUE(INDEX('C202'!$N:$N,6+(COLUMN()-54)*21))</f>
        <v>5.0099999999999999E-2</v>
      </c>
      <c r="BL3" s="110" cm="1">
        <f t="array" ref="BL3">_xlfn.NUMBERVALUE(INDEX('C202'!$N:$N,6+(COLUMN()-54)*21))</f>
        <v>3.6000000000000004E-2</v>
      </c>
      <c r="BM3" s="110" cm="1">
        <f t="array" ref="BM3">_xlfn.NUMBERVALUE(INDEX('C202'!$N:$N,6+(COLUMN()-54)*21))</f>
        <v>5.5099999999999996E-2</v>
      </c>
      <c r="BN3" s="110" cm="1">
        <f t="array" ref="BN3">_xlfn.NUMBERVALUE(INDEX('C202'!$N:$N,6+(COLUMN()-54)*21))</f>
        <v>4.7599999999999996E-2</v>
      </c>
      <c r="BO3" s="110" cm="1">
        <f t="array" ref="BO3">_xlfn.NUMBERVALUE(INDEX('C202'!$N:$N,6+(COLUMN()-54)*21))</f>
        <v>2.5499999999999998E-2</v>
      </c>
      <c r="BP3" s="110" cm="1">
        <f t="array" ref="BP3">_xlfn.NUMBERVALUE(INDEX('C202'!$N:$N,6+(COLUMN()-54)*21))</f>
        <v>3.95E-2</v>
      </c>
      <c r="BQ3" s="110" cm="1">
        <f t="array" ref="BQ3">_xlfn.NUMBERVALUE(INDEX('C202'!$N:$N,6+(COLUMN()-54)*21))</f>
        <v>7.7199999999999991E-2</v>
      </c>
      <c r="BR3" s="110" cm="1">
        <f t="array" ref="BR3">_xlfn.NUMBERVALUE(INDEX('C202'!$N:$N,6+(COLUMN()-54)*21))</f>
        <v>7.1599999999999997E-2</v>
      </c>
      <c r="BS3" s="110" cm="1">
        <f t="array" ref="BS3">_xlfn.NUMBERVALUE(INDEX('C202'!$N:$N,6+(COLUMN()-54)*21))</f>
        <v>0.12869999999999998</v>
      </c>
      <c r="BT3" s="110" cm="1">
        <f t="array" ref="BT3">_xlfn.NUMBERVALUE(INDEX('C202'!$N:$N,6+(COLUMN()-54)*21))</f>
        <v>0.17620000000000002</v>
      </c>
      <c r="BU3" s="110" cm="1">
        <f t="array" ref="BU3">_xlfn.NUMBERVALUE(INDEX('C202'!$N:$N,6+(COLUMN()-54)*21))</f>
        <v>0.25379999999999997</v>
      </c>
      <c r="BV3" s="110" cm="1">
        <f t="array" ref="BV3">_xlfn.NUMBERVALUE(INDEX('C202'!$N:$N,6+(COLUMN()-54)*21))</f>
        <v>0.12789999999999999</v>
      </c>
      <c r="BW3" s="110" cm="1">
        <f t="array" ref="BW3">_xlfn.NUMBERVALUE(INDEX('C202'!$N:$N,6+(COLUMN()-54)*21))</f>
        <v>2.3733616719801599E-2</v>
      </c>
      <c r="BX3" s="110" cm="1">
        <f t="array" ref="BX3">_xlfn.NUMBERVALUE(INDEX('C202'!$N:$N,6+(COLUMN()-54)*21))</f>
        <v>3.5000000000000003E-2</v>
      </c>
      <c r="BY3" s="110" cm="1">
        <f t="array" ref="BY3">_xlfn.NUMBERVALUE(INDEX('C202'!$N:$N,6+(COLUMN()-54)*21))</f>
        <v>0</v>
      </c>
      <c r="BZ3" s="110" cm="1">
        <f t="array" ref="BZ3">_xlfn.NUMBERVALUE(INDEX('C202'!$N:$N,6+(COLUMN()-54)*21))</f>
        <v>0</v>
      </c>
      <c r="CA3" s="110" cm="1">
        <f t="array" ref="CA3">_xlfn.NUMBERVALUE(INDEX('C202'!$N:$N,6+(COLUMN()-54)*21))</f>
        <v>0</v>
      </c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O3" s="93" t="s">
        <v>1418</v>
      </c>
      <c r="DP3" s="96" cm="1">
        <f t="array" ref="DP3">INDEX('C202'!$H:$H,9+4*21)+INDEX('C202'!$H:$H,9+5*21)+INDEX('C202'!$H:$H,9+6*21)+INDEX('C202'!$H:$H,9+7*21)+INDEX('C202'!$H:$H,9+8*21)+INDEX('C202'!$H:$H,9+9*21)</f>
        <v>1383</v>
      </c>
      <c r="DQ3" s="74" cm="1">
        <f t="array" ref="DQ3">INDEX('C202'!$H:$H,9+10*21)+INDEX('C202'!$H:$H,9+11*21)+INDEX('C202'!$H:$H,9+12*21)+INDEX('C202'!$H:$H,9+13*21)+INDEX('C202'!$H:$H,9+14*21)+INDEX('C202'!$H:$H,9+15*21)</f>
        <v>1539</v>
      </c>
      <c r="DR3" s="74" cm="1">
        <f t="array" ref="DR3">INDEX('C202'!$H:$H,9+16*21)+INDEX('C202'!$H:$H,9+17*21)+INDEX('C202'!$H:$H,9+18*21)+INDEX('C202'!$H:$H,9+19*21)+INDEX('C202'!$H:$H,9+20*21)+INDEX('C202'!$H:$H,9+21*21)</f>
        <v>1669</v>
      </c>
      <c r="DT3" s="74"/>
      <c r="DU3" s="148"/>
      <c r="DV3" s="144"/>
      <c r="DW3" s="164"/>
      <c r="DX3" s="165"/>
      <c r="DY3" s="165"/>
      <c r="DZ3" s="166"/>
      <c r="EA3" s="128" t="s">
        <v>1728</v>
      </c>
      <c r="EB3" s="129" t="s">
        <v>1731</v>
      </c>
      <c r="EC3" s="70" t="s">
        <v>1717</v>
      </c>
      <c r="ED3" s="70" t="s">
        <v>1722</v>
      </c>
      <c r="EE3" s="22"/>
    </row>
    <row r="4" spans="1:141" x14ac:dyDescent="0.3">
      <c r="A4" s="38" t="s">
        <v>17</v>
      </c>
      <c r="B4" s="32">
        <v>8.9999999999999998E-4</v>
      </c>
      <c r="C4" s="32">
        <v>3.8E-3</v>
      </c>
      <c r="D4" s="32">
        <v>1.6999999999999999E-3</v>
      </c>
      <c r="E4" s="32">
        <v>2.7000000000000001E-3</v>
      </c>
      <c r="F4" s="32">
        <v>4.8999999999999998E-3</v>
      </c>
      <c r="G4" s="32">
        <v>2.35E-2</v>
      </c>
      <c r="H4" s="32">
        <v>2.7000000000000001E-3</v>
      </c>
      <c r="I4" s="32">
        <v>3.8999999999999998E-3</v>
      </c>
      <c r="J4" s="32">
        <v>1.4E-3</v>
      </c>
      <c r="K4" s="32">
        <v>8.9999999999999993E-3</v>
      </c>
      <c r="L4" s="32">
        <v>6.1999999999999998E-3</v>
      </c>
      <c r="M4" s="32">
        <v>3.7000000000000002E-3</v>
      </c>
      <c r="N4" s="32">
        <v>1.38E-2</v>
      </c>
      <c r="O4" s="32">
        <v>2.3E-3</v>
      </c>
      <c r="P4" s="32">
        <v>9.1000000000000004E-3</v>
      </c>
      <c r="Q4" s="32">
        <v>2.7199999999999998E-2</v>
      </c>
      <c r="R4" s="32">
        <v>2.0500000000000001E-2</v>
      </c>
      <c r="S4" s="32">
        <v>5.4000000000000003E-3</v>
      </c>
      <c r="T4" s="32">
        <v>4.4000000000000003E-3</v>
      </c>
      <c r="U4" s="32">
        <v>5.1999999999999998E-3</v>
      </c>
      <c r="V4" s="64" t="s">
        <v>87</v>
      </c>
      <c r="W4" s="64" t="s">
        <v>138</v>
      </c>
      <c r="X4" s="64" t="s">
        <v>596</v>
      </c>
      <c r="Y4" s="64" t="s">
        <v>108</v>
      </c>
      <c r="Z4" s="26" t="str">
        <f>'C202'!$B511</f>
        <v>0.65%</v>
      </c>
      <c r="AA4" s="27" t="str">
        <f>'C202'!$B532</f>
        <v>0.32%</v>
      </c>
      <c r="AB4" s="81" t="str" cm="1">
        <f t="array" ref="AB4">INDEX('C202'!$H:$H,7+(COLUMN()-28)*21)</f>
        <v>0.28%</v>
      </c>
      <c r="AC4" s="81" t="str" cm="1">
        <f t="array" ref="AC4">INDEX('C202'!$H:$H,7+(COLUMN()-28)*21)</f>
        <v>0.41%</v>
      </c>
      <c r="AD4" s="81" t="str" cm="1">
        <f t="array" ref="AD4">INDEX('C202'!$H:$H,7+(COLUMN()-28)*21)</f>
        <v>0.22%</v>
      </c>
      <c r="AE4" s="81" t="str" cm="1">
        <f t="array" ref="AE4">INDEX('C202'!$H:$H,7+(COLUMN()-28)*21)</f>
        <v>0.37%</v>
      </c>
      <c r="AF4" s="81" t="str" cm="1">
        <f t="array" ref="AF4">INDEX('C202'!$H:$H,7+(COLUMN()-28)*21)</f>
        <v>1.08%</v>
      </c>
      <c r="AG4" s="81" t="str" cm="1">
        <f t="array" ref="AG4">INDEX('C202'!$H:$H,7+(COLUMN()-28)*21)</f>
        <v>2.71%</v>
      </c>
      <c r="AH4" s="81" t="str" cm="1">
        <f t="array" ref="AH4">INDEX('C202'!$H:$H,7+(COLUMN()-28)*21)</f>
        <v>1.07%</v>
      </c>
      <c r="AI4" s="81" t="str" cm="1">
        <f t="array" ref="AI4">INDEX('C202'!$H:$H,7+(COLUMN()-28)*21)</f>
        <v>0.61%</v>
      </c>
      <c r="AJ4" s="81" t="str" cm="1">
        <f t="array" ref="AJ4">INDEX('C202'!$H:$H,7+(COLUMN()-28)*21)</f>
        <v>0.67%</v>
      </c>
      <c r="AK4" s="81" t="str" cm="1">
        <f t="array" ref="AK4">INDEX('C202'!$H:$H,7+(COLUMN()-28)*21)</f>
        <v>0.71%</v>
      </c>
      <c r="AL4" s="81" t="str" cm="1">
        <f t="array" ref="AL4">INDEX('C202'!$H:$H,7+(COLUMN()-28)*21)</f>
        <v>0.36%</v>
      </c>
      <c r="AM4" s="81" t="str" cm="1">
        <f t="array" ref="AM4">INDEX('C202'!$H:$H,7+(COLUMN()-28)*21)</f>
        <v>0.36%</v>
      </c>
      <c r="AN4" s="81" t="str" cm="1">
        <f t="array" ref="AN4">INDEX('C202'!$H:$H,7+(COLUMN()-28)*21)</f>
        <v>1.42%</v>
      </c>
      <c r="AO4" s="81" t="str" cm="1">
        <f t="array" ref="AO4">INDEX('C202'!$H:$H,7+(COLUMN()-28)*21)</f>
        <v>2.26%</v>
      </c>
      <c r="AP4" s="81" t="str" cm="1">
        <f t="array" ref="AP4">INDEX('C202'!$H:$H,7+(COLUMN()-28)*21)</f>
        <v>1.94%</v>
      </c>
      <c r="AQ4" s="81" t="str" cm="1">
        <f t="array" ref="AQ4">INDEX('C202'!$H:$H,7+(COLUMN()-28)*21)</f>
        <v>1.56%</v>
      </c>
      <c r="AR4" s="81" t="str" cm="1">
        <f t="array" ref="AR4">INDEX('C202'!$H:$H,7+(COLUMN()-28)*21)</f>
        <v>0.22%</v>
      </c>
      <c r="AS4" s="81" t="str" cm="1">
        <f t="array" ref="AS4">INDEX('C202'!$H:$H,7+(COLUMN()-28)*21)</f>
        <v>0.32%</v>
      </c>
      <c r="AT4" s="81" t="str" cm="1">
        <f t="array" ref="AT4">INDEX('C202'!$H:$H,7+(COLUMN()-28)*21)</f>
        <v>0.22%</v>
      </c>
      <c r="AU4" s="81" t="str" cm="1">
        <f t="array" ref="AU4">INDEX('C202'!$H:$H,7+(COLUMN()-28)*21)</f>
        <v>0.20%</v>
      </c>
      <c r="AV4" s="87" t="str" cm="1">
        <f t="array" ref="AV4">INDEX('C202'!$H:$H,7+(COLUMN()-28)*21)</f>
        <v>0.12%</v>
      </c>
      <c r="AW4" s="81" t="str" cm="1">
        <f t="array" ref="AW4">INDEX('C202'!$H:$H,7+(COLUMN()-28)*21)</f>
        <v>0.20%</v>
      </c>
      <c r="AX4" s="81" t="str" cm="1">
        <f t="array" ref="AX4">INDEX('C202'!$H:$H,7+(COLUMN()-28)*21)</f>
        <v>0.31%</v>
      </c>
      <c r="AY4" s="81" t="str" cm="1">
        <f t="array" ref="AY4">INDEX('C202'!$H:$H,7+(COLUMN()-28)*21)</f>
        <v>0.09%</v>
      </c>
      <c r="AZ4" s="110" cm="1">
        <f t="array" ref="AZ4">_xlfn.NUMBERVALUE(INDEX('C202'!$H:$H,7+(COLUMN()-28)*21))</f>
        <v>2.9999999999999997E-4</v>
      </c>
      <c r="BA4" s="135" t="str" cm="1">
        <f t="array" ref="BA4">INDEX('C202'!$H:$H,7+(COLUMN()-28)*21)</f>
        <v>0.14%</v>
      </c>
      <c r="BB4" s="110" cm="1">
        <f t="array" ref="BB4">_xlfn.NUMBERVALUE(INDEX('C202'!$N:$N,7+(COLUMN()-54)*21))</f>
        <v>2.7099999999999999E-2</v>
      </c>
      <c r="BC4" s="110" cm="1">
        <f t="array" ref="BC4">_xlfn.NUMBERVALUE(INDEX('C202'!$N:$N,7+(COLUMN()-54)*21))</f>
        <v>6.5000000000000002E-2</v>
      </c>
      <c r="BD4" s="110" cm="1">
        <f t="array" ref="BD4">_xlfn.NUMBERVALUE(INDEX('C202'!$N:$N,7+(COLUMN()-54)*21))</f>
        <v>1.54E-2</v>
      </c>
      <c r="BE4" s="110" cm="1">
        <f t="array" ref="BE4">_xlfn.NUMBERVALUE(INDEX('C202'!$N:$N,7+(COLUMN()-54)*21))</f>
        <v>1.24E-2</v>
      </c>
      <c r="BF4" s="110" cm="1">
        <f t="array" ref="BF4">_xlfn.NUMBERVALUE(INDEX('C202'!$N:$N,7+(COLUMN()-54)*21))</f>
        <v>3.0000000000000001E-3</v>
      </c>
      <c r="BG4" s="110" cm="1">
        <f t="array" ref="BG4">_xlfn.NUMBERVALUE(INDEX('C202'!$N:$N,7+(COLUMN()-54)*21))</f>
        <v>4.2300000000000004E-2</v>
      </c>
      <c r="BH4" s="110" cm="1">
        <f t="array" ref="BH4">_xlfn.NUMBERVALUE(INDEX('C202'!$N:$N,7+(COLUMN()-54)*21))</f>
        <v>3.3000000000000002E-2</v>
      </c>
      <c r="BI4" s="110" cm="1">
        <f t="array" ref="BI4">_xlfn.NUMBERVALUE(INDEX('C202'!$N:$N,7+(COLUMN()-54)*21))</f>
        <v>3.1099999999999999E-2</v>
      </c>
      <c r="BJ4" s="110" cm="1">
        <f t="array" ref="BJ4">_xlfn.NUMBERVALUE(INDEX('C202'!$N:$N,7+(COLUMN()-54)*21))</f>
        <v>3.3700000000000001E-2</v>
      </c>
      <c r="BK4" s="110" cm="1">
        <f t="array" ref="BK4">_xlfn.NUMBERVALUE(INDEX('C202'!$N:$N,7+(COLUMN()-54)*21))</f>
        <v>3.15E-2</v>
      </c>
      <c r="BL4" s="110" cm="1">
        <f t="array" ref="BL4">_xlfn.NUMBERVALUE(INDEX('C202'!$N:$N,7+(COLUMN()-54)*21))</f>
        <v>1.23E-2</v>
      </c>
      <c r="BM4" s="110" cm="1">
        <f t="array" ref="BM4">_xlfn.NUMBERVALUE(INDEX('C202'!$N:$N,7+(COLUMN()-54)*21))</f>
        <v>2.8799999999999999E-2</v>
      </c>
      <c r="BN4" s="110" cm="1">
        <f t="array" ref="BN4">_xlfn.NUMBERVALUE(INDEX('C202'!$N:$N,7+(COLUMN()-54)*21))</f>
        <v>2.6200000000000001E-2</v>
      </c>
      <c r="BO4" s="110" cm="1">
        <f t="array" ref="BO4">_xlfn.NUMBERVALUE(INDEX('C202'!$N:$N,7+(COLUMN()-54)*21))</f>
        <v>2.7999999999999997E-2</v>
      </c>
      <c r="BP4" s="110" cm="1">
        <f t="array" ref="BP4">_xlfn.NUMBERVALUE(INDEX('C202'!$N:$N,7+(COLUMN()-54)*21))</f>
        <v>5.3499999999999999E-2</v>
      </c>
      <c r="BQ4" s="110" cm="1">
        <f t="array" ref="BQ4">_xlfn.NUMBERVALUE(INDEX('C202'!$N:$N,7+(COLUMN()-54)*21))</f>
        <v>5.1000000000000004E-3</v>
      </c>
      <c r="BR4" s="110" cm="1">
        <f t="array" ref="BR4">_xlfn.NUMBERVALUE(INDEX('C202'!$N:$N,7+(COLUMN()-54)*21))</f>
        <v>2.3700000000000002E-2</v>
      </c>
      <c r="BS4" s="110" cm="1">
        <f t="array" ref="BS4">_xlfn.NUMBERVALUE(INDEX('C202'!$N:$N,7+(COLUMN()-54)*21))</f>
        <v>2.4700000000000003E-2</v>
      </c>
      <c r="BT4" s="110" cm="1">
        <f t="array" ref="BT4">_xlfn.NUMBERVALUE(INDEX('C202'!$N:$N,7+(COLUMN()-54)*21))</f>
        <v>1.15E-2</v>
      </c>
      <c r="BU4" s="110" cm="1">
        <f t="array" ref="BU4">_xlfn.NUMBERVALUE(INDEX('C202'!$N:$N,7+(COLUMN()-54)*21))</f>
        <v>0.42670000000000002</v>
      </c>
      <c r="BV4" s="110" cm="1">
        <f t="array" ref="BV4">_xlfn.NUMBERVALUE(INDEX('C202'!$N:$N,7+(COLUMN()-54)*21))</f>
        <v>0.36170000000000002</v>
      </c>
      <c r="BW4" s="110" cm="1">
        <f t="array" ref="BW4">_xlfn.NUMBERVALUE(INDEX('C202'!$N:$N,7+(COLUMN()-54)*21))</f>
        <v>3.0818278427205099E-2</v>
      </c>
      <c r="BX4" s="110" cm="1">
        <f t="array" ref="BX4">_xlfn.NUMBERVALUE(INDEX('C202'!$N:$N,7+(COLUMN()-54)*21))</f>
        <v>1.9400000000000001E-2</v>
      </c>
      <c r="BY4" s="110" cm="1">
        <f t="array" ref="BY4">_xlfn.NUMBERVALUE(INDEX('C202'!$N:$N,7+(COLUMN()-54)*21))</f>
        <v>0</v>
      </c>
      <c r="BZ4" s="110" cm="1">
        <f t="array" ref="BZ4">_xlfn.NUMBERVALUE(INDEX('C202'!$N:$N,7+(COLUMN()-54)*21))</f>
        <v>0</v>
      </c>
      <c r="CA4" s="110" cm="1">
        <f t="array" ref="CA4">_xlfn.NUMBERVALUE(INDEX('C202'!$N:$N,7+(COLUMN()-54)*21))</f>
        <v>0</v>
      </c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O4" s="93" t="s">
        <v>1419</v>
      </c>
      <c r="DP4" s="96" cm="1">
        <f t="array" ref="DP4">INDEX('C202'!$H:$H,15+4*21)+INDEX('C202'!$H:$H,15+5*21)+INDEX('C202'!$H:$H,15+6*21)+INDEX('C202'!$H:$H,15+7*21)+INDEX('C202'!$H:$H,15+8*21)+INDEX('C202'!$H:$H,15+9*21)</f>
        <v>197</v>
      </c>
      <c r="DQ4" s="74" cm="1">
        <f t="array" ref="DQ4">INDEX('C202'!$H:$H,15+10*21)+INDEX('C202'!$H:$H,15+11*21)+INDEX('C202'!$H:$H,15+12*21)+INDEX('C202'!$H:$H,15+13*21)+INDEX('C202'!$H:$H,15+14*21)+INDEX('C202'!$H:$H,15+15*21)</f>
        <v>253</v>
      </c>
      <c r="DR4" s="74" cm="1">
        <f t="array" ref="DR4">INDEX('C202'!$H:$H,15+16*21)+INDEX('C202'!$H:$H,15+17*21)+INDEX('C202'!$H:$H,15+18*21)+INDEX('C202'!$H:$H,15+19*21)+INDEX('C202'!$H:$H,15+20*21)+INDEX('C202'!$H:$H,15+21*21)</f>
        <v>38</v>
      </c>
      <c r="DT4" s="74"/>
      <c r="DU4" s="148">
        <v>2</v>
      </c>
      <c r="DV4" s="139" t="s">
        <v>931</v>
      </c>
      <c r="DW4" s="139" t="s">
        <v>944</v>
      </c>
      <c r="DX4" s="139"/>
      <c r="DY4" s="139"/>
      <c r="DZ4" s="139"/>
      <c r="EA4" s="108" t="s">
        <v>1732</v>
      </c>
      <c r="EB4" s="120" t="s">
        <v>1733</v>
      </c>
      <c r="EC4" s="70" t="s">
        <v>1719</v>
      </c>
      <c r="ED4" s="121">
        <v>46143</v>
      </c>
      <c r="EE4" s="22"/>
    </row>
    <row r="5" spans="1:141" x14ac:dyDescent="0.3">
      <c r="A5" s="38" t="s">
        <v>22</v>
      </c>
      <c r="B5" s="32">
        <v>8.9999999999999998E-4</v>
      </c>
      <c r="C5" s="32">
        <v>0</v>
      </c>
      <c r="D5" s="32">
        <v>0</v>
      </c>
      <c r="E5" s="32">
        <v>0</v>
      </c>
      <c r="F5" s="32">
        <v>0</v>
      </c>
      <c r="G5" s="32">
        <v>5.9999999999999995E-4</v>
      </c>
      <c r="H5" s="32">
        <v>0</v>
      </c>
      <c r="I5" s="32">
        <v>0</v>
      </c>
      <c r="J5" s="32">
        <v>0</v>
      </c>
      <c r="K5" s="32">
        <v>0</v>
      </c>
      <c r="L5" s="32">
        <v>5.0000000000000001E-4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64">
        <v>0</v>
      </c>
      <c r="W5" s="64" t="s">
        <v>25</v>
      </c>
      <c r="X5" s="64" t="s">
        <v>25</v>
      </c>
      <c r="Y5" s="64" t="s">
        <v>362</v>
      </c>
      <c r="Z5" s="26" t="str">
        <f>'C202'!$B512</f>
        <v>0.12%</v>
      </c>
      <c r="AA5" s="27" t="str">
        <f>'C202'!$B533</f>
        <v>0.05%</v>
      </c>
      <c r="AB5" s="81" t="str" cm="1">
        <f t="array" ref="AB5">INDEX('C202'!$H:$H,8+(COLUMN()-28)*21)</f>
        <v>0.05%</v>
      </c>
      <c r="AC5" s="81" t="str" cm="1">
        <f t="array" ref="AC5">INDEX('C202'!$H:$H,8+(COLUMN()-28)*21)</f>
        <v>0.03%</v>
      </c>
      <c r="AD5" s="81" t="str" cm="1">
        <f t="array" ref="AD5">INDEX('C202'!$H:$H,8+(COLUMN()-28)*21)</f>
        <v>0.04%</v>
      </c>
      <c r="AE5" s="81" t="str" cm="1">
        <f t="array" ref="AE5">INDEX('C202'!$H:$H,8+(COLUMN()-28)*21)</f>
        <v>0.00%</v>
      </c>
      <c r="AF5" s="81" t="str" cm="1">
        <f t="array" ref="AF5">INDEX('C202'!$H:$H,8+(COLUMN()-28)*21)</f>
        <v>0.00%</v>
      </c>
      <c r="AG5" s="81" t="str" cm="1">
        <f t="array" ref="AG5">INDEX('C202'!$H:$H,8+(COLUMN()-28)*21)</f>
        <v>0.08%</v>
      </c>
      <c r="AH5" s="81" t="str" cm="1">
        <f t="array" ref="AH5">INDEX('C202'!$H:$H,8+(COLUMN()-28)*21)</f>
        <v>0.00%</v>
      </c>
      <c r="AI5" s="81" t="str" cm="1">
        <f t="array" ref="AI5">INDEX('C202'!$H:$H,8+(COLUMN()-28)*21)</f>
        <v>0.00%</v>
      </c>
      <c r="AJ5" s="81" t="str" cm="1">
        <f t="array" ref="AJ5">INDEX('C202'!$H:$H,8+(COLUMN()-28)*21)</f>
        <v>0.03%</v>
      </c>
      <c r="AK5" s="81" t="str" cm="1">
        <f t="array" ref="AK5">INDEX('C202'!$H:$H,8+(COLUMN()-28)*21)</f>
        <v>0.00%</v>
      </c>
      <c r="AL5" s="81" t="str" cm="1">
        <f t="array" ref="AL5">INDEX('C202'!$H:$H,8+(COLUMN()-28)*21)</f>
        <v>0.97%</v>
      </c>
      <c r="AM5" s="81" t="str" cm="1">
        <f t="array" ref="AM5">INDEX('C202'!$H:$H,8+(COLUMN()-28)*21)</f>
        <v>0.07%</v>
      </c>
      <c r="AN5" s="81" t="str" cm="1">
        <f t="array" ref="AN5">INDEX('C202'!$H:$H,8+(COLUMN()-28)*21)</f>
        <v>0.00%</v>
      </c>
      <c r="AO5" s="81" t="str" cm="1">
        <f t="array" ref="AO5">INDEX('C202'!$H:$H,8+(COLUMN()-28)*21)</f>
        <v>0.03%</v>
      </c>
      <c r="AP5" s="81" t="str" cm="1">
        <f t="array" ref="AP5">INDEX('C202'!$H:$H,8+(COLUMN()-28)*21)</f>
        <v>0.00%</v>
      </c>
      <c r="AQ5" s="81" t="str" cm="1">
        <f t="array" ref="AQ5">INDEX('C202'!$H:$H,8+(COLUMN()-28)*21)</f>
        <v>0.03%</v>
      </c>
      <c r="AR5" s="81" t="str" cm="1">
        <f t="array" ref="AR5">INDEX('C202'!$H:$H,8+(COLUMN()-28)*21)</f>
        <v>0.00%</v>
      </c>
      <c r="AS5" s="81" t="str" cm="1">
        <f t="array" ref="AS5">INDEX('C202'!$H:$H,8+(COLUMN()-28)*21)</f>
        <v>0.03%</v>
      </c>
      <c r="AT5" s="81" t="str" cm="1">
        <f t="array" ref="AT5">INDEX('C202'!$H:$H,8+(COLUMN()-28)*21)</f>
        <v>0.00%</v>
      </c>
      <c r="AU5" s="81" t="str" cm="1">
        <f t="array" ref="AU5">INDEX('C202'!$H:$H,8+(COLUMN()-28)*21)</f>
        <v>0.00%</v>
      </c>
      <c r="AV5" s="87" t="str" cm="1">
        <f t="array" ref="AV5">INDEX('C202'!$H:$H,8+(COLUMN()-28)*21)</f>
        <v>0.06%</v>
      </c>
      <c r="AW5" s="81" t="str" cm="1">
        <f t="array" ref="AW5">INDEX('C202'!$H:$H,8+(COLUMN()-28)*21)</f>
        <v>0.00%</v>
      </c>
      <c r="AX5" s="81" t="str" cm="1">
        <f t="array" ref="AX5">INDEX('C202'!$H:$H,8+(COLUMN()-28)*21)</f>
        <v>0.00%</v>
      </c>
      <c r="AY5" s="81" t="str" cm="1">
        <f t="array" ref="AY5">INDEX('C202'!$H:$H,8+(COLUMN()-28)*21)</f>
        <v>0.00%</v>
      </c>
      <c r="AZ5" s="110" cm="1">
        <f t="array" ref="AZ5">_xlfn.NUMBERVALUE(INDEX('C202'!$H:$H,8+(COLUMN()-28)*21))</f>
        <v>2.9999999999999997E-4</v>
      </c>
      <c r="BA5" s="135" t="str" cm="1">
        <f t="array" ref="BA5">INDEX('C202'!$H:$H,8+(COLUMN()-28)*21)</f>
        <v>0.03%</v>
      </c>
      <c r="BB5" s="110" cm="1">
        <f t="array" ref="BB5">_xlfn.NUMBERVALUE(INDEX('C202'!$N:$N,8+(COLUMN()-54)*21))</f>
        <v>0</v>
      </c>
      <c r="BC5" s="110" cm="1">
        <f t="array" ref="BC5">_xlfn.NUMBERVALUE(INDEX('C202'!$N:$N,8+(COLUMN()-54)*21))</f>
        <v>7.000000000000001E-4</v>
      </c>
      <c r="BD5" s="110" cm="1">
        <f t="array" ref="BD5">_xlfn.NUMBERVALUE(INDEX('C202'!$N:$N,8+(COLUMN()-54)*21))</f>
        <v>4.0000000000000002E-4</v>
      </c>
      <c r="BE5" s="110" cm="1">
        <f t="array" ref="BE5">_xlfn.NUMBERVALUE(INDEX('C202'!$N:$N,8+(COLUMN()-54)*21))</f>
        <v>4.0000000000000002E-4</v>
      </c>
      <c r="BF5" s="110" cm="1">
        <f t="array" ref="BF5">_xlfn.NUMBERVALUE(INDEX('C202'!$N:$N,8+(COLUMN()-54)*21))</f>
        <v>0</v>
      </c>
      <c r="BG5" s="110" cm="1">
        <f t="array" ref="BG5">_xlfn.NUMBERVALUE(INDEX('C202'!$N:$N,8+(COLUMN()-54)*21))</f>
        <v>7.4999999999999997E-3</v>
      </c>
      <c r="BH5" s="110" cm="1">
        <f t="array" ref="BH5">_xlfn.NUMBERVALUE(INDEX('C202'!$N:$N,8+(COLUMN()-54)*21))</f>
        <v>0</v>
      </c>
      <c r="BI5" s="110" cm="1">
        <f t="array" ref="BI5">_xlfn.NUMBERVALUE(INDEX('C202'!$N:$N,8+(COLUMN()-54)*21))</f>
        <v>1.7000000000000001E-3</v>
      </c>
      <c r="BJ5" s="110" cm="1">
        <f t="array" ref="BJ5">_xlfn.NUMBERVALUE(INDEX('C202'!$N:$N,8+(COLUMN()-54)*21))</f>
        <v>0</v>
      </c>
      <c r="BK5" s="110" cm="1">
        <f t="array" ref="BK5">_xlfn.NUMBERVALUE(INDEX('C202'!$N:$N,8+(COLUMN()-54)*21))</f>
        <v>4.0000000000000002E-4</v>
      </c>
      <c r="BL5" s="110" cm="1">
        <f t="array" ref="BL5">_xlfn.NUMBERVALUE(INDEX('C202'!$N:$N,8+(COLUMN()-54)*21))</f>
        <v>0</v>
      </c>
      <c r="BM5" s="110" cm="1">
        <f t="array" ref="BM5">_xlfn.NUMBERVALUE(INDEX('C202'!$N:$N,8+(COLUMN()-54)*21))</f>
        <v>0</v>
      </c>
      <c r="BN5" s="110" cm="1">
        <f t="array" ref="BN5">_xlfn.NUMBERVALUE(INDEX('C202'!$N:$N,8+(COLUMN()-54)*21))</f>
        <v>2.9999999999999997E-4</v>
      </c>
      <c r="BO5" s="110" cm="1">
        <f t="array" ref="BO5">_xlfn.NUMBERVALUE(INDEX('C202'!$N:$N,8+(COLUMN()-54)*21))</f>
        <v>0</v>
      </c>
      <c r="BP5" s="110" cm="1">
        <f t="array" ref="BP5">_xlfn.NUMBERVALUE(INDEX('C202'!$N:$N,8+(COLUMN()-54)*21))</f>
        <v>0</v>
      </c>
      <c r="BQ5" s="110" cm="1">
        <f t="array" ref="BQ5">_xlfn.NUMBERVALUE(INDEX('C202'!$N:$N,8+(COLUMN()-54)*21))</f>
        <v>4.0000000000000002E-4</v>
      </c>
      <c r="BR5" s="110" cm="1">
        <f t="array" ref="BR5">_xlfn.NUMBERVALUE(INDEX('C202'!$N:$N,8+(COLUMN()-54)*21))</f>
        <v>0</v>
      </c>
      <c r="BS5" s="110" cm="1">
        <f t="array" ref="BS5">_xlfn.NUMBERVALUE(INDEX('C202'!$N:$N,8+(COLUMN()-54)*21))</f>
        <v>0</v>
      </c>
      <c r="BT5" s="110" cm="1">
        <f t="array" ref="BT5">_xlfn.NUMBERVALUE(INDEX('C202'!$N:$N,8+(COLUMN()-54)*21))</f>
        <v>2E-3</v>
      </c>
      <c r="BU5" s="110" cm="1">
        <f t="array" ref="BU5">_xlfn.NUMBERVALUE(INDEX('C202'!$N:$N,8+(COLUMN()-54)*21))</f>
        <v>0</v>
      </c>
      <c r="BV5" s="110" cm="1">
        <f t="array" ref="BV5">_xlfn.NUMBERVALUE(INDEX('C202'!$N:$N,8+(COLUMN()-54)*21))</f>
        <v>1.5E-3</v>
      </c>
      <c r="BW5" s="110" cm="1">
        <f t="array" ref="BW5">_xlfn.NUMBERVALUE(INDEX('C202'!$N:$N,8+(COLUMN()-54)*21))</f>
        <v>0</v>
      </c>
      <c r="BX5" s="110" cm="1">
        <f t="array" ref="BX5">_xlfn.NUMBERVALUE(INDEX('C202'!$N:$N,8+(COLUMN()-54)*21))</f>
        <v>0</v>
      </c>
      <c r="BY5" s="110" cm="1">
        <f t="array" ref="BY5">_xlfn.NUMBERVALUE(INDEX('C202'!$N:$N,8+(COLUMN()-54)*21))</f>
        <v>0</v>
      </c>
      <c r="BZ5" s="110" cm="1">
        <f t="array" ref="BZ5">_xlfn.NUMBERVALUE(INDEX('C202'!$N:$N,8+(COLUMN()-54)*21))</f>
        <v>0</v>
      </c>
      <c r="CA5" s="110" cm="1">
        <f t="array" ref="CA5">_xlfn.NUMBERVALUE(INDEX('C202'!$N:$N,8+(COLUMN()-54)*21))</f>
        <v>0</v>
      </c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O5" s="93" t="s">
        <v>1420</v>
      </c>
      <c r="DP5" s="96" cm="1">
        <f t="array" ref="DP5">INDEX('C202'!$H:$H,18+4*21)+INDEX('C202'!$H:$H,18+5*21)+INDEX('C202'!$H:$H,18+6*21)+INDEX('C202'!$H:$H,18+7*21)+INDEX('C202'!$H:$H,18+8*21)+INDEX('C202'!$H:$H,18+9*21)</f>
        <v>4</v>
      </c>
      <c r="DQ5" s="74" cm="1">
        <f t="array" ref="DQ5">INDEX('C202'!$H:$H,18+10*21)+INDEX('C202'!$H:$H,18+11*21)+INDEX('C202'!$H:$H,18+12*21)+INDEX('C202'!$H:$H,18+13*21)+INDEX('C202'!$H:$H,18+14*21)+INDEX('C202'!$H:$H,18+15*21)</f>
        <v>28</v>
      </c>
      <c r="DR5" s="74" cm="1">
        <f t="array" ref="DR5">INDEX('C202'!$H:$H,18+16*21)+INDEX('C202'!$H:$H,18+17*21)+INDEX('C202'!$H:$H,18+18*21)+INDEX('C202'!$H:$H,18+19*21)+INDEX('C202'!$H:$H,18+20*21)+INDEX('C202'!$H:$H,18+21*21)</f>
        <v>3</v>
      </c>
      <c r="DT5" s="74"/>
      <c r="DU5" s="148"/>
      <c r="DV5" s="139"/>
      <c r="DW5" s="139"/>
      <c r="DX5" s="139"/>
      <c r="DY5" s="139"/>
      <c r="DZ5" s="139"/>
      <c r="EA5" s="108" t="s">
        <v>1736</v>
      </c>
      <c r="EB5" s="70" t="s">
        <v>1734</v>
      </c>
      <c r="EC5" s="70" t="s">
        <v>1735</v>
      </c>
      <c r="ED5" s="121">
        <v>46143</v>
      </c>
      <c r="EE5" s="22"/>
    </row>
    <row r="6" spans="1:141" x14ac:dyDescent="0.3">
      <c r="A6" s="42" t="s">
        <v>929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 t="s">
        <v>978</v>
      </c>
      <c r="O6" s="43" t="s">
        <v>1100</v>
      </c>
      <c r="P6" s="43" t="s">
        <v>1100</v>
      </c>
      <c r="Q6" s="43" t="s">
        <v>1100</v>
      </c>
      <c r="R6" s="43" t="s">
        <v>978</v>
      </c>
      <c r="S6" s="43" t="s">
        <v>1100</v>
      </c>
      <c r="T6" s="43" t="s">
        <v>952</v>
      </c>
      <c r="U6" s="43" t="s">
        <v>952</v>
      </c>
      <c r="V6" s="43" t="s">
        <v>939</v>
      </c>
      <c r="W6" s="43" t="s">
        <v>1099</v>
      </c>
      <c r="X6" s="43" t="s">
        <v>1099</v>
      </c>
      <c r="Y6" s="43" t="s">
        <v>1099</v>
      </c>
      <c r="Z6" s="43" t="s">
        <v>1099</v>
      </c>
      <c r="AA6" s="44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 t="s">
        <v>2003</v>
      </c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23"/>
      <c r="DO6" s="93" t="s">
        <v>1415</v>
      </c>
      <c r="DP6" s="23" t="s">
        <v>1421</v>
      </c>
      <c r="DQ6" s="23" t="s">
        <v>1421</v>
      </c>
      <c r="DR6" s="23" t="s">
        <v>1421</v>
      </c>
      <c r="DS6" s="23"/>
      <c r="DT6" s="74"/>
      <c r="DU6" s="148">
        <v>3</v>
      </c>
      <c r="DV6" s="139" t="s">
        <v>932</v>
      </c>
      <c r="DW6" s="139" t="s">
        <v>945</v>
      </c>
      <c r="DX6" s="139"/>
      <c r="DY6" s="139"/>
      <c r="DZ6" s="139"/>
      <c r="EA6" s="139" t="s">
        <v>1190</v>
      </c>
      <c r="EB6" s="124" t="s">
        <v>1723</v>
      </c>
      <c r="EC6" s="123" t="s">
        <v>1737</v>
      </c>
      <c r="ED6" s="121" t="s">
        <v>1738</v>
      </c>
      <c r="EE6" s="22"/>
    </row>
    <row r="7" spans="1:141" ht="15.6" thickBot="1" x14ac:dyDescent="0.35">
      <c r="A7" s="39" t="s">
        <v>881</v>
      </c>
      <c r="B7" s="29">
        <v>1</v>
      </c>
      <c r="C7" s="29">
        <v>2</v>
      </c>
      <c r="D7" s="29">
        <v>2</v>
      </c>
      <c r="E7" s="29">
        <v>2</v>
      </c>
      <c r="F7" s="29">
        <v>2</v>
      </c>
      <c r="G7" s="29">
        <v>2</v>
      </c>
      <c r="H7" s="29">
        <v>2</v>
      </c>
      <c r="I7" s="29">
        <v>2</v>
      </c>
      <c r="J7" s="29">
        <v>2</v>
      </c>
      <c r="K7" s="29">
        <v>2</v>
      </c>
      <c r="L7" s="29">
        <v>2</v>
      </c>
      <c r="M7" s="29">
        <v>2</v>
      </c>
      <c r="N7" s="29">
        <v>1</v>
      </c>
      <c r="O7" s="29">
        <v>1</v>
      </c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f>COUNTIFS('C202'!$C$444:$H$444,"=0")</f>
        <v>1</v>
      </c>
      <c r="X7" s="29">
        <f>COUNTIFS('C202'!$C$465:$H$465,"=0")</f>
        <v>1</v>
      </c>
      <c r="Y7" s="29">
        <f>COUNTIFS('C202'!$C$486:$H$486,"=0")</f>
        <v>1</v>
      </c>
      <c r="Z7" s="29">
        <f>COUNTIFS('C202'!$C$507:$H$507,"=0")</f>
        <v>1</v>
      </c>
      <c r="AA7" s="30">
        <f>COUNTIFS('C202'!$C$528:$H$528,"=0")</f>
        <v>1</v>
      </c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69"/>
      <c r="DP7" s="69"/>
      <c r="DQ7" s="22" t="s">
        <v>1156</v>
      </c>
      <c r="DR7" s="91"/>
      <c r="DS7" s="69"/>
      <c r="DT7" s="68"/>
      <c r="DU7" s="148"/>
      <c r="DV7" s="139"/>
      <c r="DW7" s="139"/>
      <c r="DX7" s="139"/>
      <c r="DY7" s="139"/>
      <c r="DZ7" s="139"/>
      <c r="EA7" s="139"/>
      <c r="EB7" s="125" t="s">
        <v>1724</v>
      </c>
      <c r="EC7" s="70" t="s">
        <v>1724</v>
      </c>
      <c r="ED7" s="121">
        <v>46142</v>
      </c>
      <c r="EE7" s="22"/>
    </row>
    <row r="8" spans="1:141" x14ac:dyDescent="0.3">
      <c r="A8" s="36" t="s">
        <v>874</v>
      </c>
      <c r="B8" s="24">
        <v>46083</v>
      </c>
      <c r="C8" s="24">
        <v>46084</v>
      </c>
      <c r="D8" s="24">
        <v>46085</v>
      </c>
      <c r="E8" s="24">
        <v>46086</v>
      </c>
      <c r="F8" s="24">
        <v>46087</v>
      </c>
      <c r="G8" s="24">
        <v>46088</v>
      </c>
      <c r="H8" s="24">
        <v>46090</v>
      </c>
      <c r="I8" s="24">
        <v>46091</v>
      </c>
      <c r="J8" s="24">
        <v>46092</v>
      </c>
      <c r="K8" s="24">
        <v>46093</v>
      </c>
      <c r="L8" s="24">
        <v>46094</v>
      </c>
      <c r="M8" s="24">
        <v>46095</v>
      </c>
      <c r="N8" s="24">
        <v>46097</v>
      </c>
      <c r="O8" s="24">
        <v>46098</v>
      </c>
      <c r="P8" s="24">
        <v>46099</v>
      </c>
      <c r="Q8" s="24">
        <v>46100</v>
      </c>
      <c r="R8" s="53">
        <v>46101</v>
      </c>
      <c r="S8" s="24">
        <v>46102</v>
      </c>
      <c r="T8" s="24">
        <v>46104</v>
      </c>
      <c r="U8" s="24">
        <v>46105</v>
      </c>
      <c r="V8" s="24">
        <v>46106</v>
      </c>
      <c r="W8" s="24">
        <v>46107</v>
      </c>
      <c r="X8" s="24">
        <v>46108</v>
      </c>
      <c r="Y8" s="24">
        <v>46109</v>
      </c>
      <c r="Z8" s="24">
        <v>46111</v>
      </c>
      <c r="AA8" s="25">
        <v>46112</v>
      </c>
      <c r="AB8" s="80">
        <v>46113</v>
      </c>
      <c r="AC8" s="80">
        <v>46114</v>
      </c>
      <c r="AD8" s="90">
        <v>46115</v>
      </c>
      <c r="AE8" s="80">
        <v>46116</v>
      </c>
      <c r="AF8" s="80">
        <v>46118</v>
      </c>
      <c r="AG8" s="80">
        <v>46119</v>
      </c>
      <c r="AH8" s="80">
        <v>46120</v>
      </c>
      <c r="AI8" s="80">
        <v>46121</v>
      </c>
      <c r="AJ8" s="80">
        <v>46122</v>
      </c>
      <c r="AK8" s="80">
        <v>46123</v>
      </c>
      <c r="AL8" s="80">
        <v>46125</v>
      </c>
      <c r="AM8" s="80">
        <v>46126</v>
      </c>
      <c r="AN8" s="80">
        <v>46127</v>
      </c>
      <c r="AO8" s="80">
        <v>46128</v>
      </c>
      <c r="AP8" s="80">
        <v>46129</v>
      </c>
      <c r="AQ8" s="80">
        <v>46130</v>
      </c>
      <c r="AR8" s="80">
        <v>46132</v>
      </c>
      <c r="AS8" s="80">
        <v>46133</v>
      </c>
      <c r="AT8" s="80">
        <v>46134</v>
      </c>
      <c r="AU8" s="80">
        <v>46135</v>
      </c>
      <c r="AV8" s="80">
        <v>46136</v>
      </c>
      <c r="AW8" s="80">
        <v>46137</v>
      </c>
      <c r="AX8" s="80">
        <v>46139</v>
      </c>
      <c r="AY8" s="80">
        <v>46140</v>
      </c>
      <c r="AZ8" s="80">
        <v>46141</v>
      </c>
      <c r="BA8" s="80">
        <v>46142</v>
      </c>
      <c r="BB8" s="80">
        <v>46143</v>
      </c>
      <c r="BC8" s="80">
        <v>46146</v>
      </c>
      <c r="BD8" s="80">
        <v>46147</v>
      </c>
      <c r="BE8" s="80">
        <v>46148</v>
      </c>
      <c r="BF8" s="80">
        <v>46149</v>
      </c>
      <c r="BG8" s="137">
        <v>46150</v>
      </c>
      <c r="BH8" s="80">
        <v>46151</v>
      </c>
      <c r="BI8" s="80">
        <v>46153</v>
      </c>
      <c r="BJ8" s="80">
        <v>46154</v>
      </c>
      <c r="BK8" s="80">
        <v>46155</v>
      </c>
      <c r="BL8" s="80">
        <v>46156</v>
      </c>
      <c r="BM8" s="80">
        <v>46157</v>
      </c>
      <c r="BN8" s="80">
        <v>46158</v>
      </c>
      <c r="BO8" s="80">
        <v>46160</v>
      </c>
      <c r="BP8" s="80">
        <v>46161</v>
      </c>
      <c r="BQ8" s="80">
        <v>46162</v>
      </c>
      <c r="BR8" s="80">
        <v>46163</v>
      </c>
      <c r="BS8" s="80">
        <v>46164</v>
      </c>
      <c r="BT8" s="80">
        <v>46165</v>
      </c>
      <c r="BU8" s="80">
        <v>46167</v>
      </c>
      <c r="BV8" s="80">
        <v>46168</v>
      </c>
      <c r="BW8" s="80">
        <v>46169</v>
      </c>
      <c r="BX8" s="80">
        <v>46170</v>
      </c>
      <c r="BY8" s="80">
        <v>46171</v>
      </c>
      <c r="BZ8" s="80">
        <v>46172</v>
      </c>
      <c r="CA8" s="80">
        <v>46173</v>
      </c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76"/>
      <c r="DO8" s="93" t="s">
        <v>1428</v>
      </c>
      <c r="DP8" s="94" t="s">
        <v>1416</v>
      </c>
      <c r="DQ8" s="94" t="s">
        <v>1417</v>
      </c>
      <c r="DR8" s="94" t="s">
        <v>1672</v>
      </c>
      <c r="DT8" s="122"/>
      <c r="DU8" s="148">
        <v>4</v>
      </c>
      <c r="DV8" s="139" t="s">
        <v>938</v>
      </c>
      <c r="DW8" s="142" t="s">
        <v>979</v>
      </c>
      <c r="DX8" s="142"/>
      <c r="DY8" s="142"/>
      <c r="DZ8" s="142"/>
      <c r="EA8" s="139" t="s">
        <v>1191</v>
      </c>
      <c r="EB8" s="127" t="s">
        <v>1739</v>
      </c>
      <c r="EC8" s="70" t="s">
        <v>1741</v>
      </c>
      <c r="ED8" s="121">
        <v>46143</v>
      </c>
      <c r="EE8" s="22"/>
    </row>
    <row r="9" spans="1:141" x14ac:dyDescent="0.3">
      <c r="A9" s="38" t="s">
        <v>873</v>
      </c>
      <c r="B9" s="28"/>
      <c r="C9" s="28"/>
      <c r="D9" s="28"/>
      <c r="E9" s="28"/>
      <c r="F9" s="28"/>
      <c r="G9" s="32">
        <v>6.5799999999999997E-2</v>
      </c>
      <c r="H9" s="32">
        <v>8.0199999999999994E-2</v>
      </c>
      <c r="I9" s="32">
        <v>8.5800000000000001E-2</v>
      </c>
      <c r="J9" s="32">
        <v>6.3399999999999998E-2</v>
      </c>
      <c r="K9" s="32">
        <v>8.7400000000000005E-2</v>
      </c>
      <c r="L9" s="32">
        <v>0.1028</v>
      </c>
      <c r="M9" s="32">
        <v>0.12709999999999999</v>
      </c>
      <c r="N9" s="32">
        <v>8.2000000000000003E-2</v>
      </c>
      <c r="O9" s="32">
        <v>0.15359999999999999</v>
      </c>
      <c r="P9" s="32">
        <v>0.11849999999999999</v>
      </c>
      <c r="Q9" s="32">
        <v>0.1145</v>
      </c>
      <c r="R9" s="32">
        <v>0.13469999999999999</v>
      </c>
      <c r="S9" s="32">
        <v>9.8900000000000002E-2</v>
      </c>
      <c r="T9" s="32">
        <v>0.15010000000000001</v>
      </c>
      <c r="U9" s="32">
        <v>0.12479999999999999</v>
      </c>
      <c r="V9" s="61" t="s">
        <v>906</v>
      </c>
      <c r="W9" s="61" t="s">
        <v>985</v>
      </c>
      <c r="X9" s="61" t="s">
        <v>1026</v>
      </c>
      <c r="Y9" s="61" t="s">
        <v>1063</v>
      </c>
      <c r="Z9" s="28" t="str">
        <f>'C203'!$B404</f>
        <v>20.59%</v>
      </c>
      <c r="AA9" s="31" t="str">
        <f>'C203'!$B425</f>
        <v>19.90%</v>
      </c>
      <c r="AB9" s="81" t="str" cm="1">
        <f t="array" ref="AB9">INDEX('C203'!$H:$H,5+(COLUMN()-28)*21)</f>
        <v>14.66%</v>
      </c>
      <c r="AC9" s="81" t="str" cm="1">
        <f t="array" ref="AC9">INDEX('C203'!$H:$H,5+(COLUMN()-28)*21)</f>
        <v>16.22%</v>
      </c>
      <c r="AD9" s="81" t="str" cm="1">
        <f t="array" ref="AD9">INDEX('C203'!$H:$H,5+(COLUMN()-28)*21)</f>
        <v>12.97%</v>
      </c>
      <c r="AE9" s="81" t="str" cm="1">
        <f t="array" ref="AE9">INDEX('C203'!$H:$H,5+(COLUMN()-28)*21)</f>
        <v>9.14%</v>
      </c>
      <c r="AF9" s="81" t="str" cm="1">
        <f t="array" ref="AF9">INDEX('C203'!$H:$H,5+(COLUMN()-28)*21)</f>
        <v>17.39%</v>
      </c>
      <c r="AG9" s="81" t="str" cm="1">
        <f t="array" ref="AG9">INDEX('C203'!$H:$H,5+(COLUMN()-28)*21)</f>
        <v>17.50%</v>
      </c>
      <c r="AH9" s="81" t="str" cm="1">
        <f t="array" ref="AH9">INDEX('C203'!$H:$H,5+(COLUMN()-28)*21)</f>
        <v>13.24%</v>
      </c>
      <c r="AI9" s="81" t="str" cm="1">
        <f t="array" ref="AI9">INDEX('C203'!$H:$H,5+(COLUMN()-28)*21)</f>
        <v>12.62%</v>
      </c>
      <c r="AJ9" s="81" t="str" cm="1">
        <f t="array" ref="AJ9">INDEX('C203'!$H:$H,5+(COLUMN()-28)*21)</f>
        <v>11.94%</v>
      </c>
      <c r="AK9" s="81" t="str" cm="1">
        <f t="array" ref="AK9">INDEX('C203'!$H:$H,5+(COLUMN()-28)*21)</f>
        <v>15.89%</v>
      </c>
      <c r="AL9" s="81" t="str" cm="1">
        <f t="array" ref="AL9">INDEX('C203'!$H:$H,5+(COLUMN()-28)*21)</f>
        <v>19.99%</v>
      </c>
      <c r="AM9" s="81" t="str" cm="1">
        <f t="array" ref="AM9">INDEX('C203'!$H:$H,5+(COLUMN()-28)*21)</f>
        <v>16.50%</v>
      </c>
      <c r="AN9" s="81" t="str" cm="1">
        <f t="array" ref="AN9">INDEX('C203'!$H:$H,5+(COLUMN()-28)*21)</f>
        <v>10.85%</v>
      </c>
      <c r="AO9" s="81" t="str" cm="1">
        <f t="array" ref="AO9">INDEX('C203'!$H:$H,5+(COLUMN()-28)*21)</f>
        <v>11.88%</v>
      </c>
      <c r="AP9" s="81" t="str" cm="1">
        <f t="array" ref="AP9">INDEX('C203'!$H:$H,5+(COLUMN()-28)*21)</f>
        <v>18.46%</v>
      </c>
      <c r="AQ9" s="81" t="str" cm="1">
        <f t="array" ref="AQ9">INDEX('C203'!$H:$H,5+(COLUMN()-28)*21)</f>
        <v>19.03%</v>
      </c>
      <c r="AR9" s="81" t="str" cm="1">
        <f t="array" ref="AR9">INDEX('C203'!$H:$H,5+(COLUMN()-28)*21)</f>
        <v>21.49%</v>
      </c>
      <c r="AS9" s="81" t="str" cm="1">
        <f t="array" ref="AS9">INDEX('C203'!$H:$H,5+(COLUMN()-28)*21)</f>
        <v>13.22%</v>
      </c>
      <c r="AT9" s="81" t="str" cm="1">
        <f t="array" ref="AT9">INDEX('C203'!$H:$H,5+(COLUMN()-28)*21)</f>
        <v>15.81%</v>
      </c>
      <c r="AU9" s="81" t="str" cm="1">
        <f t="array" ref="AU9">INDEX('C203'!$H:$H,5+(COLUMN()-28)*21)</f>
        <v>10.67%</v>
      </c>
      <c r="AV9" s="87" t="str" cm="1">
        <f t="array" ref="AV9">INDEX('C203'!$H:$H,5+(COLUMN()-28)*21)</f>
        <v>8.59%</v>
      </c>
      <c r="AW9" s="81" t="str" cm="1">
        <f t="array" ref="AW9">INDEX('C203'!$H:$H,5+(COLUMN()-28)*21)</f>
        <v>9.75%</v>
      </c>
      <c r="AX9" s="81" t="str" cm="1">
        <f t="array" ref="AX9">INDEX('C203'!$H:$H,5+(COLUMN()-28)*21)</f>
        <v>17.12%</v>
      </c>
      <c r="AY9" s="81" t="str" cm="1">
        <f t="array" ref="AY9">INDEX('C203'!$H:$H,5+(COLUMN()-28)*21)</f>
        <v>17.05%</v>
      </c>
      <c r="AZ9" s="81" t="str" cm="1">
        <f t="array" ref="AZ9">INDEX('C203'!$H:$H,5+(COLUMN()-28)*21)</f>
        <v>18.42%</v>
      </c>
      <c r="BA9" s="81" t="str" cm="1">
        <f t="array" ref="BA9">INDEX('C203'!$H:$H,5+(COLUMN()-28)*21)</f>
        <v>11.65%</v>
      </c>
      <c r="BB9" s="110" cm="1">
        <f t="array" ref="BB9">_xlfn.NUMBERVALUE(INDEX('C203'!$N:$N,5+(COLUMN()-54)*21))</f>
        <v>9.4200000000000006E-2</v>
      </c>
      <c r="BC9" s="110" cm="1">
        <f t="array" ref="BC9">_xlfn.NUMBERVALUE(INDEX('C203'!$N:$N,5+(COLUMN()-54)*21))</f>
        <v>0.11210000000000001</v>
      </c>
      <c r="BD9" s="110" cm="1">
        <f t="array" ref="BD9">_xlfn.NUMBERVALUE(INDEX('C203'!$N:$N,5+(COLUMN()-54)*21))</f>
        <v>0.12089999999999999</v>
      </c>
      <c r="BE9" s="110" cm="1">
        <f t="array" ref="BE9">_xlfn.NUMBERVALUE(INDEX('C203'!$N:$N,5+(COLUMN()-54)*21))</f>
        <v>0.12330000000000001</v>
      </c>
      <c r="BF9" s="110" cm="1">
        <f t="array" ref="BF9">_xlfn.NUMBERVALUE(INDEX('C203'!$N:$N,5+(COLUMN()-54)*21))</f>
        <v>0.14710000000000001</v>
      </c>
      <c r="BG9" s="110" cm="1">
        <f t="array" ref="BG9">_xlfn.NUMBERVALUE(INDEX('C203'!$N:$N,5+(COLUMN()-54)*21))</f>
        <v>0.13669999999999999</v>
      </c>
      <c r="BH9" s="110" cm="1">
        <f t="array" ref="BH9">_xlfn.NUMBERVALUE(INDEX('C203'!$N:$N,5+(COLUMN()-54)*21))</f>
        <v>7.4099999999999999E-2</v>
      </c>
      <c r="BI9" s="110" cm="1">
        <f t="array" ref="BI9">_xlfn.NUMBERVALUE(INDEX('C203'!$N:$N,5+(COLUMN()-54)*21))</f>
        <v>0</v>
      </c>
      <c r="BJ9" s="110" cm="1">
        <f t="array" ref="BJ9">_xlfn.NUMBERVALUE(INDEX('C203'!$N:$N,5+(COLUMN()-54)*21))</f>
        <v>0.1244</v>
      </c>
      <c r="BK9" s="110" cm="1">
        <f t="array" ref="BK9">_xlfn.NUMBERVALUE(INDEX('C203'!$N:$N,5+(COLUMN()-54)*21))</f>
        <v>9.2300000000000007E-2</v>
      </c>
      <c r="BL9" s="110" cm="1">
        <f t="array" ref="BL9">_xlfn.NUMBERVALUE(INDEX('C203'!$N:$N,5+(COLUMN()-54)*21))</f>
        <v>0.11779999999999999</v>
      </c>
      <c r="BM9" s="110" cm="1">
        <f t="array" ref="BM9">_xlfn.NUMBERVALUE(INDEX('C203'!$N:$N,5+(COLUMN()-54)*21))</f>
        <v>0.1507</v>
      </c>
      <c r="BN9" s="110" cm="1">
        <f t="array" ref="BN9">_xlfn.NUMBERVALUE(INDEX('C203'!$N:$N,5+(COLUMN()-54)*21))</f>
        <v>0.13320000000000001</v>
      </c>
      <c r="BO9" s="110" cm="1">
        <f t="array" ref="BO9">_xlfn.NUMBERVALUE(INDEX('C203'!$N:$N,5+(COLUMN()-54)*21))</f>
        <v>0</v>
      </c>
      <c r="BP9" s="110" cm="1">
        <f t="array" ref="BP9">_xlfn.NUMBERVALUE(INDEX('C203'!$N:$N,5+(COLUMN()-54)*21))</f>
        <v>0.1079</v>
      </c>
      <c r="BQ9" s="110" cm="1">
        <f t="array" ref="BQ9">_xlfn.NUMBERVALUE(INDEX('C203'!$N:$N,5+(COLUMN()-54)*21))</f>
        <v>6.3500000000000001E-2</v>
      </c>
      <c r="BR9" s="110" cm="1">
        <f t="array" ref="BR9">_xlfn.NUMBERVALUE(INDEX('C203'!$N:$N,5+(COLUMN()-54)*21))</f>
        <v>7.0999999999999994E-2</v>
      </c>
      <c r="BS9" s="110" cm="1">
        <f t="array" ref="BS9">_xlfn.NUMBERVALUE(INDEX('C203'!$N:$N,5+(COLUMN()-54)*21))</f>
        <v>0.1108</v>
      </c>
      <c r="BT9" s="110" cm="1">
        <f t="array" ref="BT9">_xlfn.NUMBERVALUE(INDEX('C203'!$N:$N,5+(COLUMN()-54)*21))</f>
        <v>0.1143</v>
      </c>
      <c r="BU9" s="110" cm="1">
        <f t="array" ref="BU9">_xlfn.NUMBERVALUE(INDEX('C203'!$N:$N,5+(COLUMN()-54)*21))</f>
        <v>0.14099999999999999</v>
      </c>
      <c r="BV9" s="110" cm="1">
        <f t="array" ref="BV9">_xlfn.NUMBERVALUE(INDEX('C203'!$N:$N,5+(COLUMN()-54)*21))</f>
        <v>0.1449</v>
      </c>
      <c r="BW9" s="110" cm="1">
        <f t="array" ref="BW9">_xlfn.NUMBERVALUE(INDEX('C203'!$N:$N,5+(COLUMN()-54)*21))</f>
        <v>8.1799999999999998E-2</v>
      </c>
      <c r="BX9" s="110" cm="1">
        <f t="array" ref="BX9">_xlfn.NUMBERVALUE(INDEX('C203'!$N:$N,5+(COLUMN()-54)*21))</f>
        <v>9.9399999999999988E-2</v>
      </c>
      <c r="BY9" s="110" cm="1">
        <f t="array" ref="BY9">_xlfn.NUMBERVALUE(INDEX('C203'!$N:$N,5+(COLUMN()-54)*21))</f>
        <v>0</v>
      </c>
      <c r="BZ9" s="110" cm="1">
        <f t="array" ref="BZ9">_xlfn.NUMBERVALUE(INDEX('C203'!$N:$N,5+(COLUMN()-54)*21))</f>
        <v>0</v>
      </c>
      <c r="CA9" s="110" cm="1">
        <f t="array" ref="CA9">_xlfn.NUMBERVALUE(INDEX('C203'!$N:$N,5+(COLUMN()-54)*21))</f>
        <v>0</v>
      </c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O9" s="93" t="s">
        <v>1414</v>
      </c>
      <c r="DP9" s="95" cm="1">
        <f t="array" ref="DP9">INDEX('C203'!$H:$H,3+4*21)+INDEX('C203'!$H:$H,3+5*21)+INDEX('C203'!$H:$H,3+6*21)+INDEX('C203'!$H:$H,3+7*21)+INDEX('C203'!$H:$H,3+8*21)+INDEX('C203'!$H:$H,3+9*21)</f>
        <v>10296</v>
      </c>
      <c r="DQ9" s="101" cm="1">
        <f t="array" ref="DQ9">INDEX('C203'!$H:$H,3+10*21)+INDEX('C203'!$H:$H,3+11*21)+INDEX('C203'!$H:$H,3+12*21)+INDEX('C203'!$H:$H,3+13*21)+INDEX('C203'!$H:$H,3+14*21)+INDEX('C203'!$H:$H,3+15*21)</f>
        <v>18739</v>
      </c>
      <c r="DR9" s="101" cm="1">
        <f t="array" ref="DR9">INDEX('C203'!$H:$H,3+16*21)+INDEX('C203'!$H:$H,3+17*21)+INDEX('C203'!$H:$H,3+18*21)+INDEX('C203'!$H:$H,3+19*21)+INDEX('C203'!$H:$H,3+20*21)+INDEX('C203'!$H:$H,3+21*21)</f>
        <v>16747</v>
      </c>
      <c r="DT9" s="68"/>
      <c r="DU9" s="148"/>
      <c r="DV9" s="139"/>
      <c r="DW9" s="142"/>
      <c r="DX9" s="142"/>
      <c r="DY9" s="142"/>
      <c r="DZ9" s="142"/>
      <c r="EA9" s="139"/>
      <c r="EB9" s="70" t="s">
        <v>1740</v>
      </c>
      <c r="EC9" s="70" t="s">
        <v>1741</v>
      </c>
      <c r="ED9" s="70"/>
      <c r="EE9" s="22"/>
    </row>
    <row r="10" spans="1:141" x14ac:dyDescent="0.3">
      <c r="A10" s="38" t="s">
        <v>12</v>
      </c>
      <c r="B10" s="28"/>
      <c r="C10" s="28"/>
      <c r="D10" s="28"/>
      <c r="E10" s="28"/>
      <c r="F10" s="28"/>
      <c r="G10" s="32">
        <v>4.6600000000000003E-2</v>
      </c>
      <c r="H10" s="32">
        <v>2.7099999999999999E-2</v>
      </c>
      <c r="I10" s="32">
        <v>3.5299999999999998E-2</v>
      </c>
      <c r="J10" s="32">
        <v>3.8600000000000002E-2</v>
      </c>
      <c r="K10" s="32">
        <v>6.3600000000000004E-2</v>
      </c>
      <c r="L10" s="32">
        <v>7.9699999999999993E-2</v>
      </c>
      <c r="M10" s="32">
        <v>9.6100000000000005E-2</v>
      </c>
      <c r="N10" s="32">
        <v>5.16E-2</v>
      </c>
      <c r="O10" s="32">
        <v>0.1123</v>
      </c>
      <c r="P10" s="32">
        <v>8.1799999999999998E-2</v>
      </c>
      <c r="Q10" s="32">
        <v>7.3099999999999998E-2</v>
      </c>
      <c r="R10" s="32">
        <v>7.1599999999999997E-2</v>
      </c>
      <c r="S10" s="32">
        <v>4.3099999999999999E-2</v>
      </c>
      <c r="T10" s="32">
        <v>5.04E-2</v>
      </c>
      <c r="U10" s="32">
        <v>6.3500000000000001E-2</v>
      </c>
      <c r="V10" s="61" t="s">
        <v>211</v>
      </c>
      <c r="W10" s="61" t="s">
        <v>989</v>
      </c>
      <c r="X10" s="61" t="s">
        <v>96</v>
      </c>
      <c r="Y10" s="61" t="s">
        <v>1067</v>
      </c>
      <c r="Z10" s="28" t="str">
        <f>'C203'!$B405</f>
        <v>16.04%</v>
      </c>
      <c r="AA10" s="31" t="str">
        <f>'C203'!$B426</f>
        <v>10.87%</v>
      </c>
      <c r="AB10" s="81" t="str" cm="1">
        <f t="array" ref="AB10">INDEX('C203'!$H:$H,6+(COLUMN()-28)*21)</f>
        <v>8.85%</v>
      </c>
      <c r="AC10" s="81" t="str" cm="1">
        <f t="array" ref="AC10">INDEX('C203'!$H:$H,6+(COLUMN()-28)*21)</f>
        <v>7.01%</v>
      </c>
      <c r="AD10" s="81" t="str" cm="1">
        <f t="array" ref="AD10">INDEX('C203'!$H:$H,6+(COLUMN()-28)*21)</f>
        <v>5.83%</v>
      </c>
      <c r="AE10" s="81" t="str" cm="1">
        <f t="array" ref="AE10">INDEX('C203'!$H:$H,6+(COLUMN()-28)*21)</f>
        <v>0.00%</v>
      </c>
      <c r="AF10" s="81" t="str" cm="1">
        <f t="array" ref="AF10">INDEX('C203'!$H:$H,6+(COLUMN()-28)*21)</f>
        <v>11.37%</v>
      </c>
      <c r="AG10" s="81" t="str" cm="1">
        <f t="array" ref="AG10">INDEX('C203'!$H:$H,6+(COLUMN()-28)*21)</f>
        <v>12.22%</v>
      </c>
      <c r="AH10" s="81" t="str" cm="1">
        <f t="array" ref="AH10">INDEX('C203'!$H:$H,6+(COLUMN()-28)*21)</f>
        <v>7.79%</v>
      </c>
      <c r="AI10" s="81" t="str" cm="1">
        <f t="array" ref="AI10">INDEX('C203'!$H:$H,6+(COLUMN()-28)*21)</f>
        <v>10.08%</v>
      </c>
      <c r="AJ10" s="81" t="str" cm="1">
        <f t="array" ref="AJ10">INDEX('C203'!$H:$H,6+(COLUMN()-28)*21)</f>
        <v>8.90%</v>
      </c>
      <c r="AK10" s="81" t="str" cm="1">
        <f t="array" ref="AK10">INDEX('C203'!$H:$H,6+(COLUMN()-28)*21)</f>
        <v>13.97%</v>
      </c>
      <c r="AL10" s="81" t="str" cm="1">
        <f t="array" ref="AL10">INDEX('C203'!$H:$H,6+(COLUMN()-28)*21)</f>
        <v>11.17%</v>
      </c>
      <c r="AM10" s="81" t="str" cm="1">
        <f t="array" ref="AM10">INDEX('C203'!$H:$H,6+(COLUMN()-28)*21)</f>
        <v>10.79%</v>
      </c>
      <c r="AN10" s="81" t="str" cm="1">
        <f t="array" ref="AN10">INDEX('C203'!$H:$H,6+(COLUMN()-28)*21)</f>
        <v>9.72%</v>
      </c>
      <c r="AO10" s="81" t="str" cm="1">
        <f t="array" ref="AO10">INDEX('C203'!$H:$H,6+(COLUMN()-28)*21)</f>
        <v>9.41%</v>
      </c>
      <c r="AP10" s="81" t="str" cm="1">
        <f t="array" ref="AP10">INDEX('C203'!$H:$H,6+(COLUMN()-28)*21)</f>
        <v>11.81%</v>
      </c>
      <c r="AQ10" s="81" t="str" cm="1">
        <f t="array" ref="AQ10">INDEX('C203'!$H:$H,6+(COLUMN()-28)*21)</f>
        <v>12.71%</v>
      </c>
      <c r="AR10" s="81" t="str" cm="1">
        <f t="array" ref="AR10">INDEX('C203'!$H:$H,6+(COLUMN()-28)*21)</f>
        <v>12.49%</v>
      </c>
      <c r="AS10" s="81" t="str" cm="1">
        <f t="array" ref="AS10">INDEX('C203'!$H:$H,6+(COLUMN()-28)*21)</f>
        <v>10.00%</v>
      </c>
      <c r="AT10" s="81" t="str" cm="1">
        <f t="array" ref="AT10">INDEX('C203'!$H:$H,6+(COLUMN()-28)*21)</f>
        <v>12.95%</v>
      </c>
      <c r="AU10" s="81" t="str" cm="1">
        <f t="array" ref="AU10">INDEX('C203'!$H:$H,6+(COLUMN()-28)*21)</f>
        <v>9.23%</v>
      </c>
      <c r="AV10" s="87" t="str" cm="1">
        <f t="array" ref="AV10">INDEX('C203'!$H:$H,6+(COLUMN()-28)*21)</f>
        <v>7.57%</v>
      </c>
      <c r="AW10" s="81" t="str" cm="1">
        <f t="array" ref="AW10">INDEX('C203'!$H:$H,6+(COLUMN()-28)*21)</f>
        <v>7.77%</v>
      </c>
      <c r="AX10" s="81" t="str" cm="1">
        <f t="array" ref="AX10">INDEX('C203'!$H:$H,6+(COLUMN()-28)*21)</f>
        <v>11.54%</v>
      </c>
      <c r="AY10" s="81" t="str" cm="1">
        <f t="array" ref="AY10">INDEX('C203'!$H:$H,6+(COLUMN()-28)*21)</f>
        <v>8.98%</v>
      </c>
      <c r="AZ10" s="81" t="str" cm="1">
        <f t="array" ref="AZ10">INDEX('C203'!$H:$H,6+(COLUMN()-28)*21)</f>
        <v>10.98%</v>
      </c>
      <c r="BA10" s="81" t="str" cm="1">
        <f t="array" ref="BA10">INDEX('C203'!$H:$H,6+(COLUMN()-28)*21)</f>
        <v>8.32%</v>
      </c>
      <c r="BB10" s="110" cm="1">
        <f t="array" ref="BB10">_xlfn.NUMBERVALUE(INDEX('C203'!$N:$N,6+(COLUMN()-54)*21))</f>
        <v>6.7799999999999999E-2</v>
      </c>
      <c r="BC10" s="110" cm="1">
        <f t="array" ref="BC10">_xlfn.NUMBERVALUE(INDEX('C203'!$N:$N,6+(COLUMN()-54)*21))</f>
        <v>6.0499999999999998E-2</v>
      </c>
      <c r="BD10" s="110" cm="1">
        <f t="array" ref="BD10">_xlfn.NUMBERVALUE(INDEX('C203'!$N:$N,6+(COLUMN()-54)*21))</f>
        <v>9.7899999999999987E-2</v>
      </c>
      <c r="BE10" s="110" cm="1">
        <f t="array" ref="BE10">_xlfn.NUMBERVALUE(INDEX('C203'!$N:$N,6+(COLUMN()-54)*21))</f>
        <v>0.1153</v>
      </c>
      <c r="BF10" s="110" cm="1">
        <f t="array" ref="BF10">_xlfn.NUMBERVALUE(INDEX('C203'!$N:$N,6+(COLUMN()-54)*21))</f>
        <v>0.12689999999999999</v>
      </c>
      <c r="BG10" s="110" cm="1">
        <f t="array" ref="BG10">_xlfn.NUMBERVALUE(INDEX('C203'!$N:$N,6+(COLUMN()-54)*21))</f>
        <v>0.1048</v>
      </c>
      <c r="BH10" s="110" cm="1">
        <f t="array" ref="BH10">_xlfn.NUMBERVALUE(INDEX('C203'!$N:$N,6+(COLUMN()-54)*21))</f>
        <v>6.9900000000000004E-2</v>
      </c>
      <c r="BI10" s="110" cm="1">
        <f t="array" ref="BI10">_xlfn.NUMBERVALUE(INDEX('C203'!$N:$N,6+(COLUMN()-54)*21))</f>
        <v>0</v>
      </c>
      <c r="BJ10" s="110" cm="1">
        <f t="array" ref="BJ10">_xlfn.NUMBERVALUE(INDEX('C203'!$N:$N,6+(COLUMN()-54)*21))</f>
        <v>0.1091</v>
      </c>
      <c r="BK10" s="110" cm="1">
        <f t="array" ref="BK10">_xlfn.NUMBERVALUE(INDEX('C203'!$N:$N,6+(COLUMN()-54)*21))</f>
        <v>8.3699999999999997E-2</v>
      </c>
      <c r="BL10" s="110" cm="1">
        <f t="array" ref="BL10">_xlfn.NUMBERVALUE(INDEX('C203'!$N:$N,6+(COLUMN()-54)*21))</f>
        <v>8.3400000000000002E-2</v>
      </c>
      <c r="BM10" s="110" cm="1">
        <f t="array" ref="BM10">_xlfn.NUMBERVALUE(INDEX('C203'!$N:$N,6+(COLUMN()-54)*21))</f>
        <v>0.128</v>
      </c>
      <c r="BN10" s="110" cm="1">
        <f t="array" ref="BN10">_xlfn.NUMBERVALUE(INDEX('C203'!$N:$N,6+(COLUMN()-54)*21))</f>
        <v>9.8299999999999998E-2</v>
      </c>
      <c r="BO10" s="110" cm="1">
        <f t="array" ref="BO10">_xlfn.NUMBERVALUE(INDEX('C203'!$N:$N,6+(COLUMN()-54)*21))</f>
        <v>0</v>
      </c>
      <c r="BP10" s="110" cm="1">
        <f t="array" ref="BP10">_xlfn.NUMBERVALUE(INDEX('C203'!$N:$N,6+(COLUMN()-54)*21))</f>
        <v>9.1400000000000009E-2</v>
      </c>
      <c r="BQ10" s="110" cm="1">
        <f t="array" ref="BQ10">_xlfn.NUMBERVALUE(INDEX('C203'!$N:$N,6+(COLUMN()-54)*21))</f>
        <v>5.5199999999999999E-2</v>
      </c>
      <c r="BR10" s="110" cm="1">
        <f t="array" ref="BR10">_xlfn.NUMBERVALUE(INDEX('C203'!$N:$N,6+(COLUMN()-54)*21))</f>
        <v>5.4000000000000006E-2</v>
      </c>
      <c r="BS10" s="110" cm="1">
        <f t="array" ref="BS10">_xlfn.NUMBERVALUE(INDEX('C203'!$N:$N,6+(COLUMN()-54)*21))</f>
        <v>9.2699999999999991E-2</v>
      </c>
      <c r="BT10" s="110" cm="1">
        <f t="array" ref="BT10">_xlfn.NUMBERVALUE(INDEX('C203'!$N:$N,6+(COLUMN()-54)*21))</f>
        <v>7.6299999999999993E-2</v>
      </c>
      <c r="BU10" s="110" cm="1">
        <f t="array" ref="BU10">_xlfn.NUMBERVALUE(INDEX('C203'!$N:$N,6+(COLUMN()-54)*21))</f>
        <v>8.2699999999999996E-2</v>
      </c>
      <c r="BV10" s="110" cm="1">
        <f t="array" ref="BV10">_xlfn.NUMBERVALUE(INDEX('C203'!$N:$N,6+(COLUMN()-54)*21))</f>
        <v>7.2700000000000001E-2</v>
      </c>
      <c r="BW10" s="110" cm="1">
        <f t="array" ref="BW10">_xlfn.NUMBERVALUE(INDEX('C203'!$N:$N,6+(COLUMN()-54)*21))</f>
        <v>4.1299999999999996E-2</v>
      </c>
      <c r="BX10" s="110" cm="1">
        <f t="array" ref="BX10">_xlfn.NUMBERVALUE(INDEX('C203'!$N:$N,6+(COLUMN()-54)*21))</f>
        <v>6.5700000000000008E-2</v>
      </c>
      <c r="BY10" s="110" cm="1">
        <f t="array" ref="BY10">_xlfn.NUMBERVALUE(INDEX('C203'!$N:$N,6+(COLUMN()-54)*21))</f>
        <v>0</v>
      </c>
      <c r="BZ10" s="110" cm="1">
        <f t="array" ref="BZ10">_xlfn.NUMBERVALUE(INDEX('C203'!$N:$N,6+(COLUMN()-54)*21))</f>
        <v>0</v>
      </c>
      <c r="CA10" s="110" cm="1">
        <f t="array" ref="CA10">_xlfn.NUMBERVALUE(INDEX('C203'!$N:$N,6+(COLUMN()-54)*21))</f>
        <v>0</v>
      </c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22"/>
      <c r="DO10" s="93" t="s">
        <v>1418</v>
      </c>
      <c r="DP10" s="96" cm="1">
        <f t="array" ref="DP10">INDEX('C203'!$H:$H,9+4*21)+INDEX('C203'!$H:$H,9+5*21)+INDEX('C203'!$H:$H,9+6*21)+INDEX('C203'!$H:$H,9+7*21)+INDEX('C203'!$H:$H,9+8*21)+INDEX('C203'!$H:$H,9+9*21)</f>
        <v>1093</v>
      </c>
      <c r="DQ10" s="74" cm="1">
        <f t="array" ref="DQ10">INDEX('C203'!$H:$H,9+10*21)+INDEX('C203'!$H:$H,9+11*21)+INDEX('C203'!$H:$H,9+12*21)+INDEX('C203'!$H:$H,9+13*21)+INDEX('C203'!$H:$H,9+14*21)+INDEX('C203'!$H:$H,9+15*21)</f>
        <v>2059</v>
      </c>
      <c r="DR10" s="74" cm="1">
        <f t="array" ref="DR10">INDEX('C203'!$H:$H,9+16*21)+INDEX('C203'!$H:$H,9+17*21)+INDEX('C203'!$H:$H,9+18*21)+INDEX('C203'!$H:$H,9+19*21)+INDEX('C203'!$H:$H,9+20*21)+INDEX('C203'!$H:$H,9+21*21)</f>
        <v>1619</v>
      </c>
      <c r="DS10" s="22"/>
      <c r="DT10" s="68"/>
      <c r="DU10" s="148"/>
      <c r="DV10" s="139"/>
      <c r="DW10" s="142"/>
      <c r="DX10" s="142"/>
      <c r="DY10" s="142"/>
      <c r="DZ10" s="142"/>
      <c r="EA10" s="139"/>
      <c r="EB10" s="70" t="s">
        <v>1725</v>
      </c>
      <c r="EC10" s="70"/>
      <c r="ED10" s="70"/>
      <c r="EE10" s="22"/>
    </row>
    <row r="11" spans="1:141" x14ac:dyDescent="0.3">
      <c r="A11" s="38" t="s">
        <v>17</v>
      </c>
      <c r="B11" s="28"/>
      <c r="C11" s="28"/>
      <c r="D11" s="28"/>
      <c r="E11" s="28"/>
      <c r="F11" s="28"/>
      <c r="G11" s="32">
        <v>1.9199999999999998E-2</v>
      </c>
      <c r="H11" s="32">
        <v>5.3100000000000001E-2</v>
      </c>
      <c r="I11" s="32">
        <v>5.0500000000000003E-2</v>
      </c>
      <c r="J11" s="32">
        <v>2.4799999999999999E-2</v>
      </c>
      <c r="K11" s="32">
        <v>2.3800000000000002E-2</v>
      </c>
      <c r="L11" s="32">
        <v>2.3099999999999999E-2</v>
      </c>
      <c r="M11" s="32">
        <v>3.1E-2</v>
      </c>
      <c r="N11" s="32">
        <v>3.04E-2</v>
      </c>
      <c r="O11" s="32">
        <v>5.0999999999999997E-2</v>
      </c>
      <c r="P11" s="32">
        <v>4.3400000000000001E-2</v>
      </c>
      <c r="Q11" s="32">
        <v>5.9200000000000003E-2</v>
      </c>
      <c r="R11" s="32">
        <v>6.4299999999999996E-2</v>
      </c>
      <c r="S11" s="32">
        <v>5.5800000000000002E-2</v>
      </c>
      <c r="T11" s="32">
        <v>9.9699999999999997E-2</v>
      </c>
      <c r="U11" s="32">
        <v>6.0999999999999999E-2</v>
      </c>
      <c r="V11" s="61" t="s">
        <v>368</v>
      </c>
      <c r="W11" s="61" t="s">
        <v>677</v>
      </c>
      <c r="X11" s="61" t="s">
        <v>1030</v>
      </c>
      <c r="Y11" s="61" t="s">
        <v>1071</v>
      </c>
      <c r="Z11" s="28" t="str">
        <f>'C203'!$B406</f>
        <v>4.55%</v>
      </c>
      <c r="AA11" s="31" t="str">
        <f>'C203'!$B427</f>
        <v>9.04%</v>
      </c>
      <c r="AB11" s="81" t="str" cm="1">
        <f t="array" ref="AB11">INDEX('C203'!$H:$H,7+(COLUMN()-28)*21)</f>
        <v>5.81%</v>
      </c>
      <c r="AC11" s="81" t="str" cm="1">
        <f t="array" ref="AC11">INDEX('C203'!$H:$H,7+(COLUMN()-28)*21)</f>
        <v>9.13%</v>
      </c>
      <c r="AD11" s="81" t="str" cm="1">
        <f t="array" ref="AD11">INDEX('C203'!$H:$H,7+(COLUMN()-28)*21)</f>
        <v>7.14%</v>
      </c>
      <c r="AE11" s="81" t="str" cm="1">
        <f t="array" ref="AE11">INDEX('C203'!$H:$H,7+(COLUMN()-28)*21)</f>
        <v>8.88%</v>
      </c>
      <c r="AF11" s="81" t="str" cm="1">
        <f t="array" ref="AF11">INDEX('C203'!$H:$H,7+(COLUMN()-28)*21)</f>
        <v>6.02%</v>
      </c>
      <c r="AG11" s="81" t="str" cm="1">
        <f t="array" ref="AG11">INDEX('C203'!$H:$H,7+(COLUMN()-28)*21)</f>
        <v>5.33%</v>
      </c>
      <c r="AH11" s="81" t="str" cm="1">
        <f t="array" ref="AH11">INDEX('C203'!$H:$H,7+(COLUMN()-28)*21)</f>
        <v>5.46%</v>
      </c>
      <c r="AI11" s="81" t="str" cm="1">
        <f t="array" ref="AI11">INDEX('C203'!$H:$H,7+(COLUMN()-28)*21)</f>
        <v>2.47%</v>
      </c>
      <c r="AJ11" s="81" t="str" cm="1">
        <f t="array" ref="AJ11">INDEX('C203'!$H:$H,7+(COLUMN()-28)*21)</f>
        <v>2.99%</v>
      </c>
      <c r="AK11" s="81" t="str" cm="1">
        <f t="array" ref="AK11">INDEX('C203'!$H:$H,7+(COLUMN()-28)*21)</f>
        <v>1.92%</v>
      </c>
      <c r="AL11" s="81" t="str" cm="1">
        <f t="array" ref="AL11">INDEX('C203'!$H:$H,7+(COLUMN()-28)*21)</f>
        <v>8.75%</v>
      </c>
      <c r="AM11" s="81" t="str" cm="1">
        <f t="array" ref="AM11">INDEX('C203'!$H:$H,7+(COLUMN()-28)*21)</f>
        <v>5.68%</v>
      </c>
      <c r="AN11" s="81" t="str" cm="1">
        <f t="array" ref="AN11">INDEX('C203'!$H:$H,7+(COLUMN()-28)*21)</f>
        <v>1.09%</v>
      </c>
      <c r="AO11" s="81" t="str" cm="1">
        <f t="array" ref="AO11">INDEX('C203'!$H:$H,7+(COLUMN()-28)*21)</f>
        <v>2.47%</v>
      </c>
      <c r="AP11" s="81" t="str" cm="1">
        <f t="array" ref="AP11">INDEX('C203'!$H:$H,7+(COLUMN()-28)*21)</f>
        <v>6.60%</v>
      </c>
      <c r="AQ11" s="81" t="str" cm="1">
        <f t="array" ref="AQ11">INDEX('C203'!$H:$H,7+(COLUMN()-28)*21)</f>
        <v>6.26%</v>
      </c>
      <c r="AR11" s="81" t="str" cm="1">
        <f t="array" ref="AR11">INDEX('C203'!$H:$H,7+(COLUMN()-28)*21)</f>
        <v>8.94%</v>
      </c>
      <c r="AS11" s="81" t="str" cm="1">
        <f t="array" ref="AS11">INDEX('C203'!$H:$H,7+(COLUMN()-28)*21)</f>
        <v>3.22%</v>
      </c>
      <c r="AT11" s="81" t="str" cm="1">
        <f t="array" ref="AT11">INDEX('C203'!$H:$H,7+(COLUMN()-28)*21)</f>
        <v>2.86%</v>
      </c>
      <c r="AU11" s="81" t="str" cm="1">
        <f t="array" ref="AU11">INDEX('C203'!$H:$H,7+(COLUMN()-28)*21)</f>
        <v>1.44%</v>
      </c>
      <c r="AV11" s="87" t="str" cm="1">
        <f t="array" ref="AV11">INDEX('C203'!$H:$H,7+(COLUMN()-28)*21)</f>
        <v>0.99%</v>
      </c>
      <c r="AW11" s="81" t="str" cm="1">
        <f t="array" ref="AW11">INDEX('C203'!$H:$H,7+(COLUMN()-28)*21)</f>
        <v>1.98%</v>
      </c>
      <c r="AX11" s="81" t="str" cm="1">
        <f t="array" ref="AX11">INDEX('C203'!$H:$H,7+(COLUMN()-28)*21)</f>
        <v>5.53%</v>
      </c>
      <c r="AY11" s="81" t="str" cm="1">
        <f t="array" ref="AY11">INDEX('C203'!$H:$H,7+(COLUMN()-28)*21)</f>
        <v>8.04%</v>
      </c>
      <c r="AZ11" s="81" t="str" cm="1">
        <f t="array" ref="AZ11">INDEX('C203'!$H:$H,7+(COLUMN()-28)*21)</f>
        <v>7.44%</v>
      </c>
      <c r="BA11" s="81" t="str" cm="1">
        <f t="array" ref="BA11">INDEX('C203'!$H:$H,7+(COLUMN()-28)*21)</f>
        <v>3.33%</v>
      </c>
      <c r="BB11" s="110" cm="1">
        <f t="array" ref="BB11">_xlfn.NUMBERVALUE(INDEX('C203'!$N:$N,7+(COLUMN()-54)*21))</f>
        <v>2.64E-2</v>
      </c>
      <c r="BC11" s="110" cm="1">
        <f t="array" ref="BC11">_xlfn.NUMBERVALUE(INDEX('C203'!$N:$N,7+(COLUMN()-54)*21))</f>
        <v>5.16E-2</v>
      </c>
      <c r="BD11" s="110" cm="1">
        <f t="array" ref="BD11">_xlfn.NUMBERVALUE(INDEX('C203'!$N:$N,7+(COLUMN()-54)*21))</f>
        <v>2.3099999999999999E-2</v>
      </c>
      <c r="BE11" s="110" cm="1">
        <f t="array" ref="BE11">_xlfn.NUMBERVALUE(INDEX('C203'!$N:$N,7+(COLUMN()-54)*21))</f>
        <v>8.0000000000000002E-3</v>
      </c>
      <c r="BF11" s="110" cm="1">
        <f t="array" ref="BF11">_xlfn.NUMBERVALUE(INDEX('C203'!$N:$N,7+(COLUMN()-54)*21))</f>
        <v>2.0199999999999999E-2</v>
      </c>
      <c r="BG11" s="110" cm="1">
        <f t="array" ref="BG11">_xlfn.NUMBERVALUE(INDEX('C203'!$N:$N,7+(COLUMN()-54)*21))</f>
        <v>3.1800000000000002E-2</v>
      </c>
      <c r="BH11" s="110" cm="1">
        <f t="array" ref="BH11">_xlfn.NUMBERVALUE(INDEX('C203'!$N:$N,7+(COLUMN()-54)*21))</f>
        <v>4.1999999999999997E-3</v>
      </c>
      <c r="BI11" s="110" cm="1">
        <f t="array" ref="BI11">_xlfn.NUMBERVALUE(INDEX('C203'!$N:$N,7+(COLUMN()-54)*21))</f>
        <v>0</v>
      </c>
      <c r="BJ11" s="110" cm="1">
        <f t="array" ref="BJ11">_xlfn.NUMBERVALUE(INDEX('C203'!$N:$N,7+(COLUMN()-54)*21))</f>
        <v>1.54E-2</v>
      </c>
      <c r="BK11" s="110" cm="1">
        <f t="array" ref="BK11">_xlfn.NUMBERVALUE(INDEX('C203'!$N:$N,7+(COLUMN()-54)*21))</f>
        <v>8.6E-3</v>
      </c>
      <c r="BL11" s="110" cm="1">
        <f t="array" ref="BL11">_xlfn.NUMBERVALUE(INDEX('C203'!$N:$N,7+(COLUMN()-54)*21))</f>
        <v>3.4200000000000001E-2</v>
      </c>
      <c r="BM11" s="110" cm="1">
        <f t="array" ref="BM11">_xlfn.NUMBERVALUE(INDEX('C203'!$N:$N,7+(COLUMN()-54)*21))</f>
        <v>2.2400000000000003E-2</v>
      </c>
      <c r="BN11" s="110" cm="1">
        <f t="array" ref="BN11">_xlfn.NUMBERVALUE(INDEX('C203'!$N:$N,7+(COLUMN()-54)*21))</f>
        <v>3.49E-2</v>
      </c>
      <c r="BO11" s="110" cm="1">
        <f t="array" ref="BO11">_xlfn.NUMBERVALUE(INDEX('C203'!$N:$N,7+(COLUMN()-54)*21))</f>
        <v>0</v>
      </c>
      <c r="BP11" s="110" cm="1">
        <f t="array" ref="BP11">_xlfn.NUMBERVALUE(INDEX('C203'!$N:$N,7+(COLUMN()-54)*21))</f>
        <v>1.6200000000000003E-2</v>
      </c>
      <c r="BQ11" s="110" cm="1">
        <f t="array" ref="BQ11">_xlfn.NUMBERVALUE(INDEX('C203'!$N:$N,7+(COLUMN()-54)*21))</f>
        <v>8.0000000000000002E-3</v>
      </c>
      <c r="BR11" s="110" cm="1">
        <f t="array" ref="BR11">_xlfn.NUMBERVALUE(INDEX('C203'!$N:$N,7+(COLUMN()-54)*21))</f>
        <v>1.7100000000000001E-2</v>
      </c>
      <c r="BS11" s="110" cm="1">
        <f t="array" ref="BS11">_xlfn.NUMBERVALUE(INDEX('C203'!$N:$N,7+(COLUMN()-54)*21))</f>
        <v>1.8200000000000001E-2</v>
      </c>
      <c r="BT11" s="110" cm="1">
        <f t="array" ref="BT11">_xlfn.NUMBERVALUE(INDEX('C203'!$N:$N,7+(COLUMN()-54)*21))</f>
        <v>3.7999999999999999E-2</v>
      </c>
      <c r="BU11" s="110" cm="1">
        <f t="array" ref="BU11">_xlfn.NUMBERVALUE(INDEX('C203'!$N:$N,7+(COLUMN()-54)*21))</f>
        <v>5.7300000000000004E-2</v>
      </c>
      <c r="BV11" s="110" cm="1">
        <f t="array" ref="BV11">_xlfn.NUMBERVALUE(INDEX('C203'!$N:$N,7+(COLUMN()-54)*21))</f>
        <v>7.2300000000000003E-2</v>
      </c>
      <c r="BW11" s="110" cm="1">
        <f t="array" ref="BW11">_xlfn.NUMBERVALUE(INDEX('C203'!$N:$N,7+(COLUMN()-54)*21))</f>
        <v>4.0500000000000001E-2</v>
      </c>
      <c r="BX11" s="110" cm="1">
        <f t="array" ref="BX11">_xlfn.NUMBERVALUE(INDEX('C203'!$N:$N,7+(COLUMN()-54)*21))</f>
        <v>3.3599999999999998E-2</v>
      </c>
      <c r="BY11" s="110" cm="1">
        <f t="array" ref="BY11">_xlfn.NUMBERVALUE(INDEX('C203'!$N:$N,7+(COLUMN()-54)*21))</f>
        <v>0</v>
      </c>
      <c r="BZ11" s="110" cm="1">
        <f t="array" ref="BZ11">_xlfn.NUMBERVALUE(INDEX('C203'!$N:$N,7+(COLUMN()-54)*21))</f>
        <v>0</v>
      </c>
      <c r="CA11" s="110" cm="1">
        <f t="array" ref="CA11">_xlfn.NUMBERVALUE(INDEX('C203'!$N:$N,7+(COLUMN()-54)*21))</f>
        <v>0</v>
      </c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22"/>
      <c r="DO11" s="93" t="s">
        <v>1419</v>
      </c>
      <c r="DP11" s="96" cm="1">
        <f t="array" ref="DP11">INDEX('C203'!$H:$H,15+4*21)+INDEX('C203'!$H:$H,15+5*21)+INDEX('C203'!$H:$H,15+6*21)+INDEX('C203'!$H:$H,15+7*21)+INDEX('C203'!$H:$H,15+8*21)+INDEX('C203'!$H:$H,15+9*21)</f>
        <v>431</v>
      </c>
      <c r="DQ11" s="74" cm="1">
        <f t="array" ref="DQ11">INDEX('C203'!$H:$H,15+10*21)+INDEX('C203'!$H:$H,15+11*21)+INDEX('C203'!$H:$H,15+12*21)+INDEX('C203'!$H:$H,15+13*21)+INDEX('C203'!$H:$H,15+14*21)+INDEX('C203'!$H:$H,15+15*21)</f>
        <v>971</v>
      </c>
      <c r="DR11" s="74" cm="1">
        <f t="array" ref="DR11">INDEX('C203'!$H:$H,15+16*21)+INDEX('C203'!$H:$H,15+17*21)+INDEX('C203'!$H:$H,15+18*21)+INDEX('C203'!$H:$H,15+19*21)+INDEX('C203'!$H:$H,15+20*21)+INDEX('C203'!$H:$H,15+21*21)</f>
        <v>441</v>
      </c>
      <c r="DS11" s="22"/>
      <c r="DT11" s="68"/>
      <c r="DU11" s="148">
        <v>5</v>
      </c>
      <c r="DV11" s="139" t="s">
        <v>940</v>
      </c>
      <c r="DW11" s="139" t="s">
        <v>946</v>
      </c>
      <c r="DX11" s="139"/>
      <c r="DY11" s="139"/>
      <c r="DZ11" s="139"/>
      <c r="EA11" s="139" t="s">
        <v>1192</v>
      </c>
      <c r="EB11" s="125" t="s">
        <v>1726</v>
      </c>
      <c r="EC11" s="70"/>
      <c r="ED11" s="70"/>
      <c r="EE11" s="117"/>
      <c r="EF11" s="23"/>
      <c r="EG11" s="23"/>
      <c r="EH11" s="23"/>
      <c r="EI11" s="23"/>
      <c r="EJ11" s="23"/>
      <c r="EK11" s="22"/>
    </row>
    <row r="12" spans="1:141" x14ac:dyDescent="0.3">
      <c r="A12" s="38" t="s">
        <v>22</v>
      </c>
      <c r="B12" s="28"/>
      <c r="C12" s="28"/>
      <c r="D12" s="28"/>
      <c r="E12" s="28"/>
      <c r="F12" s="28"/>
      <c r="G12" s="32">
        <v>0</v>
      </c>
      <c r="H12" s="32">
        <v>0</v>
      </c>
      <c r="I12" s="32">
        <v>1E-3</v>
      </c>
      <c r="J12" s="32">
        <v>6.9999999999999999E-4</v>
      </c>
      <c r="K12" s="32">
        <v>1.6000000000000001E-3</v>
      </c>
      <c r="L12" s="32">
        <v>8.9999999999999998E-4</v>
      </c>
      <c r="M12" s="32">
        <v>2.0999999999999999E-3</v>
      </c>
      <c r="N12" s="32">
        <v>1.7399999999999999E-2</v>
      </c>
      <c r="O12" s="32">
        <v>1.09E-2</v>
      </c>
      <c r="P12" s="32">
        <v>8.0000000000000004E-4</v>
      </c>
      <c r="Q12" s="32">
        <v>0</v>
      </c>
      <c r="R12" s="32">
        <v>0</v>
      </c>
      <c r="S12" s="32">
        <v>0</v>
      </c>
      <c r="T12" s="32">
        <v>0</v>
      </c>
      <c r="U12" s="32">
        <v>1E-3</v>
      </c>
      <c r="V12" s="61" t="s">
        <v>47</v>
      </c>
      <c r="W12" s="61" t="s">
        <v>138</v>
      </c>
      <c r="X12" s="61" t="s">
        <v>176</v>
      </c>
      <c r="Y12" s="61" t="s">
        <v>309</v>
      </c>
      <c r="Z12" s="28" t="str">
        <f>'C203'!$B407</f>
        <v>0.00%</v>
      </c>
      <c r="AA12" s="31" t="str">
        <f>'C203'!$B428</f>
        <v>0.00%</v>
      </c>
      <c r="AB12" s="81" t="str" cm="1">
        <f t="array" ref="AB12">INDEX('C203'!$H:$H,8+(COLUMN()-28)*21)</f>
        <v>0.00%</v>
      </c>
      <c r="AC12" s="81" t="str" cm="1">
        <f t="array" ref="AC12">INDEX('C203'!$H:$H,8+(COLUMN()-28)*21)</f>
        <v>0.00%</v>
      </c>
      <c r="AD12" s="81" t="str" cm="1">
        <f t="array" ref="AD12">INDEX('C203'!$H:$H,8+(COLUMN()-28)*21)</f>
        <v>0.00%</v>
      </c>
      <c r="AE12" s="81" t="str" cm="1">
        <f t="array" ref="AE12">INDEX('C203'!$H:$H,8+(COLUMN()-28)*21)</f>
        <v>0.00%</v>
      </c>
      <c r="AF12" s="81" t="str" cm="1">
        <f t="array" ref="AF12">INDEX('C203'!$H:$H,8+(COLUMN()-28)*21)</f>
        <v>0.00%</v>
      </c>
      <c r="AG12" s="81" t="str" cm="1">
        <f t="array" ref="AG12">INDEX('C203'!$H:$H,8+(COLUMN()-28)*21)</f>
        <v>0.00%</v>
      </c>
      <c r="AH12" s="81" t="str" cm="1">
        <f t="array" ref="AH12">INDEX('C203'!$H:$H,8+(COLUMN()-28)*21)</f>
        <v>0.16%</v>
      </c>
      <c r="AI12" s="81" t="str" cm="1">
        <f t="array" ref="AI12">INDEX('C203'!$H:$H,8+(COLUMN()-28)*21)</f>
        <v>0.00%</v>
      </c>
      <c r="AJ12" s="81" t="str" cm="1">
        <f t="array" ref="AJ12">INDEX('C203'!$H:$H,8+(COLUMN()-28)*21)</f>
        <v>0.06%</v>
      </c>
      <c r="AK12" s="81" t="str" cm="1">
        <f t="array" ref="AK12">INDEX('C203'!$H:$H,8+(COLUMN()-28)*21)</f>
        <v>0.00%</v>
      </c>
      <c r="AL12" s="81" t="str" cm="1">
        <f t="array" ref="AL12">INDEX('C203'!$H:$H,8+(COLUMN()-28)*21)</f>
        <v>0.00%</v>
      </c>
      <c r="AM12" s="81" t="str" cm="1">
        <f t="array" ref="AM12">INDEX('C203'!$H:$H,8+(COLUMN()-28)*21)</f>
        <v>0.03%</v>
      </c>
      <c r="AN12" s="81" t="str" cm="1">
        <f t="array" ref="AN12">INDEX('C203'!$H:$H,8+(COLUMN()-28)*21)</f>
        <v>0.00%</v>
      </c>
      <c r="AO12" s="81" t="str" cm="1">
        <f t="array" ref="AO12">INDEX('C203'!$H:$H,8+(COLUMN()-28)*21)</f>
        <v>0.00%</v>
      </c>
      <c r="AP12" s="81" t="str" cm="1">
        <f t="array" ref="AP12">INDEX('C203'!$H:$H,8+(COLUMN()-28)*21)</f>
        <v>0.03%</v>
      </c>
      <c r="AQ12" s="81" t="str" cm="1">
        <f t="array" ref="AQ12">INDEX('C203'!$H:$H,8+(COLUMN()-28)*21)</f>
        <v>2.01%</v>
      </c>
      <c r="AR12" s="81" t="str" cm="1">
        <f t="array" ref="AR12">INDEX('C203'!$H:$H,8+(COLUMN()-28)*21)</f>
        <v>0.43%</v>
      </c>
      <c r="AS12" s="81" t="str" cm="1">
        <f t="array" ref="AS12">INDEX('C203'!$H:$H,8+(COLUMN()-28)*21)</f>
        <v>0.22%</v>
      </c>
      <c r="AT12" s="81" t="str" cm="1">
        <f t="array" ref="AT12">INDEX('C203'!$H:$H,8+(COLUMN()-28)*21)</f>
        <v>0.18%</v>
      </c>
      <c r="AU12" s="81" t="str" cm="1">
        <f t="array" ref="AU12">INDEX('C203'!$H:$H,8+(COLUMN()-28)*21)</f>
        <v>0.08%</v>
      </c>
      <c r="AV12" s="87" t="str" cm="1">
        <f t="array" ref="AV12">INDEX('C203'!$H:$H,8+(COLUMN()-28)*21)</f>
        <v>0.08%</v>
      </c>
      <c r="AW12" s="81" t="str" cm="1">
        <f t="array" ref="AW12">INDEX('C203'!$H:$H,8+(COLUMN()-28)*21)</f>
        <v>0.07%</v>
      </c>
      <c r="AX12" s="81" t="str" cm="1">
        <f t="array" ref="AX12">INDEX('C203'!$H:$H,8+(COLUMN()-28)*21)</f>
        <v>0.11%</v>
      </c>
      <c r="AY12" s="81" t="str" cm="1">
        <f t="array" ref="AY12">INDEX('C203'!$H:$H,8+(COLUMN()-28)*21)</f>
        <v>0.10%</v>
      </c>
      <c r="AZ12" s="81" t="str" cm="1">
        <f t="array" ref="AZ12">INDEX('C203'!$H:$H,8+(COLUMN()-28)*21)</f>
        <v>0.05%</v>
      </c>
      <c r="BA12" s="81" t="str" cm="1">
        <f t="array" ref="BA12">INDEX('C203'!$H:$H,8+(COLUMN()-28)*21)</f>
        <v>0.32%</v>
      </c>
      <c r="BB12" s="110" cm="1">
        <f t="array" ref="BB12">_xlfn.NUMBERVALUE(INDEX('C203'!$N:$N,8+(COLUMN()-54)*21))</f>
        <v>1.2999999999999999E-3</v>
      </c>
      <c r="BC12" s="110" cm="1">
        <f t="array" ref="BC12">_xlfn.NUMBERVALUE(INDEX('C203'!$N:$N,8+(COLUMN()-54)*21))</f>
        <v>2.7999999999999997E-2</v>
      </c>
      <c r="BD12" s="110" cm="1">
        <f t="array" ref="BD12">_xlfn.NUMBERVALUE(INDEX('C203'!$N:$N,8+(COLUMN()-54)*21))</f>
        <v>0</v>
      </c>
      <c r="BE12" s="110" cm="1">
        <f t="array" ref="BE12">_xlfn.NUMBERVALUE(INDEX('C203'!$N:$N,8+(COLUMN()-54)*21))</f>
        <v>1.6000000000000001E-3</v>
      </c>
      <c r="BF12" s="110" cm="1">
        <f t="array" ref="BF12">_xlfn.NUMBERVALUE(INDEX('C203'!$N:$N,8+(COLUMN()-54)*21))</f>
        <v>1.1000000000000001E-3</v>
      </c>
      <c r="BG12" s="110" cm="1">
        <f t="array" ref="BG12">_xlfn.NUMBERVALUE(INDEX('C203'!$N:$N,8+(COLUMN()-54)*21))</f>
        <v>1.1000000000000001E-3</v>
      </c>
      <c r="BH12" s="110" cm="1">
        <f t="array" ref="BH12">_xlfn.NUMBERVALUE(INDEX('C203'!$N:$N,8+(COLUMN()-54)*21))</f>
        <v>8.9999999999999998E-4</v>
      </c>
      <c r="BI12" s="110" cm="1">
        <f t="array" ref="BI12">_xlfn.NUMBERVALUE(INDEX('C203'!$N:$N,8+(COLUMN()-54)*21))</f>
        <v>0</v>
      </c>
      <c r="BJ12" s="110" cm="1">
        <f t="array" ref="BJ12">_xlfn.NUMBERVALUE(INDEX('C203'!$N:$N,8+(COLUMN()-54)*21))</f>
        <v>8.0000000000000004E-4</v>
      </c>
      <c r="BK12" s="110" cm="1">
        <f t="array" ref="BK12">_xlfn.NUMBERVALUE(INDEX('C203'!$N:$N,8+(COLUMN()-54)*21))</f>
        <v>0</v>
      </c>
      <c r="BL12" s="110" cm="1">
        <f t="array" ref="BL12">_xlfn.NUMBERVALUE(INDEX('C203'!$N:$N,8+(COLUMN()-54)*21))</f>
        <v>8.0000000000000004E-4</v>
      </c>
      <c r="BM12" s="110" cm="1">
        <f t="array" ref="BM12">_xlfn.NUMBERVALUE(INDEX('C203'!$N:$N,8+(COLUMN()-54)*21))</f>
        <v>0</v>
      </c>
      <c r="BN12" s="110" cm="1">
        <f t="array" ref="BN12">_xlfn.NUMBERVALUE(INDEX('C203'!$N:$N,8+(COLUMN()-54)*21))</f>
        <v>0</v>
      </c>
      <c r="BO12" s="110" cm="1">
        <f t="array" ref="BO12">_xlfn.NUMBERVALUE(INDEX('C203'!$N:$N,8+(COLUMN()-54)*21))</f>
        <v>0</v>
      </c>
      <c r="BP12" s="110" cm="1">
        <f t="array" ref="BP12">_xlfn.NUMBERVALUE(INDEX('C203'!$N:$N,8+(COLUMN()-54)*21))</f>
        <v>1E-3</v>
      </c>
      <c r="BQ12" s="110" cm="1">
        <f t="array" ref="BQ12">_xlfn.NUMBERVALUE(INDEX('C203'!$N:$N,8+(COLUMN()-54)*21))</f>
        <v>1E-3</v>
      </c>
      <c r="BR12" s="110" cm="1">
        <f t="array" ref="BR12">_xlfn.NUMBERVALUE(INDEX('C203'!$N:$N,8+(COLUMN()-54)*21))</f>
        <v>1.6000000000000001E-3</v>
      </c>
      <c r="BS12" s="110" cm="1">
        <f t="array" ref="BS12">_xlfn.NUMBERVALUE(INDEX('C203'!$N:$N,8+(COLUMN()-54)*21))</f>
        <v>1.1000000000000001E-3</v>
      </c>
      <c r="BT12" s="110" cm="1">
        <f t="array" ref="BT12">_xlfn.NUMBERVALUE(INDEX('C203'!$N:$N,8+(COLUMN()-54)*21))</f>
        <v>1.0700000000000001E-2</v>
      </c>
      <c r="BU12" s="110" cm="1">
        <f t="array" ref="BU12">_xlfn.NUMBERVALUE(INDEX('C203'!$N:$N,8+(COLUMN()-54)*21))</f>
        <v>3.8E-3</v>
      </c>
      <c r="BV12" s="110" cm="1">
        <f t="array" ref="BV12">_xlfn.NUMBERVALUE(INDEX('C203'!$N:$N,8+(COLUMN()-54)*21))</f>
        <v>0</v>
      </c>
      <c r="BW12" s="110" cm="1">
        <f t="array" ref="BW12">_xlfn.NUMBERVALUE(INDEX('C203'!$N:$N,8+(COLUMN()-54)*21))</f>
        <v>0</v>
      </c>
      <c r="BX12" s="110" cm="1">
        <f t="array" ref="BX12">_xlfn.NUMBERVALUE(INDEX('C203'!$N:$N,8+(COLUMN()-54)*21))</f>
        <v>8.9999999999999998E-4</v>
      </c>
      <c r="BY12" s="110" cm="1">
        <f t="array" ref="BY12">_xlfn.NUMBERVALUE(INDEX('C203'!$N:$N,8+(COLUMN()-54)*21))</f>
        <v>0</v>
      </c>
      <c r="BZ12" s="110" cm="1">
        <f t="array" ref="BZ12">_xlfn.NUMBERVALUE(INDEX('C203'!$N:$N,8+(COLUMN()-54)*21))</f>
        <v>0</v>
      </c>
      <c r="CA12" s="110" cm="1">
        <f t="array" ref="CA12">_xlfn.NUMBERVALUE(INDEX('C203'!$N:$N,8+(COLUMN()-54)*21))</f>
        <v>0</v>
      </c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22"/>
      <c r="DO12" s="93" t="s">
        <v>1420</v>
      </c>
      <c r="DP12" s="96" cm="1">
        <f t="array" ref="DP12">INDEX('C203'!$H:$H,18+4*21)+INDEX('C203'!$H:$H,18+5*21)+INDEX('C203'!$H:$H,18+6*21)+INDEX('C203'!$H:$H,18+7*21)+INDEX('C203'!$H:$H,18+8*21)+INDEX('C203'!$H:$H,18+9*21)</f>
        <v>4</v>
      </c>
      <c r="DQ12" s="74" cm="1">
        <f t="array" ref="DQ12">INDEX('C203'!$H:$H,18+10*21)+INDEX('C203'!$H:$H,18+11*21)+INDEX('C203'!$H:$H,18+12*21)+INDEX('C203'!$H:$H,18+13*21)+INDEX('C203'!$H:$H,18+14*21)+INDEX('C203'!$H:$H,18+15*21)</f>
        <v>64</v>
      </c>
      <c r="DR12" s="74" cm="1">
        <f t="array" ref="DR12">INDEX('C203'!$H:$H,18+16*21)+INDEX('C203'!$H:$H,18+17*21)+INDEX('C203'!$H:$H,18+18*21)+INDEX('C203'!$H:$H,18+19*21)+INDEX('C203'!$H:$H,18+20*21)+INDEX('C203'!$H:$H,18+21*21)</f>
        <v>25</v>
      </c>
      <c r="DS12" s="22"/>
      <c r="DT12" s="74"/>
      <c r="DU12" s="148"/>
      <c r="DV12" s="139"/>
      <c r="DW12" s="139"/>
      <c r="DX12" s="139"/>
      <c r="DY12" s="139"/>
      <c r="DZ12" s="139"/>
      <c r="EA12" s="139"/>
      <c r="EB12" s="126" t="s">
        <v>1727</v>
      </c>
      <c r="EC12" s="70"/>
      <c r="ED12" s="70"/>
      <c r="EE12" s="22"/>
    </row>
    <row r="13" spans="1:141" x14ac:dyDescent="0.3">
      <c r="A13" s="66" t="s">
        <v>929</v>
      </c>
      <c r="B13" s="67"/>
      <c r="C13" s="67"/>
      <c r="D13" s="67"/>
      <c r="E13" s="67"/>
      <c r="F13" s="67"/>
      <c r="G13" s="67" t="s">
        <v>1111</v>
      </c>
      <c r="H13" s="67" t="s">
        <v>1151</v>
      </c>
      <c r="I13" s="67" t="s">
        <v>1104</v>
      </c>
      <c r="J13" s="67" t="s">
        <v>1104</v>
      </c>
      <c r="K13" s="67" t="s">
        <v>1104</v>
      </c>
      <c r="L13" s="67" t="s">
        <v>1110</v>
      </c>
      <c r="M13" s="67" t="s">
        <v>1109</v>
      </c>
      <c r="N13" s="67" t="s">
        <v>1108</v>
      </c>
      <c r="O13" s="67" t="s">
        <v>1107</v>
      </c>
      <c r="P13" s="67" t="s">
        <v>1106</v>
      </c>
      <c r="Q13" s="67" t="s">
        <v>1105</v>
      </c>
      <c r="R13" s="67" t="s">
        <v>1104</v>
      </c>
      <c r="S13" s="67" t="s">
        <v>1103</v>
      </c>
      <c r="T13" s="67" t="s">
        <v>1103</v>
      </c>
      <c r="U13" s="67" t="s">
        <v>1103</v>
      </c>
      <c r="V13" s="67" t="s">
        <v>1103</v>
      </c>
      <c r="W13" s="67" t="s">
        <v>1102</v>
      </c>
      <c r="X13" s="65" t="s">
        <v>1101</v>
      </c>
      <c r="Y13" s="65" t="s">
        <v>1112</v>
      </c>
      <c r="Z13" s="65" t="s">
        <v>1147</v>
      </c>
      <c r="AA13" s="44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  <c r="DK13" s="82"/>
      <c r="DL13" s="82"/>
      <c r="DM13" s="82"/>
      <c r="DN13" s="22"/>
      <c r="DO13" s="154" t="s">
        <v>1415</v>
      </c>
      <c r="DP13" s="23" t="s">
        <v>1421</v>
      </c>
      <c r="DQ13" s="23" t="s">
        <v>1421</v>
      </c>
      <c r="DR13" s="23" t="s">
        <v>1421</v>
      </c>
      <c r="DS13" s="22"/>
      <c r="DT13" s="22"/>
      <c r="DU13" s="107">
        <v>6</v>
      </c>
      <c r="DV13" s="70" t="s">
        <v>933</v>
      </c>
      <c r="DW13" s="158" t="s">
        <v>947</v>
      </c>
      <c r="DX13" s="159"/>
      <c r="DY13" s="159"/>
      <c r="DZ13" s="160"/>
      <c r="EA13" s="108" t="s">
        <v>1193</v>
      </c>
      <c r="EB13" s="108"/>
      <c r="EC13" s="70"/>
      <c r="ED13" s="70"/>
      <c r="EE13" s="22"/>
    </row>
    <row r="14" spans="1:141" ht="15.6" thickBot="1" x14ac:dyDescent="0.35">
      <c r="A14" s="39" t="s">
        <v>881</v>
      </c>
      <c r="B14" s="29"/>
      <c r="C14" s="29"/>
      <c r="D14" s="29"/>
      <c r="E14" s="29"/>
      <c r="F14" s="29"/>
      <c r="G14" s="29">
        <f>COUNTIFS('C203'!$C$3:$F$3,"=0")</f>
        <v>0</v>
      </c>
      <c r="H14" s="29">
        <f>COUNTIFS('C203'!$C$24:$F$24,"=0")</f>
        <v>0</v>
      </c>
      <c r="I14" s="29">
        <f>COUNTIFS('C203'!$C$45:$F$45,"=0")</f>
        <v>0</v>
      </c>
      <c r="J14" s="29">
        <f>COUNTIFS('C203'!$C$66:$F$66,"=0")</f>
        <v>0</v>
      </c>
      <c r="K14" s="29">
        <f>COUNTIFS('C203'!$C$87:$F$87,"=0")</f>
        <v>0</v>
      </c>
      <c r="L14" s="29">
        <f>COUNTIFS('C203'!$C$108:$F$108,"=0")</f>
        <v>0</v>
      </c>
      <c r="M14" s="29">
        <f>COUNTIFS('C203'!$C$129:$F$129,"=0")</f>
        <v>0</v>
      </c>
      <c r="N14" s="29">
        <f>COUNTIFS('C203'!$C$150:$F$150,"=0")</f>
        <v>0</v>
      </c>
      <c r="O14" s="29">
        <f>COUNTIFS('C203'!$C$171:$F$171,"=0")</f>
        <v>0</v>
      </c>
      <c r="P14" s="29">
        <f>COUNTIFS('C203'!$C$192:$F$192,"=0")</f>
        <v>0</v>
      </c>
      <c r="Q14" s="29">
        <f>COUNTIFS('C203'!$C$213:$F$213,"=0")</f>
        <v>0</v>
      </c>
      <c r="R14" s="29">
        <f>COUNTIFS('C203'!$C$234:$F$234,"=0")</f>
        <v>0</v>
      </c>
      <c r="S14" s="29">
        <f>COUNTIFS('C203'!$C$255:$F$255,"=0")</f>
        <v>0</v>
      </c>
      <c r="T14" s="29">
        <f>COUNTIFS('C203'!$C$276:$F$276,"=0")</f>
        <v>0</v>
      </c>
      <c r="U14" s="29">
        <f>COUNTIFS('C203'!$C$297:$F$297,"=0")</f>
        <v>0</v>
      </c>
      <c r="V14" s="29">
        <f>COUNTIFS('C203'!$C$318:$F$318,"=0")</f>
        <v>0</v>
      </c>
      <c r="W14" s="29">
        <f>COUNTIFS('C203'!$C$339:$F$339,"=0")</f>
        <v>0</v>
      </c>
      <c r="X14" s="29">
        <f>COUNTIFS('C203'!$C$360:$F$360,"=0")</f>
        <v>0</v>
      </c>
      <c r="Y14" s="29">
        <f>COUNTIFS('C203'!$C$381:$F$381,"=0")</f>
        <v>0</v>
      </c>
      <c r="Z14" s="29">
        <f>COUNTIFS('C203'!$C$402:$F$402,"=0")</f>
        <v>0</v>
      </c>
      <c r="AA14" s="30">
        <f>COUNTIFS('C203'!$D$423:$G$423,"=0")</f>
        <v>0</v>
      </c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3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83"/>
      <c r="DN14" s="22"/>
      <c r="DO14" s="155"/>
      <c r="DP14" s="22" t="s">
        <v>1156</v>
      </c>
      <c r="DQ14" s="22" t="s">
        <v>1156</v>
      </c>
      <c r="DR14" s="22" t="s">
        <v>1156</v>
      </c>
      <c r="DS14" s="22"/>
      <c r="DT14" s="22"/>
      <c r="EA14" s="22"/>
      <c r="EB14" s="22"/>
    </row>
    <row r="15" spans="1:141" x14ac:dyDescent="0.3">
      <c r="A15" s="36" t="s">
        <v>875</v>
      </c>
      <c r="B15" s="24">
        <v>46083</v>
      </c>
      <c r="C15" s="24">
        <v>46084</v>
      </c>
      <c r="D15" s="24">
        <v>46085</v>
      </c>
      <c r="E15" s="24">
        <v>46086</v>
      </c>
      <c r="F15" s="24">
        <v>46087</v>
      </c>
      <c r="G15" s="24">
        <v>46088</v>
      </c>
      <c r="H15" s="24">
        <v>46090</v>
      </c>
      <c r="I15" s="24">
        <v>46091</v>
      </c>
      <c r="J15" s="24">
        <v>46092</v>
      </c>
      <c r="K15" s="24">
        <v>46093</v>
      </c>
      <c r="L15" s="24">
        <v>46094</v>
      </c>
      <c r="M15" s="24">
        <v>46095</v>
      </c>
      <c r="N15" s="24">
        <v>46097</v>
      </c>
      <c r="O15" s="24">
        <v>46098</v>
      </c>
      <c r="P15" s="24">
        <v>46099</v>
      </c>
      <c r="Q15" s="24">
        <v>46100</v>
      </c>
      <c r="R15" s="24">
        <v>46101</v>
      </c>
      <c r="S15" s="53">
        <v>46102</v>
      </c>
      <c r="T15" s="53">
        <v>46104</v>
      </c>
      <c r="U15" s="24">
        <v>46105</v>
      </c>
      <c r="V15" s="54">
        <v>46106</v>
      </c>
      <c r="W15" s="54">
        <v>46107</v>
      </c>
      <c r="X15" s="24">
        <v>46108</v>
      </c>
      <c r="Y15" s="24">
        <v>46109</v>
      </c>
      <c r="Z15" s="24">
        <v>46111</v>
      </c>
      <c r="AA15" s="25">
        <v>46112</v>
      </c>
      <c r="AB15" s="80">
        <v>46113</v>
      </c>
      <c r="AC15" s="80">
        <v>46114</v>
      </c>
      <c r="AD15" s="80">
        <v>46115</v>
      </c>
      <c r="AE15" s="80">
        <v>46116</v>
      </c>
      <c r="AF15" s="80">
        <v>46118</v>
      </c>
      <c r="AG15" s="80">
        <v>46119</v>
      </c>
      <c r="AH15" s="80">
        <v>46120</v>
      </c>
      <c r="AI15" s="80">
        <v>46121</v>
      </c>
      <c r="AJ15" s="80">
        <v>46122</v>
      </c>
      <c r="AK15" s="80">
        <v>46123</v>
      </c>
      <c r="AL15" s="80">
        <v>46125</v>
      </c>
      <c r="AM15" s="80">
        <v>46126</v>
      </c>
      <c r="AN15" s="80">
        <v>46127</v>
      </c>
      <c r="AO15" s="80">
        <v>46128</v>
      </c>
      <c r="AP15" s="80">
        <v>46129</v>
      </c>
      <c r="AQ15" s="80">
        <v>46130</v>
      </c>
      <c r="AR15" s="90">
        <v>46132</v>
      </c>
      <c r="AS15" s="80">
        <v>46133</v>
      </c>
      <c r="AT15" s="80">
        <v>46134</v>
      </c>
      <c r="AU15" s="80">
        <v>46135</v>
      </c>
      <c r="AV15" s="80">
        <v>46136</v>
      </c>
      <c r="AW15" s="80">
        <v>46137</v>
      </c>
      <c r="AX15" s="80">
        <v>46139</v>
      </c>
      <c r="AY15" s="80">
        <v>46140</v>
      </c>
      <c r="AZ15" s="80">
        <v>46141</v>
      </c>
      <c r="BA15" s="90">
        <v>46142</v>
      </c>
      <c r="BB15" s="80">
        <v>46143</v>
      </c>
      <c r="BC15" s="80">
        <v>46146</v>
      </c>
      <c r="BD15" s="80">
        <v>46147</v>
      </c>
      <c r="BE15" s="80">
        <v>46148</v>
      </c>
      <c r="BF15" s="80">
        <v>46149</v>
      </c>
      <c r="BG15" s="137">
        <v>46150</v>
      </c>
      <c r="BH15" s="80">
        <v>46151</v>
      </c>
      <c r="BI15" s="90">
        <v>46153</v>
      </c>
      <c r="BJ15" s="90">
        <v>46154</v>
      </c>
      <c r="BK15" s="80">
        <v>46155</v>
      </c>
      <c r="BL15" s="80">
        <v>46156</v>
      </c>
      <c r="BM15" s="80">
        <v>46157</v>
      </c>
      <c r="BN15" s="80">
        <v>46158</v>
      </c>
      <c r="BO15" s="80">
        <v>46160</v>
      </c>
      <c r="BP15" s="80">
        <v>46161</v>
      </c>
      <c r="BQ15" s="80">
        <v>46162</v>
      </c>
      <c r="BR15" s="80">
        <v>46163</v>
      </c>
      <c r="BS15" s="80">
        <v>46164</v>
      </c>
      <c r="BT15" s="80">
        <v>46165</v>
      </c>
      <c r="BU15" s="80">
        <v>46167</v>
      </c>
      <c r="BV15" s="80">
        <v>46168</v>
      </c>
      <c r="BW15" s="80">
        <v>46169</v>
      </c>
      <c r="BX15" s="80">
        <v>46170</v>
      </c>
      <c r="BY15" s="80">
        <v>46171</v>
      </c>
      <c r="BZ15" s="80">
        <v>46172</v>
      </c>
      <c r="CA15" s="80">
        <v>46173</v>
      </c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22"/>
      <c r="DO15" s="93" t="s">
        <v>1427</v>
      </c>
      <c r="DP15" s="94" t="s">
        <v>1416</v>
      </c>
      <c r="DQ15" s="94" t="s">
        <v>1417</v>
      </c>
      <c r="DR15" s="94" t="s">
        <v>1672</v>
      </c>
      <c r="DS15" s="22"/>
      <c r="DT15" s="22"/>
    </row>
    <row r="16" spans="1:141" x14ac:dyDescent="0.3">
      <c r="A16" s="38" t="s">
        <v>873</v>
      </c>
      <c r="B16" s="32">
        <v>8.8999999999999999E-3</v>
      </c>
      <c r="C16" s="32">
        <v>6.3E-3</v>
      </c>
      <c r="D16" s="32">
        <v>1.7899999999999999E-2</v>
      </c>
      <c r="E16" s="28"/>
      <c r="F16" s="28"/>
      <c r="G16" s="28"/>
      <c r="H16" s="28"/>
      <c r="I16" s="28"/>
      <c r="J16" s="28"/>
      <c r="K16" s="32">
        <v>2.3699999999999999E-2</v>
      </c>
      <c r="L16" s="32">
        <v>1.9199999999999998E-2</v>
      </c>
      <c r="M16" s="32">
        <v>5.4100000000000002E-2</v>
      </c>
      <c r="N16" s="32">
        <v>6.4000000000000003E-3</v>
      </c>
      <c r="O16" s="32">
        <v>1.9400000000000001E-2</v>
      </c>
      <c r="P16" s="32">
        <v>3.3500000000000002E-2</v>
      </c>
      <c r="Q16" s="32">
        <v>3.3799999999999997E-2</v>
      </c>
      <c r="R16" s="32">
        <v>8.2500000000000004E-2</v>
      </c>
      <c r="S16" s="32">
        <v>9.4799999999999995E-2</v>
      </c>
      <c r="T16" s="32">
        <v>4.1799999999999997E-2</v>
      </c>
      <c r="U16" s="32">
        <v>0.1225</v>
      </c>
      <c r="V16" s="61" t="s">
        <v>789</v>
      </c>
      <c r="W16" s="61" t="str">
        <f>'C208'!$B320</f>
        <v>12.59%</v>
      </c>
      <c r="X16" s="61" t="s">
        <v>428</v>
      </c>
      <c r="Y16" s="61" t="s">
        <v>1072</v>
      </c>
      <c r="Z16" s="28" t="str">
        <f>'C208'!$B383</f>
        <v>0.22%</v>
      </c>
      <c r="AA16" s="31" t="str">
        <f>'C208'!$B404</f>
        <v>2.26%</v>
      </c>
      <c r="AB16" s="87" cm="1">
        <f t="array" ref="AB16">INDEX('C208'!$I:$I,5+(COLUMN()-28)*21)</f>
        <v>4.8676171079429738E-2</v>
      </c>
      <c r="AC16" s="87" t="str" cm="1">
        <f t="array" ref="AC16">INDEX('C208'!$I:$I,5+(COLUMN()-28)*21)</f>
        <v>6.78%</v>
      </c>
      <c r="AD16" s="87" cm="1">
        <f t="array" ref="AD16">INDEX('C208'!$I:$I,5+(COLUMN()-28)*21)</f>
        <v>4.8379174852652258E-2</v>
      </c>
      <c r="AE16" s="87" cm="1">
        <f t="array" ref="AE16">INDEX('C208'!$I:$I,5+(COLUMN()-28)*21)</f>
        <v>0.10575719649561953</v>
      </c>
      <c r="AF16" s="87" cm="1">
        <f t="array" ref="AF16">INDEX('C208'!$I:$I,5+(COLUMN()-28)*21)</f>
        <v>2.3285899094437259E-2</v>
      </c>
      <c r="AG16" s="87" cm="1">
        <f t="array" ref="AG16">INDEX('C208'!$I:$I,5+(COLUMN()-28)*21)</f>
        <v>4.8129512141763288E-3</v>
      </c>
      <c r="AH16" s="87" cm="1">
        <f t="array" ref="AH16">INDEX('C208'!$I:$I,5+(COLUMN()-28)*21)</f>
        <v>1.1432926829268292E-2</v>
      </c>
      <c r="AI16" s="87" cm="1">
        <f t="array" ref="AI16">INDEX('C208'!$I:$I,5+(COLUMN()-28)*21)</f>
        <v>8.5279187817258878E-3</v>
      </c>
      <c r="AJ16" s="87" cm="1">
        <f t="array" ref="AJ16">INDEX('C208'!$I:$I,5+(COLUMN()-28)*21)</f>
        <v>1.3131715081575806E-2</v>
      </c>
      <c r="AK16" s="87" cm="1">
        <f t="array" ref="AK16">INDEX('C208'!$I:$I,5+(COLUMN()-28)*21)</f>
        <v>1.1077731881336839E-2</v>
      </c>
      <c r="AL16" s="87" cm="1">
        <f t="array" ref="AL16">INDEX('C208'!$I:$I,5+(COLUMN()-28)*21)</f>
        <v>9.8092643051771126E-3</v>
      </c>
      <c r="AM16" s="87" cm="1">
        <f t="array" ref="AM16">INDEX('C208'!$I:$I,5+(COLUMN()-28)*21)</f>
        <v>3.8684719535783368E-2</v>
      </c>
      <c r="AN16" s="87" t="str" cm="1">
        <f t="array" ref="AN16">INDEX('C208'!$I:$I,5+(COLUMN()-28)*21)</f>
        <v>0.63%</v>
      </c>
      <c r="AO16" s="87" t="str" cm="1">
        <f t="array" ref="AO16">INDEX('C208'!$I:$I,5+(COLUMN()-28)*21)</f>
        <v>0.51%</v>
      </c>
      <c r="AP16" s="87" t="str" cm="1">
        <f t="array" ref="AP16">INDEX('C208'!$I:$I,5+(COLUMN()-28)*21)</f>
        <v>0.48%</v>
      </c>
      <c r="AQ16" s="87" t="str" cm="1">
        <f t="array" ref="AQ16">INDEX('C208'!$I:$I,5+(COLUMN()-28)*21)</f>
        <v>0.90%</v>
      </c>
      <c r="AR16" s="87" t="str" cm="1">
        <f t="array" ref="AR16">INDEX('C208'!$I:$I,5+(COLUMN()-28)*21)</f>
        <v>0.86%</v>
      </c>
      <c r="AS16" s="87" cm="1">
        <f t="array" ref="AS16">INDEX('C208'!$I:$I,5+(COLUMN()-28)*21)</f>
        <v>8.7389630971247453E-2</v>
      </c>
      <c r="AT16" s="87" cm="1">
        <f t="array" ref="AT16">INDEX('C208'!$I:$I,5+(COLUMN()-28)*21)</f>
        <v>8.9490114464099893E-2</v>
      </c>
      <c r="AU16" s="87" cm="1">
        <f t="array" ref="AU16">INDEX('C208'!$I:$I,5+(COLUMN()-28)*21)</f>
        <v>0.10448963156835112</v>
      </c>
      <c r="AV16" s="87" cm="1">
        <f t="array" ref="AV16">INDEX('C208'!$I:$I,5+(COLUMN()-28)*21)</f>
        <v>0.23799999999999999</v>
      </c>
      <c r="AW16" s="87" t="str" cm="1">
        <f t="array" ref="AW16">INDEX('C208'!$I:$I,5+(COLUMN()-28)*21)</f>
        <v>12.55%</v>
      </c>
      <c r="AX16" s="87" t="str" cm="1">
        <f t="array" ref="AX16">INDEX('C208'!$I:$I,5+(COLUMN()-28)*21)</f>
        <v>20.28%</v>
      </c>
      <c r="AY16" s="87" cm="1">
        <f t="array" ref="AY16">INDEX('C208'!$I:$I,5+(COLUMN()-28)*21)</f>
        <v>0.13522593650260373</v>
      </c>
      <c r="AZ16" s="87" t="str" cm="1">
        <f t="array" ref="AZ16">INDEX('C208'!$I:$I,5+(COLUMN()-28)*21)</f>
        <v>12.42%</v>
      </c>
      <c r="BA16" s="87" cm="1">
        <f t="array" ref="BA16">INDEX('C208'!$I:$I,5+(COLUMN()-28)*21)</f>
        <v>0.10979106923392053</v>
      </c>
      <c r="BB16" s="87" cm="1">
        <f t="array" ref="BB16">_xlfn.NUMBERVALUE(INDEX('C208'!$P:$P,5+(COLUMN()-54)*21))</f>
        <v>1.77E-2</v>
      </c>
      <c r="BC16" s="87" cm="1">
        <f t="array" ref="BC16">_xlfn.NUMBERVALUE(INDEX('C208'!$P:$P,5+(COLUMN()-54)*21))</f>
        <v>1.03567318757192E-2</v>
      </c>
      <c r="BD16" s="87" cm="1">
        <f t="array" ref="BD16">_xlfn.NUMBERVALUE(INDEX('C208'!$P:$P,5+(COLUMN()-54)*21))</f>
        <v>6.3500000000000001E-2</v>
      </c>
      <c r="BE16" s="87" cm="1">
        <f t="array" ref="BE16">_xlfn.NUMBERVALUE(INDEX('C208'!$P:$P,5+(COLUMN()-54)*21))</f>
        <v>5.2300000000000006E-2</v>
      </c>
      <c r="BF16" s="87" cm="1">
        <f t="array" ref="BF16">_xlfn.NUMBERVALUE(INDEX('C208'!$P:$P,5+(COLUMN()-54)*21))</f>
        <v>1.18E-2</v>
      </c>
      <c r="BG16" s="87" cm="1">
        <f t="array" ref="BG16">_xlfn.NUMBERVALUE(INDEX('C208'!$P:$P,5+(COLUMN()-54)*21))</f>
        <v>9.1000000000000004E-3</v>
      </c>
      <c r="BH16" s="87" cm="1">
        <f t="array" ref="BH16">_xlfn.NUMBERVALUE(INDEX('C208'!$P:$P,5+(COLUMN()-54)*21))</f>
        <v>8.3000000000000001E-3</v>
      </c>
      <c r="BI16" s="87" cm="1">
        <f t="array" ref="BI16">_xlfn.NUMBERVALUE(INDEX('C208'!$P:$P,5+(COLUMN()-54)*21))</f>
        <v>1.1399999999999999E-2</v>
      </c>
      <c r="BJ16" s="87" cm="1">
        <f t="array" ref="BJ16">_xlfn.NUMBERVALUE(INDEX('C208'!$P:$P,5+(COLUMN()-54)*21))</f>
        <v>1.21E-2</v>
      </c>
      <c r="BK16" s="87" cm="1">
        <f t="array" ref="BK16">_xlfn.NUMBERVALUE(INDEX('C208'!$P:$P,5+(COLUMN()-54)*21))</f>
        <v>0.03</v>
      </c>
      <c r="BL16" s="87" cm="1">
        <f t="array" ref="BL16">_xlfn.NUMBERVALUE(INDEX('C208'!$P:$P,5+(COLUMN()-54)*21))</f>
        <v>4.9000000000000002E-2</v>
      </c>
      <c r="BM16" s="87" cm="1">
        <f t="array" ref="BM16">_xlfn.NUMBERVALUE(INDEX('C208'!$P:$P,5+(COLUMN()-54)*21))</f>
        <v>5.3899999999999997E-2</v>
      </c>
      <c r="BN16" s="87" cm="1">
        <f t="array" ref="BN16">_xlfn.NUMBERVALUE(INDEX('C208'!$P:$P,5+(COLUMN()-54)*21))</f>
        <v>1.0500000000000001E-2</v>
      </c>
      <c r="BO16" s="87" cm="1">
        <f t="array" ref="BO16">_xlfn.NUMBERVALUE(INDEX('C208'!$P:$P,5+(COLUMN()-54)*21))</f>
        <v>1.0200000000000001E-2</v>
      </c>
      <c r="BP16" s="87" cm="1">
        <f t="array" ref="BP16">_xlfn.NUMBERVALUE(INDEX('C208'!$P:$P,5+(COLUMN()-54)*21))</f>
        <v>6.4000000000000003E-3</v>
      </c>
      <c r="BQ16" s="87" cm="1">
        <f t="array" ref="BQ16">_xlfn.NUMBERVALUE(INDEX('C208'!$P:$P,5+(COLUMN()-54)*21))</f>
        <v>6.0000000000000001E-3</v>
      </c>
      <c r="BR16" s="87" cm="1">
        <f t="array" ref="BR16">_xlfn.NUMBERVALUE(INDEX('C208'!$P:$P,5+(COLUMN()-54)*21))</f>
        <v>1.18E-2</v>
      </c>
      <c r="BS16" s="87" cm="1">
        <f t="array" ref="BS16">_xlfn.NUMBERVALUE(INDEX('C208'!$P:$P,5+(COLUMN()-54)*21))</f>
        <v>1.83E-2</v>
      </c>
      <c r="BT16" s="87" cm="1">
        <f t="array" ref="BT16">_xlfn.NUMBERVALUE(INDEX('C208'!$P:$P,5+(COLUMN()-54)*21))</f>
        <v>1.2500000000000001E-2</v>
      </c>
      <c r="BU16" s="87" cm="1">
        <f t="array" ref="BU16">_xlfn.NUMBERVALUE(INDEX('C208'!$P:$P,5+(COLUMN()-54)*21))</f>
        <v>3.2500000000000001E-2</v>
      </c>
      <c r="BV16" s="87" cm="1">
        <f t="array" ref="BV16">_xlfn.NUMBERVALUE(INDEX('C208'!$P:$P,5+(COLUMN()-54)*21))</f>
        <v>1.37E-2</v>
      </c>
      <c r="BW16" s="87" cm="1">
        <f t="array" ref="BW16">_xlfn.NUMBERVALUE(INDEX('C208'!$P:$P,5+(COLUMN()-54)*21))</f>
        <v>4.2599999999999999E-2</v>
      </c>
      <c r="BX16" s="87" cm="1">
        <f t="array" ref="BX16">_xlfn.NUMBERVALUE(INDEX('C208'!$P:$P,5+(COLUMN()-54)*21))</f>
        <v>2.12E-2</v>
      </c>
      <c r="BY16" s="87" cm="1">
        <f t="array" ref="BY16">_xlfn.NUMBERVALUE(INDEX('C208'!$P:$P,5+(COLUMN()-54)*21))</f>
        <v>0</v>
      </c>
      <c r="BZ16" s="87" cm="1">
        <f t="array" ref="BZ16">_xlfn.NUMBERVALUE(INDEX('C208'!$P:$P,5+(COLUMN()-54)*21))</f>
        <v>0</v>
      </c>
      <c r="CA16" s="87" cm="1">
        <f t="array" ref="CA16">_xlfn.NUMBERVALUE(INDEX('C208'!$P:$P,5+(COLUMN()-54)*21))</f>
        <v>0</v>
      </c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  <c r="DI16" s="87"/>
      <c r="DJ16" s="87"/>
      <c r="DK16" s="87"/>
      <c r="DL16" s="87"/>
      <c r="DM16" s="87"/>
      <c r="DN16" s="22"/>
      <c r="DO16" s="93" t="s">
        <v>1414</v>
      </c>
      <c r="DP16" s="95" cm="1">
        <f t="array" ref="DP16">INDEX('C208'!$I:$I,3+4*21)+INDEX('C208'!$I:$I,3+5*21)+INDEX('C208'!$I:$I,3+6*21)+INDEX('C208'!$I:$I,3+7*21)+INDEX('C208'!$I:$I,3+8*21)+INDEX('C208'!$I:$I,3+9*21)</f>
        <v>27415</v>
      </c>
      <c r="DQ16" s="101" cm="1">
        <f t="array" ref="DQ16">INDEX('C208'!$I:$I,3+10*21)+INDEX('C208'!$I:$I,3+11*21)+INDEX('C208'!$I:$I,3+12*21)+INDEX('C208'!$I:$I,3+13*21)+INDEX('C208'!$I:$I,3+14*21)+INDEX('C208'!$I:$I,3+15*21)</f>
        <v>25655</v>
      </c>
      <c r="DR16" s="101" cm="1">
        <f t="array" ref="DR16">INDEX('C208'!$I:$I,3+16*21)+INDEX('C208'!$I:$I,3+17*21)+INDEX('C208'!$I:$I,3+18*21)+INDEX('C208'!$I:$I,3+19*21)+INDEX('C208'!$I:$I,3+20*21)+INDEX('C208'!$I:$I,3+21*21)</f>
        <v>22603</v>
      </c>
      <c r="DS16" s="22"/>
      <c r="DT16" s="22"/>
    </row>
    <row r="17" spans="1:134" x14ac:dyDescent="0.3">
      <c r="A17" s="38" t="s">
        <v>12</v>
      </c>
      <c r="B17" s="32">
        <v>6.1999999999999998E-3</v>
      </c>
      <c r="C17" s="32">
        <v>4.7000000000000002E-3</v>
      </c>
      <c r="D17" s="32">
        <v>1.7899999999999999E-2</v>
      </c>
      <c r="E17" s="28"/>
      <c r="F17" s="28"/>
      <c r="G17" s="28"/>
      <c r="H17" s="28"/>
      <c r="I17" s="28"/>
      <c r="J17" s="28"/>
      <c r="K17" s="32">
        <v>1.04E-2</v>
      </c>
      <c r="L17" s="32">
        <v>1.29E-2</v>
      </c>
      <c r="M17" s="32">
        <v>5.0500000000000003E-2</v>
      </c>
      <c r="N17" s="32">
        <v>4.4999999999999997E-3</v>
      </c>
      <c r="O17" s="32">
        <v>1.47E-2</v>
      </c>
      <c r="P17" s="32">
        <v>2.9600000000000001E-2</v>
      </c>
      <c r="Q17" s="32">
        <v>2.8000000000000001E-2</v>
      </c>
      <c r="R17" s="32">
        <v>6.5199999999999994E-2</v>
      </c>
      <c r="S17" s="32">
        <v>5.8599999999999999E-2</v>
      </c>
      <c r="T17" s="32">
        <v>9.2999999999999992E-3</v>
      </c>
      <c r="U17" s="32">
        <v>5.5999999999999999E-3</v>
      </c>
      <c r="V17" s="61" t="s">
        <v>233</v>
      </c>
      <c r="W17" s="61" t="str">
        <f>'C208'!$B321</f>
        <v>0.21%</v>
      </c>
      <c r="X17" s="61" t="s">
        <v>507</v>
      </c>
      <c r="Y17" s="61" t="s">
        <v>76</v>
      </c>
      <c r="Z17" s="28" t="str">
        <f>'C208'!$B384</f>
        <v>0.11%</v>
      </c>
      <c r="AA17" s="31" t="str">
        <f>'C208'!$B405</f>
        <v>1.95%</v>
      </c>
      <c r="AB17" s="87" cm="1">
        <f t="array" ref="AB17">INDEX('C208'!$I:$I,6+(COLUMN()-28)*21)</f>
        <v>2.6476578411405296E-2</v>
      </c>
      <c r="AC17" s="87" t="str" cm="1">
        <f t="array" ref="AC17">INDEX('C208'!$I:$I,6+(COLUMN()-28)*21)</f>
        <v>2.59%</v>
      </c>
      <c r="AD17" s="87" cm="1">
        <f t="array" ref="AD17">INDEX('C208'!$I:$I,6+(COLUMN()-28)*21)</f>
        <v>1.2770137524557957E-2</v>
      </c>
      <c r="AE17" s="87" cm="1">
        <f t="array" ref="AE17">INDEX('C208'!$I:$I,6+(COLUMN()-28)*21)</f>
        <v>4.9436795994993739E-2</v>
      </c>
      <c r="AF17" s="87" cm="1">
        <f t="array" ref="AF17">INDEX('C208'!$I:$I,6+(COLUMN()-28)*21)</f>
        <v>9.0556274256144882E-3</v>
      </c>
      <c r="AG17" s="87" cm="1">
        <f t="array" ref="AG17">INDEX('C208'!$I:$I,6+(COLUMN()-28)*21)</f>
        <v>2.4064756070881644E-3</v>
      </c>
      <c r="AH17" s="87" cm="1">
        <f t="array" ref="AH17">INDEX('C208'!$I:$I,6+(COLUMN()-28)*21)</f>
        <v>5.1448170731707319E-3</v>
      </c>
      <c r="AI17" s="87" cm="1">
        <f t="array" ref="AI17">INDEX('C208'!$I:$I,6+(COLUMN()-28)*21)</f>
        <v>5.076142131979695E-3</v>
      </c>
      <c r="AJ17" s="87" cm="1">
        <f t="array" ref="AJ17">INDEX('C208'!$I:$I,6+(COLUMN()-28)*21)</f>
        <v>4.178272980501393E-3</v>
      </c>
      <c r="AK17" s="87" cm="1">
        <f t="array" ref="AK17">INDEX('C208'!$I:$I,6+(COLUMN()-28)*21)</f>
        <v>6.0082613593691325E-3</v>
      </c>
      <c r="AL17" s="87" cm="1">
        <f t="array" ref="AL17">INDEX('C208'!$I:$I,6+(COLUMN()-28)*21)</f>
        <v>2.7247956403269754E-3</v>
      </c>
      <c r="AM17" s="87" cm="1">
        <f t="array" ref="AM17">INDEX('C208'!$I:$I,6+(COLUMN()-28)*21)</f>
        <v>3.6750483558994199E-2</v>
      </c>
      <c r="AN17" s="87" t="str" cm="1">
        <f t="array" ref="AN17">INDEX('C208'!$I:$I,6+(COLUMN()-28)*21)</f>
        <v>0.24%</v>
      </c>
      <c r="AO17" s="87" t="str" cm="1">
        <f t="array" ref="AO17">INDEX('C208'!$I:$I,6+(COLUMN()-28)*21)</f>
        <v>0.32%</v>
      </c>
      <c r="AP17" s="87" t="str" cm="1">
        <f t="array" ref="AP17">INDEX('C208'!$I:$I,6+(COLUMN()-28)*21)</f>
        <v>0.38%</v>
      </c>
      <c r="AQ17" s="87" t="str" cm="1">
        <f t="array" ref="AQ17">INDEX('C208'!$I:$I,6+(COLUMN()-28)*21)</f>
        <v>0.83%</v>
      </c>
      <c r="AR17" s="87" t="str" cm="1">
        <f t="array" ref="AR17">INDEX('C208'!$I:$I,6+(COLUMN()-28)*21)</f>
        <v>0.68%</v>
      </c>
      <c r="AS17" s="87" cm="1">
        <f t="array" ref="AS17">INDEX('C208'!$I:$I,6+(COLUMN()-28)*21)</f>
        <v>5.0486755716549696E-2</v>
      </c>
      <c r="AT17" s="87" cm="1">
        <f t="array" ref="AT17">INDEX('C208'!$I:$I,6+(COLUMN()-28)*21)</f>
        <v>4.7693374956642387E-2</v>
      </c>
      <c r="AU17" s="87" cm="1">
        <f t="array" ref="AU17">INDEX('C208'!$I:$I,6+(COLUMN()-28)*21)</f>
        <v>7.9927521642842767E-2</v>
      </c>
      <c r="AV17" s="87" cm="1">
        <f t="array" ref="AV17">INDEX('C208'!$I:$I,6+(COLUMN()-28)*21)</f>
        <v>0.20399999999999999</v>
      </c>
      <c r="AW17" s="87" t="str" cm="1">
        <f t="array" ref="AW17">INDEX('C208'!$I:$I,6+(COLUMN()-28)*21)</f>
        <v>12.15%</v>
      </c>
      <c r="AX17" s="87" t="str" cm="1">
        <f t="array" ref="AX17">INDEX('C208'!$I:$I,6+(COLUMN()-28)*21)</f>
        <v>18.97%</v>
      </c>
      <c r="AY17" s="87" cm="1">
        <f t="array" ref="AY17">INDEX('C208'!$I:$I,6+(COLUMN()-28)*21)</f>
        <v>9.5246094406181758E-2</v>
      </c>
      <c r="AZ17" s="87" t="str" cm="1">
        <f t="array" ref="AZ17">INDEX('C208'!$I:$I,6+(COLUMN()-28)*21)</f>
        <v>9.78%</v>
      </c>
      <c r="BA17" s="87" cm="1">
        <f t="array" ref="BA17">INDEX('C208'!$I:$I,6+(COLUMN()-28)*21)</f>
        <v>0.10589922163047931</v>
      </c>
      <c r="BB17" s="87" cm="1">
        <f t="array" ref="BB17">_xlfn.NUMBERVALUE(INDEX('C208'!$P:$P,6+(COLUMN()-54)*21))</f>
        <v>1.43E-2</v>
      </c>
      <c r="BC17" s="87" cm="1">
        <f t="array" ref="BC17">_xlfn.NUMBERVALUE(INDEX('C208'!$P:$P,6+(COLUMN()-54)*21))</f>
        <v>9.2059838895281899E-3</v>
      </c>
      <c r="BD17" s="87" cm="1">
        <f t="array" ref="BD17">_xlfn.NUMBERVALUE(INDEX('C208'!$P:$P,6+(COLUMN()-54)*21))</f>
        <v>5.9699999999999996E-2</v>
      </c>
      <c r="BE17" s="87" cm="1">
        <f t="array" ref="BE17">_xlfn.NUMBERVALUE(INDEX('C208'!$P:$P,6+(COLUMN()-54)*21))</f>
        <v>5.04E-2</v>
      </c>
      <c r="BF17" s="87" cm="1">
        <f t="array" ref="BF17">_xlfn.NUMBERVALUE(INDEX('C208'!$P:$P,6+(COLUMN()-54)*21))</f>
        <v>1.1299999999999999E-2</v>
      </c>
      <c r="BG17" s="87" cm="1">
        <f t="array" ref="BG17">_xlfn.NUMBERVALUE(INDEX('C208'!$P:$P,6+(COLUMN()-54)*21))</f>
        <v>5.7999999999999996E-3</v>
      </c>
      <c r="BH17" s="87" cm="1">
        <f t="array" ref="BH17">_xlfn.NUMBERVALUE(INDEX('C208'!$P:$P,6+(COLUMN()-54)*21))</f>
        <v>4.8999999999999998E-3</v>
      </c>
      <c r="BI17" s="87" cm="1">
        <f t="array" ref="BI17">_xlfn.NUMBERVALUE(INDEX('C208'!$P:$P,6+(COLUMN()-54)*21))</f>
        <v>0.01</v>
      </c>
      <c r="BJ17" s="87" cm="1">
        <f t="array" ref="BJ17">_xlfn.NUMBERVALUE(INDEX('C208'!$P:$P,6+(COLUMN()-54)*21))</f>
        <v>6.1999999999999998E-3</v>
      </c>
      <c r="BK17" s="87" cm="1">
        <f t="array" ref="BK17">_xlfn.NUMBERVALUE(INDEX('C208'!$P:$P,6+(COLUMN()-54)*21))</f>
        <v>7.6E-3</v>
      </c>
      <c r="BL17" s="87" cm="1">
        <f t="array" ref="BL17">_xlfn.NUMBERVALUE(INDEX('C208'!$P:$P,6+(COLUMN()-54)*21))</f>
        <v>2.6000000000000002E-2</v>
      </c>
      <c r="BM17" s="87" cm="1">
        <f t="array" ref="BM17">_xlfn.NUMBERVALUE(INDEX('C208'!$P:$P,6+(COLUMN()-54)*21))</f>
        <v>2.63E-2</v>
      </c>
      <c r="BN17" s="87" cm="1">
        <f t="array" ref="BN17">_xlfn.NUMBERVALUE(INDEX('C208'!$P:$P,6+(COLUMN()-54)*21))</f>
        <v>6.6E-3</v>
      </c>
      <c r="BO17" s="87" cm="1">
        <f t="array" ref="BO17">_xlfn.NUMBERVALUE(INDEX('C208'!$P:$P,6+(COLUMN()-54)*21))</f>
        <v>8.6999999999999994E-3</v>
      </c>
      <c r="BP17" s="87" cm="1">
        <f t="array" ref="BP17">_xlfn.NUMBERVALUE(INDEX('C208'!$P:$P,6+(COLUMN()-54)*21))</f>
        <v>5.6000000000000008E-3</v>
      </c>
      <c r="BQ17" s="87" cm="1">
        <f t="array" ref="BQ17">_xlfn.NUMBERVALUE(INDEX('C208'!$P:$P,6+(COLUMN()-54)*21))</f>
        <v>5.6000000000000008E-3</v>
      </c>
      <c r="BR17" s="87" cm="1">
        <f t="array" ref="BR17">_xlfn.NUMBERVALUE(INDEX('C208'!$P:$P,6+(COLUMN()-54)*21))</f>
        <v>8.0000000000000002E-3</v>
      </c>
      <c r="BS17" s="87" cm="1">
        <f t="array" ref="BS17">_xlfn.NUMBERVALUE(INDEX('C208'!$P:$P,6+(COLUMN()-54)*21))</f>
        <v>1.5600000000000001E-2</v>
      </c>
      <c r="BT17" s="87" cm="1">
        <f t="array" ref="BT17">_xlfn.NUMBERVALUE(INDEX('C208'!$P:$P,6+(COLUMN()-54)*21))</f>
        <v>1.0200000000000001E-2</v>
      </c>
      <c r="BU17" s="87" cm="1">
        <f t="array" ref="BU17">_xlfn.NUMBERVALUE(INDEX('C208'!$P:$P,6+(COLUMN()-54)*21))</f>
        <v>2.4700000000000003E-2</v>
      </c>
      <c r="BV17" s="87" cm="1">
        <f t="array" ref="BV17">_xlfn.NUMBERVALUE(INDEX('C208'!$P:$P,6+(COLUMN()-54)*21))</f>
        <v>1.18E-2</v>
      </c>
      <c r="BW17" s="87" cm="1">
        <f t="array" ref="BW17">_xlfn.NUMBERVALUE(INDEX('C208'!$P:$P,6+(COLUMN()-54)*21))</f>
        <v>4.1100000000000005E-2</v>
      </c>
      <c r="BX17" s="87" cm="1">
        <f t="array" ref="BX17">_xlfn.NUMBERVALUE(INDEX('C208'!$P:$P,6+(COLUMN()-54)*21))</f>
        <v>1.7500000000000002E-2</v>
      </c>
      <c r="BY17" s="87" cm="1">
        <f t="array" ref="BY17">_xlfn.NUMBERVALUE(INDEX('C208'!$P:$P,6+(COLUMN()-54)*21))</f>
        <v>0</v>
      </c>
      <c r="BZ17" s="87" cm="1">
        <f t="array" ref="BZ17">_xlfn.NUMBERVALUE(INDEX('C208'!$P:$P,6+(COLUMN()-54)*21))</f>
        <v>0</v>
      </c>
      <c r="CA17" s="87" cm="1">
        <f t="array" ref="CA17">_xlfn.NUMBERVALUE(INDEX('C208'!$P:$P,6+(COLUMN()-54)*21))</f>
        <v>0</v>
      </c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87"/>
      <c r="DA17" s="87"/>
      <c r="DB17" s="87"/>
      <c r="DC17" s="87"/>
      <c r="DD17" s="87"/>
      <c r="DE17" s="87"/>
      <c r="DF17" s="87"/>
      <c r="DG17" s="87"/>
      <c r="DH17" s="87"/>
      <c r="DI17" s="87"/>
      <c r="DJ17" s="87"/>
      <c r="DK17" s="87"/>
      <c r="DL17" s="87"/>
      <c r="DM17" s="87"/>
      <c r="DN17" s="22"/>
      <c r="DO17" s="93" t="s">
        <v>1418</v>
      </c>
      <c r="DP17" s="96" cm="1">
        <f t="array" ref="DP17">INDEX('C208'!$I:$I,9+4*21)+INDEX('C208'!$I:$I,9+5*21)+INDEX('C208'!$I:$I,9+6*21)+INDEX('C208'!$I:$I,9+7*21)+INDEX('C208'!$I:$I,9+8*21)+INDEX('C208'!$I:$I,9+9*21)</f>
        <v>137</v>
      </c>
      <c r="DQ17" s="74" cm="1">
        <f t="array" ref="DQ17">INDEX('C208'!$I:$I,9+10*21)+INDEX('C208'!$I:$I,9+11*21)+INDEX('C208'!$I:$I,9+12*21)+INDEX('C208'!$I:$I,9+13*21)+INDEX('C208'!$I:$I,9+14*21)+INDEX('C208'!$I:$I,9+15*21)</f>
        <v>287</v>
      </c>
      <c r="DR17" s="74" cm="1">
        <f t="array" ref="DR17">INDEX('C208'!$I:$I,9+16*21)+INDEX('C208'!$I:$I,9+17*21)+INDEX('C208'!$I:$I,9+18*21)+INDEX('C208'!$I:$I,9+19*21)+INDEX('C208'!$I:$I,9+20*21)+INDEX('C208'!$I:$I,9+21*21)</f>
        <v>1836</v>
      </c>
      <c r="DS17" s="22"/>
    </row>
    <row r="18" spans="1:134" x14ac:dyDescent="0.3">
      <c r="A18" s="38" t="s">
        <v>17</v>
      </c>
      <c r="B18" s="32">
        <v>2.7000000000000001E-3</v>
      </c>
      <c r="C18" s="32">
        <v>1.6000000000000001E-3</v>
      </c>
      <c r="D18" s="32">
        <v>0</v>
      </c>
      <c r="E18" s="28"/>
      <c r="F18" s="28"/>
      <c r="G18" s="28"/>
      <c r="H18" s="28"/>
      <c r="I18" s="28"/>
      <c r="J18" s="28"/>
      <c r="K18" s="32">
        <v>1.3299999999999999E-2</v>
      </c>
      <c r="L18" s="32">
        <v>6.1999999999999998E-3</v>
      </c>
      <c r="M18" s="32">
        <v>3.5999999999999999E-3</v>
      </c>
      <c r="N18" s="32">
        <v>1.9E-3</v>
      </c>
      <c r="O18" s="32">
        <v>4.7999999999999996E-3</v>
      </c>
      <c r="P18" s="32">
        <v>3.8999999999999998E-3</v>
      </c>
      <c r="Q18" s="32">
        <v>5.7999999999999996E-3</v>
      </c>
      <c r="R18" s="32">
        <v>1.7299999999999999E-2</v>
      </c>
      <c r="S18" s="32">
        <v>3.6200000000000003E-2</v>
      </c>
      <c r="T18" s="32">
        <v>3.2199999999999999E-2</v>
      </c>
      <c r="U18" s="32">
        <v>0.1162</v>
      </c>
      <c r="V18" s="61" t="s">
        <v>570</v>
      </c>
      <c r="W18" s="61" t="str">
        <f>'C208'!$B322</f>
        <v>11.59%</v>
      </c>
      <c r="X18" s="61" t="s">
        <v>1033</v>
      </c>
      <c r="Y18" s="61" t="s">
        <v>1074</v>
      </c>
      <c r="Z18" s="28" t="str">
        <f>'C208'!$B385</f>
        <v>0.11%</v>
      </c>
      <c r="AA18" s="31" t="str">
        <f>'C208'!$B406</f>
        <v>0.31%</v>
      </c>
      <c r="AB18" s="87" cm="1">
        <f t="array" ref="AB18">INDEX('C208'!$I:$I,7+(COLUMN()-28)*21)</f>
        <v>2.1384928716904276E-2</v>
      </c>
      <c r="AC18" s="87" t="str" cm="1">
        <f t="array" ref="AC18">INDEX('C208'!$I:$I,7+(COLUMN()-28)*21)</f>
        <v>4.17%</v>
      </c>
      <c r="AD18" s="87" cm="1">
        <f t="array" ref="AD18">INDEX('C208'!$I:$I,7+(COLUMN()-28)*21)</f>
        <v>3.5117878192534382E-2</v>
      </c>
      <c r="AE18" s="87" cm="1">
        <f t="array" ref="AE18">INDEX('C208'!$I:$I,7+(COLUMN()-28)*21)</f>
        <v>5.6320400500625784E-2</v>
      </c>
      <c r="AF18" s="87" cm="1">
        <f t="array" ref="AF18">INDEX('C208'!$I:$I,7+(COLUMN()-28)*21)</f>
        <v>1.3367830961621389E-2</v>
      </c>
      <c r="AG18" s="87" cm="1">
        <f t="array" ref="AG18">INDEX('C208'!$I:$I,7+(COLUMN()-28)*21)</f>
        <v>2.4064756070881644E-3</v>
      </c>
      <c r="AH18" s="87" cm="1">
        <f t="array" ref="AH18">INDEX('C208'!$I:$I,7+(COLUMN()-28)*21)</f>
        <v>6.0975609756097563E-3</v>
      </c>
      <c r="AI18" s="87" cm="1">
        <f t="array" ref="AI18">INDEX('C208'!$I:$I,7+(COLUMN()-28)*21)</f>
        <v>2.8426395939086294E-3</v>
      </c>
      <c r="AJ18" s="87" cm="1">
        <f t="array" ref="AJ18">INDEX('C208'!$I:$I,7+(COLUMN()-28)*21)</f>
        <v>4.9741345005968962E-3</v>
      </c>
      <c r="AK18" s="87" cm="1">
        <f t="array" ref="AK18">INDEX('C208'!$I:$I,7+(COLUMN()-28)*21)</f>
        <v>4.1306796845662786E-3</v>
      </c>
      <c r="AL18" s="87" cm="1">
        <f t="array" ref="AL18">INDEX('C208'!$I:$I,7+(COLUMN()-28)*21)</f>
        <v>4.0871934604904629E-3</v>
      </c>
      <c r="AM18" s="87" cm="1">
        <f t="array" ref="AM18">INDEX('C208'!$I:$I,7+(COLUMN()-28)*21)</f>
        <v>1.2308774397749253E-3</v>
      </c>
      <c r="AN18" s="87" t="str" cm="1">
        <f t="array" ref="AN18">INDEX('C208'!$I:$I,7+(COLUMN()-28)*21)</f>
        <v>0.28%</v>
      </c>
      <c r="AO18" s="87" t="str" cm="1">
        <f t="array" ref="AO18">INDEX('C208'!$I:$I,7+(COLUMN()-28)*21)</f>
        <v>0.18%</v>
      </c>
      <c r="AP18" s="87" t="str" cm="1">
        <f t="array" ref="AP18">INDEX('C208'!$I:$I,7+(COLUMN()-28)*21)</f>
        <v>0.10%</v>
      </c>
      <c r="AQ18" s="87" t="str" cm="1">
        <f t="array" ref="AQ18">INDEX('C208'!$I:$I,7+(COLUMN()-28)*21)</f>
        <v>0.07%</v>
      </c>
      <c r="AR18" s="87" t="str" cm="1">
        <f t="array" ref="AR18">INDEX('C208'!$I:$I,7+(COLUMN()-28)*21)</f>
        <v>0.09%</v>
      </c>
      <c r="AS18" s="87" cm="1">
        <f t="array" ref="AS18">INDEX('C208'!$I:$I,7+(COLUMN()-28)*21)</f>
        <v>3.6676477247000225E-2</v>
      </c>
      <c r="AT18" s="87" cm="1">
        <f t="array" ref="AT18">INDEX('C208'!$I:$I,7+(COLUMN()-28)*21)</f>
        <v>4.1796739507457513E-2</v>
      </c>
      <c r="AU18" s="87" cm="1">
        <f t="array" ref="AU18">INDEX('C208'!$I:$I,7+(COLUMN()-28)*21)</f>
        <v>2.4360781155627138E-2</v>
      </c>
      <c r="AV18" s="87" cm="1">
        <f t="array" ref="AV18">INDEX('C208'!$I:$I,7+(COLUMN()-28)*21)</f>
        <v>3.4000000000000002E-2</v>
      </c>
      <c r="AW18" s="87" t="str" cm="1">
        <f t="array" ref="AW18">INDEX('C208'!$I:$I,7+(COLUMN()-28)*21)</f>
        <v>0.40%</v>
      </c>
      <c r="AX18" s="87" t="str" cm="1">
        <f t="array" ref="AX18">INDEX('C208'!$I:$I,7+(COLUMN()-28)*21)</f>
        <v>1.34%</v>
      </c>
      <c r="AY18" s="87" cm="1">
        <f t="array" ref="AY18">INDEX('C208'!$I:$I,7+(COLUMN()-28)*21)</f>
        <v>1.3438602385351923E-2</v>
      </c>
      <c r="AZ18" s="87" t="str" cm="1">
        <f t="array" ref="AZ18">INDEX('C208'!$I:$I,7+(COLUMN()-28)*21)</f>
        <v>2.64%</v>
      </c>
      <c r="BA18" s="87" cm="1">
        <f t="array" ref="BA18">INDEX('C208'!$I:$I,7+(COLUMN()-28)*21)</f>
        <v>3.6870135190495697E-3</v>
      </c>
      <c r="BB18" s="87" cm="1">
        <f t="array" ref="BB18">_xlfn.NUMBERVALUE(INDEX('C208'!$P:$P,7+(COLUMN()-54)*21))</f>
        <v>3.4000000000000002E-3</v>
      </c>
      <c r="BC18" s="87" cm="1">
        <f t="array" ref="BC18">_xlfn.NUMBERVALUE(INDEX('C208'!$P:$P,7+(COLUMN()-54)*21))</f>
        <v>7.6716532412734898E-4</v>
      </c>
      <c r="BD18" s="87" cm="1">
        <f t="array" ref="BD18">_xlfn.NUMBERVALUE(INDEX('C208'!$P:$P,7+(COLUMN()-54)*21))</f>
        <v>3.9000000000000003E-3</v>
      </c>
      <c r="BE18" s="87" cm="1">
        <f t="array" ref="BE18">_xlfn.NUMBERVALUE(INDEX('C208'!$P:$P,7+(COLUMN()-54)*21))</f>
        <v>1.9E-3</v>
      </c>
      <c r="BF18" s="87" cm="1">
        <f t="array" ref="BF18">_xlfn.NUMBERVALUE(INDEX('C208'!$P:$P,7+(COLUMN()-54)*21))</f>
        <v>5.0000000000000001E-4</v>
      </c>
      <c r="BG18" s="87" cm="1">
        <f t="array" ref="BG18">_xlfn.NUMBERVALUE(INDEX('C208'!$P:$P,7+(COLUMN()-54)*21))</f>
        <v>3.3E-3</v>
      </c>
      <c r="BH18" s="87" cm="1">
        <f t="array" ref="BH18">_xlfn.NUMBERVALUE(INDEX('C208'!$P:$P,7+(COLUMN()-54)*21))</f>
        <v>3.3E-3</v>
      </c>
      <c r="BI18" s="87" cm="1">
        <f t="array" ref="BI18">_xlfn.NUMBERVALUE(INDEX('C208'!$P:$P,7+(COLUMN()-54)*21))</f>
        <v>1.4000000000000002E-3</v>
      </c>
      <c r="BJ18" s="87" cm="1">
        <f t="array" ref="BJ18">_xlfn.NUMBERVALUE(INDEX('C208'!$P:$P,7+(COLUMN()-54)*21))</f>
        <v>0.48200000000000004</v>
      </c>
      <c r="BK18" s="87" cm="1">
        <f t="array" ref="BK18">_xlfn.NUMBERVALUE(INDEX('C208'!$P:$P,7+(COLUMN()-54)*21))</f>
        <v>0.48039999999999999</v>
      </c>
      <c r="BL18" s="87" cm="1">
        <f t="array" ref="BL18">_xlfn.NUMBERVALUE(INDEX('C208'!$P:$P,7+(COLUMN()-54)*21))</f>
        <v>2.3E-2</v>
      </c>
      <c r="BM18" s="87" cm="1">
        <f t="array" ref="BM18">_xlfn.NUMBERVALUE(INDEX('C208'!$P:$P,7+(COLUMN()-54)*21))</f>
        <v>2.7699999999999999E-2</v>
      </c>
      <c r="BN18" s="87" cm="1">
        <f t="array" ref="BN18">_xlfn.NUMBERVALUE(INDEX('C208'!$P:$P,7+(COLUMN()-54)*21))</f>
        <v>4.0000000000000001E-3</v>
      </c>
      <c r="BO18" s="87" cm="1">
        <f t="array" ref="BO18">_xlfn.NUMBERVALUE(INDEX('C208'!$P:$P,7+(COLUMN()-54)*21))</f>
        <v>1.6000000000000001E-3</v>
      </c>
      <c r="BP18" s="87" cm="1">
        <f t="array" ref="BP18">_xlfn.NUMBERVALUE(INDEX('C208'!$P:$P,7+(COLUMN()-54)*21))</f>
        <v>8.0000000000000004E-4</v>
      </c>
      <c r="BQ18" s="87" cm="1">
        <f t="array" ref="BQ18">_xlfn.NUMBERVALUE(INDEX('C208'!$P:$P,7+(COLUMN()-54)*21))</f>
        <v>4.0000000000000002E-4</v>
      </c>
      <c r="BR18" s="87" cm="1">
        <f t="array" ref="BR18">_xlfn.NUMBERVALUE(INDEX('C208'!$P:$P,7+(COLUMN()-54)*21))</f>
        <v>3.7000000000000002E-3</v>
      </c>
      <c r="BS18" s="87" cm="1">
        <f t="array" ref="BS18">_xlfn.NUMBERVALUE(INDEX('C208'!$P:$P,7+(COLUMN()-54)*21))</f>
        <v>2.5000000000000001E-3</v>
      </c>
      <c r="BT18" s="87" cm="1">
        <f t="array" ref="BT18">_xlfn.NUMBERVALUE(INDEX('C208'!$P:$P,7+(COLUMN()-54)*21))</f>
        <v>2.3999999999999998E-3</v>
      </c>
      <c r="BU18" s="87" cm="1">
        <f t="array" ref="BU18">_xlfn.NUMBERVALUE(INDEX('C208'!$P:$P,7+(COLUMN()-54)*21))</f>
        <v>7.8000000000000005E-3</v>
      </c>
      <c r="BV18" s="87" cm="1">
        <f t="array" ref="BV18">_xlfn.NUMBERVALUE(INDEX('C208'!$P:$P,7+(COLUMN()-54)*21))</f>
        <v>1.9E-3</v>
      </c>
      <c r="BW18" s="87" cm="1">
        <f t="array" ref="BW18">_xlfn.NUMBERVALUE(INDEX('C208'!$P:$P,7+(COLUMN()-54)*21))</f>
        <v>1.5E-3</v>
      </c>
      <c r="BX18" s="87" cm="1">
        <f t="array" ref="BX18">_xlfn.NUMBERVALUE(INDEX('C208'!$P:$P,7+(COLUMN()-54)*21))</f>
        <v>3.7000000000000002E-3</v>
      </c>
      <c r="BY18" s="87" cm="1">
        <f t="array" ref="BY18">_xlfn.NUMBERVALUE(INDEX('C208'!$P:$P,7+(COLUMN()-54)*21))</f>
        <v>0</v>
      </c>
      <c r="BZ18" s="87" cm="1">
        <f t="array" ref="BZ18">_xlfn.NUMBERVALUE(INDEX('C208'!$P:$P,7+(COLUMN()-54)*21))</f>
        <v>0</v>
      </c>
      <c r="CA18" s="87" cm="1">
        <f t="array" ref="CA18">_xlfn.NUMBERVALUE(INDEX('C208'!$P:$P,7+(COLUMN()-54)*21))</f>
        <v>0</v>
      </c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87"/>
      <c r="DA18" s="87"/>
      <c r="DB18" s="87"/>
      <c r="DC18" s="87"/>
      <c r="DD18" s="87"/>
      <c r="DE18" s="87"/>
      <c r="DF18" s="87"/>
      <c r="DG18" s="87"/>
      <c r="DH18" s="87"/>
      <c r="DI18" s="87"/>
      <c r="DJ18" s="87"/>
      <c r="DK18" s="87"/>
      <c r="DL18" s="87"/>
      <c r="DM18" s="87"/>
      <c r="DN18" s="22"/>
      <c r="DO18" s="93" t="s">
        <v>1419</v>
      </c>
      <c r="DP18" s="96" cm="1">
        <f t="array" ref="DP18">INDEX('C208'!$I:$I,15+4*21)+INDEX('C208'!$I:$I,15+5*21)+INDEX('C208'!$I:$I,15+6*21)+INDEX('C208'!$I:$I,15+7*21)+INDEX('C208'!$I:$I,15+8*21)+INDEX('C208'!$I:$I,15+9*21)</f>
        <v>135</v>
      </c>
      <c r="DQ18" s="74" cm="1">
        <f t="array" ref="DQ18">INDEX('C208'!$I:$I,15+10*21)+INDEX('C208'!$I:$I,15+11*21)+INDEX('C208'!$I:$I,15+12*21)+INDEX('C208'!$I:$I,15+13*21)+INDEX('C208'!$I:$I,15+14*21)+INDEX('C208'!$I:$I,15+15*21)</f>
        <v>47</v>
      </c>
      <c r="DR18" s="74" cm="1">
        <f t="array" ref="DR18">INDEX('C208'!$I:$I,15+16*21)+INDEX('C208'!$I:$I,15+17*21)+INDEX('C208'!$I:$I,15+18*21)+INDEX('C208'!$I:$I,15+19*21)+INDEX('C208'!$I:$I,15+20*21)+INDEX('C208'!$I:$I,15+21*21)</f>
        <v>652</v>
      </c>
      <c r="DS18" s="22"/>
    </row>
    <row r="19" spans="1:134" x14ac:dyDescent="0.3">
      <c r="A19" s="38" t="s">
        <v>22</v>
      </c>
      <c r="B19" s="32">
        <v>8.9999999999999998E-4</v>
      </c>
      <c r="C19" s="32">
        <v>5.0000000000000001E-4</v>
      </c>
      <c r="D19" s="32">
        <v>0</v>
      </c>
      <c r="E19" s="28"/>
      <c r="F19" s="28"/>
      <c r="G19" s="28"/>
      <c r="H19" s="28"/>
      <c r="I19" s="28"/>
      <c r="J19" s="28"/>
      <c r="K19" s="32">
        <v>2.0000000000000001E-4</v>
      </c>
      <c r="L19" s="32">
        <v>1.9E-3</v>
      </c>
      <c r="M19" s="32">
        <v>5.1999999999999998E-3</v>
      </c>
      <c r="N19" s="32">
        <v>6.4000000000000003E-3</v>
      </c>
      <c r="O19" s="32">
        <v>6.8999999999999999E-3</v>
      </c>
      <c r="P19" s="32">
        <v>8.8000000000000005E-3</v>
      </c>
      <c r="Q19" s="32">
        <v>2.3E-3</v>
      </c>
      <c r="R19" s="32">
        <v>0</v>
      </c>
      <c r="S19" s="32">
        <v>5.0000000000000001E-4</v>
      </c>
      <c r="T19" s="32">
        <v>1.1000000000000001E-3</v>
      </c>
      <c r="U19" s="32">
        <v>5.9999999999999995E-4</v>
      </c>
      <c r="V19" s="61" t="s">
        <v>25</v>
      </c>
      <c r="W19" s="61" t="str">
        <f>'C208'!$B323</f>
        <v>0.00%</v>
      </c>
      <c r="X19" s="61" t="s">
        <v>25</v>
      </c>
      <c r="Y19" s="61" t="s">
        <v>25</v>
      </c>
      <c r="Z19" s="28" t="str">
        <f>'C208'!$B386</f>
        <v>0.00%</v>
      </c>
      <c r="AA19" s="31" t="str">
        <f>'C208'!$B407</f>
        <v>0.00%</v>
      </c>
      <c r="AB19" s="87" t="str" cm="1">
        <f t="array" ref="AB19">INDEX('C208'!$I:$I,8+(COLUMN()-28)*21)</f>
        <v>0.00%</v>
      </c>
      <c r="AC19" s="87" t="str" cm="1">
        <f t="array" ref="AC19">INDEX('C208'!$I:$I,8+(COLUMN()-28)*21)</f>
        <v>0.00%</v>
      </c>
      <c r="AD19" s="87" t="str" cm="1">
        <f t="array" ref="AD19">INDEX('C208'!$I:$I,8+(COLUMN()-28)*21)</f>
        <v>0.00%</v>
      </c>
      <c r="AE19" s="87" t="str" cm="1">
        <f t="array" ref="AE19">INDEX('C208'!$I:$I,8+(COLUMN()-28)*21)</f>
        <v>0.00%</v>
      </c>
      <c r="AF19" s="87" t="str" cm="1">
        <f t="array" ref="AF19">INDEX('C208'!$I:$I,8+(COLUMN()-28)*21)</f>
        <v>0.00%</v>
      </c>
      <c r="AG19" s="87" t="str" cm="1">
        <f t="array" ref="AG19">INDEX('C208'!$I:$I,8+(COLUMN()-28)*21)</f>
        <v>0.03%</v>
      </c>
      <c r="AH19" s="87" cm="1">
        <f t="array" ref="AH19">INDEX('C208'!$I:$I,8+(COLUMN()-28)*21)</f>
        <v>1.9054878048780488E-4</v>
      </c>
      <c r="AI19" s="87" t="str" cm="1">
        <f t="array" ref="AI19">INDEX('C208'!$I:$I,8+(COLUMN()-28)*21)</f>
        <v>0.00%</v>
      </c>
      <c r="AJ19" s="87" t="str" cm="1">
        <f t="array" ref="AJ19">INDEX('C208'!$I:$I,8+(COLUMN()-28)*21)</f>
        <v>0.03%</v>
      </c>
      <c r="AK19" s="87" t="str" cm="1">
        <f t="array" ref="AK19">INDEX('C208'!$I:$I,8+(COLUMN()-28)*21)</f>
        <v>0.08%</v>
      </c>
      <c r="AL19" s="87" t="str" cm="1">
        <f t="array" ref="AL19">INDEX('C208'!$I:$I,8+(COLUMN()-28)*21)</f>
        <v>0.11%</v>
      </c>
      <c r="AM19" s="87" t="str" cm="1">
        <f t="array" ref="AM19">INDEX('C208'!$I:$I,8+(COLUMN()-28)*21)</f>
        <v>0.05%</v>
      </c>
      <c r="AN19" s="87" t="str" cm="1">
        <f t="array" ref="AN19">INDEX('C208'!$I:$I,8+(COLUMN()-28)*21)</f>
        <v>0.42%</v>
      </c>
      <c r="AO19" s="87" t="str" cm="1">
        <f t="array" ref="AO19">INDEX('C208'!$I:$I,8+(COLUMN()-28)*21)</f>
        <v>0.40%</v>
      </c>
      <c r="AP19" s="87" t="str" cm="1">
        <f t="array" ref="AP19">INDEX('C208'!$I:$I,8+(COLUMN()-28)*21)</f>
        <v>0.05%</v>
      </c>
      <c r="AQ19" s="87" t="str" cm="1">
        <f t="array" ref="AQ19">INDEX('C208'!$I:$I,8+(COLUMN()-28)*21)</f>
        <v>0.00%</v>
      </c>
      <c r="AR19" s="87" t="str" cm="1">
        <f t="array" ref="AR19">INDEX('C208'!$I:$I,8+(COLUMN()-28)*21)</f>
        <v>0.00%</v>
      </c>
      <c r="AS19" s="87" t="str" cm="1">
        <f t="array" ref="AS19">INDEX('C208'!$I:$I,8+(COLUMN()-28)*21)</f>
        <v>0.00%</v>
      </c>
      <c r="AT19" s="87" cm="1">
        <f t="array" ref="AT19">INDEX('C208'!$I:$I,8+(COLUMN()-28)*21)</f>
        <v>1.0405827263267431E-3</v>
      </c>
      <c r="AU19" s="87" cm="1">
        <f t="array" ref="AU19">INDEX('C208'!$I:$I,8+(COLUMN()-28)*21)</f>
        <v>1.8119589289309443E-3</v>
      </c>
      <c r="AV19" s="87" t="str" cm="1">
        <f t="array" ref="AV19">INDEX('C208'!$I:$I,8+(COLUMN()-28)*21)</f>
        <v>0.00%</v>
      </c>
      <c r="AW19" s="87" t="str" cm="1">
        <f t="array" ref="AW19">INDEX('C208'!$I:$I,8+(COLUMN()-28)*21)</f>
        <v>0.00%</v>
      </c>
      <c r="AX19" s="87" t="str" cm="1">
        <f t="array" ref="AX19">INDEX('C208'!$I:$I,8+(COLUMN()-28)*21)</f>
        <v>0.00%</v>
      </c>
      <c r="AY19" s="87" t="str" cm="1">
        <f t="array" ref="AY19">INDEX('C208'!$I:$I,8+(COLUMN()-28)*21)</f>
        <v>0.00%</v>
      </c>
      <c r="AZ19" s="87" t="str" cm="1">
        <f t="array" ref="AZ19">INDEX('C208'!$I:$I,8+(COLUMN()-28)*21)</f>
        <v>0.00%</v>
      </c>
      <c r="BA19" s="87" cm="1">
        <f t="array" ref="BA19">INDEX('C208'!$I:$I,8+(COLUMN()-28)*21)</f>
        <v>2.0483408439164277E-4</v>
      </c>
      <c r="BB19" s="87" cm="1">
        <f t="array" ref="BB19">_xlfn.NUMBERVALUE(INDEX('C208'!$P:$P,8+(COLUMN()-54)*21))</f>
        <v>0</v>
      </c>
      <c r="BC19" s="87" cm="1">
        <f t="array" ref="BC19">_xlfn.NUMBERVALUE(INDEX('C208'!$P:$P,8+(COLUMN()-54)*21))</f>
        <v>1.15074798619102E-3</v>
      </c>
      <c r="BD19" s="87" cm="1">
        <f t="array" ref="BD19">_xlfn.NUMBERVALUE(INDEX('C208'!$P:$P,8+(COLUMN()-54)*21))</f>
        <v>5.9999999999999995E-4</v>
      </c>
      <c r="BE19" s="87" cm="1">
        <f t="array" ref="BE19">_xlfn.NUMBERVALUE(INDEX('C208'!$P:$P,8+(COLUMN()-54)*21))</f>
        <v>5.0000000000000001E-4</v>
      </c>
      <c r="BF19" s="87" cm="1">
        <f t="array" ref="BF19">_xlfn.NUMBERVALUE(INDEX('C208'!$P:$P,8+(COLUMN()-54)*21))</f>
        <v>0</v>
      </c>
      <c r="BG19" s="87" cm="1">
        <f t="array" ref="BG19">_xlfn.NUMBERVALUE(INDEX('C208'!$P:$P,8+(COLUMN()-54)*21))</f>
        <v>7.000000000000001E-4</v>
      </c>
      <c r="BH19" s="87" cm="1">
        <f t="array" ref="BH19">_xlfn.NUMBERVALUE(INDEX('C208'!$P:$P,8+(COLUMN()-54)*21))</f>
        <v>0</v>
      </c>
      <c r="BI19" s="87" cm="1">
        <f t="array" ref="BI19">_xlfn.NUMBERVALUE(INDEX('C208'!$P:$P,8+(COLUMN()-54)*21))</f>
        <v>7.000000000000001E-4</v>
      </c>
      <c r="BJ19" s="87" cm="1">
        <f t="array" ref="BJ19">_xlfn.NUMBERVALUE(INDEX('C208'!$P:$P,8+(COLUMN()-54)*21))</f>
        <v>2.0000000000000001E-4</v>
      </c>
      <c r="BK19" s="87" cm="1">
        <f t="array" ref="BK19">_xlfn.NUMBERVALUE(INDEX('C208'!$P:$P,8+(COLUMN()-54)*21))</f>
        <v>0</v>
      </c>
      <c r="BL19" s="87" cm="1">
        <f t="array" ref="BL19">_xlfn.NUMBERVALUE(INDEX('C208'!$P:$P,8+(COLUMN()-54)*21))</f>
        <v>0</v>
      </c>
      <c r="BM19" s="87" cm="1">
        <f t="array" ref="BM19">_xlfn.NUMBERVALUE(INDEX('C208'!$P:$P,8+(COLUMN()-54)*21))</f>
        <v>4.5000000000000005E-3</v>
      </c>
      <c r="BN19" s="87" cm="1">
        <f t="array" ref="BN19">_xlfn.NUMBERVALUE(INDEX('C208'!$P:$P,8+(COLUMN()-54)*21))</f>
        <v>3.5999999999999999E-3</v>
      </c>
      <c r="BO19" s="87" cm="1">
        <f t="array" ref="BO19">_xlfn.NUMBERVALUE(INDEX('C208'!$P:$P,8+(COLUMN()-54)*21))</f>
        <v>6.6E-3</v>
      </c>
      <c r="BP19" s="87" cm="1">
        <f t="array" ref="BP19">_xlfn.NUMBERVALUE(INDEX('C208'!$P:$P,8+(COLUMN()-54)*21))</f>
        <v>7.4000000000000003E-3</v>
      </c>
      <c r="BQ19" s="87" cm="1">
        <f t="array" ref="BQ19">_xlfn.NUMBERVALUE(INDEX('C208'!$P:$P,8+(COLUMN()-54)*21))</f>
        <v>5.6000000000000008E-3</v>
      </c>
      <c r="BR19" s="87" cm="1">
        <f t="array" ref="BR19">_xlfn.NUMBERVALUE(INDEX('C208'!$P:$P,8+(COLUMN()-54)*21))</f>
        <v>6.6E-3</v>
      </c>
      <c r="BS19" s="87" cm="1">
        <f t="array" ref="BS19">_xlfn.NUMBERVALUE(INDEX('C208'!$P:$P,8+(COLUMN()-54)*21))</f>
        <v>4.0999999999999995E-3</v>
      </c>
      <c r="BT19" s="87" cm="1">
        <f t="array" ref="BT19">_xlfn.NUMBERVALUE(INDEX('C208'!$P:$P,8+(COLUMN()-54)*21))</f>
        <v>6.0999999999999995E-3</v>
      </c>
      <c r="BU19" s="87" cm="1">
        <f t="array" ref="BU19">_xlfn.NUMBERVALUE(INDEX('C208'!$P:$P,8+(COLUMN()-54)*21))</f>
        <v>2.0999999999999999E-3</v>
      </c>
      <c r="BV19" s="87" cm="1">
        <f t="array" ref="BV19">_xlfn.NUMBERVALUE(INDEX('C208'!$P:$P,8+(COLUMN()-54)*21))</f>
        <v>8.1000000000000013E-3</v>
      </c>
      <c r="BW19" s="87" cm="1">
        <f t="array" ref="BW19">_xlfn.NUMBERVALUE(INDEX('C208'!$P:$P,8+(COLUMN()-54)*21))</f>
        <v>7.3000000000000001E-3</v>
      </c>
      <c r="BX19" s="87" cm="1">
        <f t="array" ref="BX19">_xlfn.NUMBERVALUE(INDEX('C208'!$P:$P,8+(COLUMN()-54)*21))</f>
        <v>8.199999999999999E-3</v>
      </c>
      <c r="BY19" s="87" cm="1">
        <f t="array" ref="BY19">_xlfn.NUMBERVALUE(INDEX('C208'!$P:$P,8+(COLUMN()-54)*21))</f>
        <v>0</v>
      </c>
      <c r="BZ19" s="87" cm="1">
        <f t="array" ref="BZ19">_xlfn.NUMBERVALUE(INDEX('C208'!$P:$P,8+(COLUMN()-54)*21))</f>
        <v>0</v>
      </c>
      <c r="CA19" s="87" cm="1">
        <f t="array" ref="CA19">_xlfn.NUMBERVALUE(INDEX('C208'!$P:$P,8+(COLUMN()-54)*21))</f>
        <v>0</v>
      </c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22"/>
      <c r="DO19" s="93" t="s">
        <v>1420</v>
      </c>
      <c r="DP19" s="96" cm="1">
        <f t="array" ref="DP19">INDEX('C208'!$I:$I,18+4*21)+INDEX('C208'!$I:$I,18+5*21)+INDEX('C208'!$I:$I,18+6*21)+INDEX('C208'!$I:$I,18+7*21)+INDEX('C208'!$I:$I,18+8*21)+INDEX('C208'!$I:$I,18+9*21)</f>
        <v>9</v>
      </c>
      <c r="DQ19" s="74" cm="1">
        <f t="array" ref="DQ19">INDEX('C208'!$I:$I,18+10*21)+INDEX('C208'!$I:$I,18+11*21)+INDEX('C208'!$I:$I,18+12*21)+INDEX('C208'!$I:$I,18+13*21)+INDEX('C208'!$I:$I,18+14*21)+INDEX('C208'!$I:$I,18+15*21)</f>
        <v>46</v>
      </c>
      <c r="DR19" s="74" cm="1">
        <f t="array" ref="DR19">INDEX('C208'!$I:$I,18+16*21)+INDEX('C208'!$I:$I,18+17*21)+INDEX('C208'!$I:$I,18+18*21)+INDEX('C208'!$I:$I,18+19*21)+INDEX('C208'!$I:$I,18+20*21)+INDEX('C208'!$I:$I,18+21*21)</f>
        <v>15</v>
      </c>
      <c r="DS19" s="22"/>
    </row>
    <row r="20" spans="1:134" ht="15" customHeight="1" x14ac:dyDescent="0.3">
      <c r="A20" s="42" t="s">
        <v>929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 t="s">
        <v>952</v>
      </c>
      <c r="N20" s="43"/>
      <c r="O20" s="43" t="s">
        <v>939</v>
      </c>
      <c r="P20" s="43" t="s">
        <v>939</v>
      </c>
      <c r="Q20" s="43" t="s">
        <v>939</v>
      </c>
      <c r="R20" s="43" t="s">
        <v>952</v>
      </c>
      <c r="S20" s="43" t="s">
        <v>952</v>
      </c>
      <c r="T20" s="43" t="s">
        <v>1148</v>
      </c>
      <c r="U20" s="43" t="s">
        <v>1148</v>
      </c>
      <c r="V20" s="43" t="s">
        <v>1148</v>
      </c>
      <c r="W20" s="43" t="s">
        <v>1097</v>
      </c>
      <c r="X20" s="43" t="s">
        <v>1097</v>
      </c>
      <c r="Y20" s="43" t="s">
        <v>1097</v>
      </c>
      <c r="Z20" s="43" t="s">
        <v>1097</v>
      </c>
      <c r="AA20" s="44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111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22"/>
      <c r="DO20" s="93" t="s">
        <v>1415</v>
      </c>
      <c r="DP20" s="23"/>
      <c r="DQ20" s="92"/>
      <c r="DR20" s="92" t="s">
        <v>1156</v>
      </c>
      <c r="DS20" s="22"/>
    </row>
    <row r="21" spans="1:134" ht="29.4" customHeight="1" thickBot="1" x14ac:dyDescent="0.35">
      <c r="A21" s="39" t="s">
        <v>881</v>
      </c>
      <c r="B21" s="29">
        <f>COUNTIFS('C208'!$C$3:$F$3,"=0")</f>
        <v>3</v>
      </c>
      <c r="C21" s="29">
        <f>COUNTIFS('C208'!$C$24:$F$24,"=0")</f>
        <v>1</v>
      </c>
      <c r="D21" s="29">
        <f>COUNTIFS('C208'!$C$45:$F$45,"=0")</f>
        <v>1</v>
      </c>
      <c r="E21" s="29"/>
      <c r="F21" s="29"/>
      <c r="G21" s="29"/>
      <c r="H21" s="29"/>
      <c r="I21" s="29"/>
      <c r="J21" s="29"/>
      <c r="K21" s="29">
        <f>COUNTIFS('C208'!$C$66:$F$66,"=0")</f>
        <v>0</v>
      </c>
      <c r="L21" s="29">
        <f>COUNTIFS('C208'!$C$87:$F$87,"=0")</f>
        <v>0</v>
      </c>
      <c r="M21" s="29">
        <f>COUNTIFS('C208'!$C$108:$F$108,"=0")</f>
        <v>0</v>
      </c>
      <c r="N21" s="29">
        <f>COUNTIFS('C208'!$C$129:$F$129,"=0")</f>
        <v>0</v>
      </c>
      <c r="O21" s="29">
        <f>COUNTIFS('C208'!$C$150:$F$150,"=0")</f>
        <v>0</v>
      </c>
      <c r="P21" s="29">
        <f>COUNTIFS('C208'!$C$171:$F$171,"=0")</f>
        <v>0</v>
      </c>
      <c r="Q21" s="29">
        <f>COUNTIFS('C208'!$C$192:$F$192,"=0")</f>
        <v>0</v>
      </c>
      <c r="R21" s="29">
        <f>COUNTIFS('C208'!$C$213:$F$213,"=0")</f>
        <v>0</v>
      </c>
      <c r="S21" s="29">
        <f>COUNTIFS('C208'!$C$234:$F$234,"=0")</f>
        <v>0</v>
      </c>
      <c r="T21" s="29">
        <f>COUNTIFS('C208'!$C$255:$F$255,"=0")</f>
        <v>1</v>
      </c>
      <c r="U21" s="29">
        <f>COUNTIFS('C208'!$C$276:$F$276,"=0")</f>
        <v>0</v>
      </c>
      <c r="V21" s="29">
        <f>COUNTIFS('C208'!$C$297:$F$297,"=0")</f>
        <v>0</v>
      </c>
      <c r="W21" s="29">
        <f>COUNTIFS('C208'!$C$318:$F$318,"=0")</f>
        <v>0</v>
      </c>
      <c r="X21" s="29">
        <f>COUNTIFS('C208'!$C$339:$F$339,"=0")</f>
        <v>0</v>
      </c>
      <c r="Y21" s="29">
        <f>COUNTIFS('C208'!$C$360:$F$360,"=0")</f>
        <v>0</v>
      </c>
      <c r="Z21" s="29">
        <f>COUNTIFS('C208'!$C$381:$G$381,"=0")</f>
        <v>1</v>
      </c>
      <c r="AA21" s="30">
        <f>COUNTIFS('C208'!$C$402:$G$402,"=0")</f>
        <v>0</v>
      </c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3"/>
      <c r="DF21" s="83"/>
      <c r="DG21" s="83"/>
      <c r="DH21" s="83"/>
      <c r="DI21" s="83"/>
      <c r="DJ21" s="83"/>
      <c r="DK21" s="83"/>
      <c r="DL21" s="83"/>
      <c r="DM21" s="83"/>
      <c r="DN21" s="22"/>
      <c r="DO21" s="22"/>
      <c r="DP21" s="22"/>
      <c r="DQ21" s="22"/>
      <c r="DR21" s="22"/>
      <c r="DS21" s="22"/>
      <c r="ED21" s="20" t="s">
        <v>1194</v>
      </c>
    </row>
    <row r="22" spans="1:134" x14ac:dyDescent="0.3">
      <c r="A22" s="36" t="s">
        <v>876</v>
      </c>
      <c r="B22" s="24">
        <v>46083</v>
      </c>
      <c r="C22" s="24">
        <v>46084</v>
      </c>
      <c r="D22" s="24">
        <v>46085</v>
      </c>
      <c r="E22" s="24">
        <v>46086</v>
      </c>
      <c r="F22" s="24">
        <v>46087</v>
      </c>
      <c r="G22" s="24">
        <v>46088</v>
      </c>
      <c r="H22" s="24">
        <v>46090</v>
      </c>
      <c r="I22" s="24">
        <v>46091</v>
      </c>
      <c r="J22" s="24">
        <v>46092</v>
      </c>
      <c r="K22" s="24">
        <v>46093</v>
      </c>
      <c r="L22" s="24">
        <v>46094</v>
      </c>
      <c r="M22" s="24">
        <v>46095</v>
      </c>
      <c r="N22" s="24">
        <v>46097</v>
      </c>
      <c r="O22" s="24">
        <v>46098</v>
      </c>
      <c r="P22" s="24">
        <v>46099</v>
      </c>
      <c r="Q22" s="24">
        <v>46100</v>
      </c>
      <c r="R22" s="24">
        <v>46101</v>
      </c>
      <c r="S22" s="24">
        <v>46102</v>
      </c>
      <c r="T22" s="24">
        <v>46104</v>
      </c>
      <c r="U22" s="53">
        <v>46105</v>
      </c>
      <c r="V22" s="24">
        <v>46106</v>
      </c>
      <c r="W22" s="24">
        <v>46107</v>
      </c>
      <c r="X22" s="24">
        <v>46108</v>
      </c>
      <c r="Y22" s="24">
        <v>46109</v>
      </c>
      <c r="Z22" s="54">
        <v>46111</v>
      </c>
      <c r="AA22" s="25">
        <v>46112</v>
      </c>
      <c r="AB22" s="80">
        <v>46113</v>
      </c>
      <c r="AC22" s="80">
        <v>46114</v>
      </c>
      <c r="AD22" s="80">
        <v>46115</v>
      </c>
      <c r="AE22" s="80">
        <v>46116</v>
      </c>
      <c r="AF22" s="80">
        <v>46118</v>
      </c>
      <c r="AG22" s="80">
        <v>46119</v>
      </c>
      <c r="AH22" s="80">
        <v>46120</v>
      </c>
      <c r="AI22" s="80">
        <v>46121</v>
      </c>
      <c r="AJ22" s="80">
        <v>46122</v>
      </c>
      <c r="AK22" s="80">
        <v>46123</v>
      </c>
      <c r="AL22" s="80">
        <v>46125</v>
      </c>
      <c r="AM22" s="80">
        <v>46126</v>
      </c>
      <c r="AN22" s="80">
        <v>46127</v>
      </c>
      <c r="AO22" s="80">
        <v>46128</v>
      </c>
      <c r="AP22" s="80">
        <v>46129</v>
      </c>
      <c r="AQ22" s="80">
        <v>46130</v>
      </c>
      <c r="AR22" s="80">
        <v>46132</v>
      </c>
      <c r="AS22" s="80">
        <v>46133</v>
      </c>
      <c r="AT22" s="80">
        <v>46134</v>
      </c>
      <c r="AU22" s="80">
        <v>46135</v>
      </c>
      <c r="AV22" s="80">
        <v>46136</v>
      </c>
      <c r="AW22" s="80">
        <v>46137</v>
      </c>
      <c r="AX22" s="80">
        <v>46139</v>
      </c>
      <c r="AY22" s="80">
        <v>46140</v>
      </c>
      <c r="AZ22" s="80">
        <v>46141</v>
      </c>
      <c r="BA22" s="80">
        <v>46142</v>
      </c>
      <c r="BB22" s="80">
        <v>46143</v>
      </c>
      <c r="BC22" s="80">
        <v>46146</v>
      </c>
      <c r="BD22" s="80">
        <v>46147</v>
      </c>
      <c r="BE22" s="80">
        <v>46148</v>
      </c>
      <c r="BF22" s="80">
        <v>46149</v>
      </c>
      <c r="BG22" s="137">
        <v>46150</v>
      </c>
      <c r="BH22" s="80">
        <v>46151</v>
      </c>
      <c r="BI22" s="80">
        <v>46153</v>
      </c>
      <c r="BJ22" s="80">
        <v>46154</v>
      </c>
      <c r="BK22" s="80">
        <v>46155</v>
      </c>
      <c r="BL22" s="80">
        <v>46156</v>
      </c>
      <c r="BM22" s="80">
        <v>46157</v>
      </c>
      <c r="BN22" s="80">
        <v>46158</v>
      </c>
      <c r="BO22" s="80">
        <v>46160</v>
      </c>
      <c r="BP22" s="80">
        <v>46161</v>
      </c>
      <c r="BQ22" s="80">
        <v>46162</v>
      </c>
      <c r="BR22" s="80">
        <v>46163</v>
      </c>
      <c r="BS22" s="80">
        <v>46164</v>
      </c>
      <c r="BT22" s="80">
        <v>46165</v>
      </c>
      <c r="BU22" s="80">
        <v>46167</v>
      </c>
      <c r="BV22" s="80">
        <v>46168</v>
      </c>
      <c r="BW22" s="80">
        <v>46169</v>
      </c>
      <c r="BX22" s="80">
        <v>46170</v>
      </c>
      <c r="BY22" s="80">
        <v>46171</v>
      </c>
      <c r="BZ22" s="80">
        <v>46172</v>
      </c>
      <c r="CA22" s="80">
        <v>46173</v>
      </c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22"/>
      <c r="DO22" s="93" t="s">
        <v>1426</v>
      </c>
      <c r="DP22" s="94" t="s">
        <v>1416</v>
      </c>
      <c r="DQ22" s="94" t="s">
        <v>1417</v>
      </c>
      <c r="DR22" s="94" t="s">
        <v>1672</v>
      </c>
      <c r="DS22" s="22"/>
    </row>
    <row r="23" spans="1:134" x14ac:dyDescent="0.3">
      <c r="A23" s="38" t="s">
        <v>873</v>
      </c>
      <c r="B23" s="35">
        <v>8.3699999999999997E-2</v>
      </c>
      <c r="C23" s="35">
        <v>0.1206</v>
      </c>
      <c r="D23" s="35">
        <v>6.9599999999999995E-2</v>
      </c>
      <c r="E23" s="35">
        <v>8.0100000000000005E-2</v>
      </c>
      <c r="F23" s="35">
        <v>6.6100000000000006E-2</v>
      </c>
      <c r="G23" s="35">
        <v>7.3999999999999996E-2</v>
      </c>
      <c r="H23" s="35">
        <v>0.10730000000000001</v>
      </c>
      <c r="I23" s="35"/>
      <c r="J23" s="35"/>
      <c r="K23" s="35">
        <v>8.3699999999999997E-2</v>
      </c>
      <c r="L23" s="35">
        <v>7.3599999999999999E-2</v>
      </c>
      <c r="M23" s="35">
        <v>8.7400000000000005E-2</v>
      </c>
      <c r="N23" s="35">
        <v>9.2799999999999994E-2</v>
      </c>
      <c r="O23" s="35">
        <v>0.11990000000000001</v>
      </c>
      <c r="P23" s="35">
        <v>0.13980000000000001</v>
      </c>
      <c r="Q23" s="35">
        <v>0.1009</v>
      </c>
      <c r="R23" s="35">
        <v>8.2699999999999996E-2</v>
      </c>
      <c r="S23" s="35">
        <v>8.3799999999999999E-2</v>
      </c>
      <c r="T23" s="35">
        <v>7.4399999999999994E-2</v>
      </c>
      <c r="U23" s="35">
        <v>8.2100000000000006E-2</v>
      </c>
      <c r="V23" s="61" t="s">
        <v>711</v>
      </c>
      <c r="W23" s="61" t="str">
        <f>'C209'!$B404</f>
        <v>7.57%</v>
      </c>
      <c r="X23" s="61" t="s">
        <v>777</v>
      </c>
      <c r="Y23" s="61" t="s">
        <v>1076</v>
      </c>
      <c r="Z23" s="28" t="str">
        <f>'C209'!$B467</f>
        <v>9.03%</v>
      </c>
      <c r="AA23" s="31" t="str">
        <f>'C209'!$B488</f>
        <v>6.48%</v>
      </c>
      <c r="AB23" s="81" t="str" cm="1">
        <f t="array" ref="AB23">INDEX('C209'!$I:$I,5+(COLUMN()-28)*21)</f>
        <v>9.12%</v>
      </c>
      <c r="AC23" s="81" t="str" cm="1">
        <f t="array" ref="AC23">INDEX('C209'!$I:$I,5+(COLUMN()-28)*21)</f>
        <v>7.84%</v>
      </c>
      <c r="AD23" s="87" cm="1">
        <f t="array" ref="AD23">INDEX('C209'!$I:$I,5+(COLUMN()-28)*21)</f>
        <v>6.0842433697347896E-2</v>
      </c>
      <c r="AE23" s="87" cm="1">
        <f t="array" ref="AE23">INDEX('C209'!$I:$I,5+(COLUMN()-28)*21)</f>
        <v>6.2933513787853154E-2</v>
      </c>
      <c r="AF23" s="81" t="str" cm="1">
        <f t="array" ref="AF23">INDEX('C209'!$I:$I,5+(COLUMN()-28)*21)</f>
        <v>9.80%</v>
      </c>
      <c r="AG23" s="81" t="str" cm="1">
        <f t="array" ref="AG23">INDEX('C209'!$I:$I,5+(COLUMN()-28)*21)</f>
        <v>10.72%</v>
      </c>
      <c r="AH23" s="81" t="str" cm="1">
        <f t="array" ref="AH23">INDEX('C209'!$I:$I,5+(COLUMN()-28)*21)</f>
        <v>6.45%</v>
      </c>
      <c r="AI23" s="81" t="str" cm="1">
        <f t="array" ref="AI23">INDEX('C209'!$I:$I,5+(COLUMN()-28)*21)</f>
        <v>7.46%</v>
      </c>
      <c r="AJ23" s="81" t="str" cm="1">
        <f t="array" ref="AJ23">INDEX('C209'!$I:$I,5+(COLUMN()-28)*21)</f>
        <v>6.17%</v>
      </c>
      <c r="AK23" s="87" cm="1">
        <f t="array" ref="AK23">INDEX('C209'!$I:$I,5+(COLUMN()-28)*21)</f>
        <v>9.8238482384823841E-2</v>
      </c>
      <c r="AL23" s="87" cm="1">
        <f t="array" ref="AL23">INDEX('C209'!$I:$I,5+(COLUMN()-28)*21)</f>
        <v>0.1324171029668412</v>
      </c>
      <c r="AM23" s="81" t="str" cm="1">
        <f t="array" ref="AM23">INDEX('C209'!$I:$I,5+(COLUMN()-28)*21)</f>
        <v>7.24%</v>
      </c>
      <c r="AN23" s="81" t="str" cm="1">
        <f t="array" ref="AN23">INDEX('C209'!$I:$I,5+(COLUMN()-28)*21)</f>
        <v>11.00%</v>
      </c>
      <c r="AO23" s="81" t="str" cm="1">
        <f t="array" ref="AO23">INDEX('C209'!$I:$I,5+(COLUMN()-28)*21)</f>
        <v>8.15%</v>
      </c>
      <c r="AP23" s="81" t="str" cm="1">
        <f t="array" ref="AP23">INDEX('C209'!$I:$I,5+(COLUMN()-28)*21)</f>
        <v>8.49%</v>
      </c>
      <c r="AQ23" s="81" t="str" cm="1">
        <f t="array" ref="AQ23">INDEX('C209'!$I:$I,5+(COLUMN()-28)*21)</f>
        <v>9.73%</v>
      </c>
      <c r="AR23" s="110" cm="1">
        <f t="array" ref="AR23">INDEX('C209'!$I:$I,5+(COLUMN()-28)*21)</f>
        <v>0.10941043083900227</v>
      </c>
      <c r="AS23" s="81" t="str" cm="1">
        <f t="array" ref="AS23">INDEX('C209'!$I:$I,5+(COLUMN()-28)*21)</f>
        <v>8.05%</v>
      </c>
      <c r="AT23" s="81" t="str" cm="1">
        <f t="array" ref="AT23">INDEX('C209'!$I:$I,5+(COLUMN()-28)*21)</f>
        <v>10.44%</v>
      </c>
      <c r="AU23" s="81" t="str" cm="1">
        <f t="array" ref="AU23">INDEX('C209'!$I:$I,5+(COLUMN()-28)*21)</f>
        <v>11.26%</v>
      </c>
      <c r="AV23" s="87" t="str" cm="1">
        <f t="array" ref="AV23">INDEX('C209'!$I:$I,5+(COLUMN()-28)*21)</f>
        <v>14.09%</v>
      </c>
      <c r="AW23" s="81" t="str" cm="1">
        <f t="array" ref="AW23">INDEX('C209'!$I:$I,5+(COLUMN()-28)*21)</f>
        <v>12.62%</v>
      </c>
      <c r="AX23" s="81" t="str" cm="1">
        <f t="array" ref="AX23">INDEX('C209'!$I:$I,5+(COLUMN()-28)*21)</f>
        <v>1.10%</v>
      </c>
      <c r="AY23" s="81" t="str" cm="1">
        <f t="array" ref="AY23">INDEX('C209'!$I:$I,5+(COLUMN()-28)*21)</f>
        <v>1.69%</v>
      </c>
      <c r="AZ23" s="81" t="str" cm="1">
        <f t="array" ref="AZ23">INDEX('C209'!$I:$I,5+(COLUMN()-28)*21)</f>
        <v>2.31%</v>
      </c>
      <c r="BA23" s="81" t="str" cm="1">
        <f t="array" ref="BA23">INDEX('C209'!$I:$I,5+(COLUMN()-28)*21)</f>
        <v>2.34%</v>
      </c>
      <c r="BB23" s="110" cm="1">
        <f t="array" ref="BB23">_xlfn.NUMBERVALUE(INDEX('C209'!$P:$P,5+(COLUMN()-54)*21))</f>
        <v>4.07E-2</v>
      </c>
      <c r="BC23" s="110" cm="1">
        <f t="array" ref="BC23">_xlfn.NUMBERVALUE(INDEX('C209'!$P:$P,5+(COLUMN()-54)*21))</f>
        <v>5.0900000000000001E-2</v>
      </c>
      <c r="BD23" s="110" cm="1">
        <f t="array" ref="BD23">_xlfn.NUMBERVALUE(INDEX('C209'!$P:$P,5+(COLUMN()-54)*21))</f>
        <v>6.3399999999999998E-2</v>
      </c>
      <c r="BE23" s="110" cm="1">
        <f t="array" ref="BE23">_xlfn.NUMBERVALUE(INDEX('C209'!$P:$P,5+(COLUMN()-54)*21))</f>
        <v>8.0100000000000005E-2</v>
      </c>
      <c r="BF23" s="110" cm="1">
        <f t="array" ref="BF23">_xlfn.NUMBERVALUE(INDEX('C209'!$P:$P,5+(COLUMN()-54)*21))</f>
        <v>6.83E-2</v>
      </c>
      <c r="BG23" s="110" cm="1">
        <f t="array" ref="BG23">_xlfn.NUMBERVALUE(INDEX('C209'!$P:$P,5+(COLUMN()-54)*21))</f>
        <v>3.95E-2</v>
      </c>
      <c r="BH23" s="110" cm="1">
        <f t="array" ref="BH23">_xlfn.NUMBERVALUE(INDEX('C209'!$P:$P,5+(COLUMN()-54)*21))</f>
        <v>6.9099999999999995E-2</v>
      </c>
      <c r="BI23" s="110" cm="1">
        <f t="array" ref="BI23">_xlfn.NUMBERVALUE(INDEX('C209'!$P:$P,5+(COLUMN()-54)*21))</f>
        <v>5.7200000000000001E-2</v>
      </c>
      <c r="BJ23" s="110" cm="1">
        <f t="array" ref="BJ23">_xlfn.NUMBERVALUE(INDEX('C209'!$P:$P,5+(COLUMN()-54)*21))</f>
        <v>5.5399999999999998E-2</v>
      </c>
      <c r="BK23" s="110" cm="1">
        <f t="array" ref="BK23">_xlfn.NUMBERVALUE(INDEX('C209'!$P:$P,5+(COLUMN()-54)*21))</f>
        <v>5.2499999999999998E-2</v>
      </c>
      <c r="BL23" s="110" cm="1">
        <f t="array" ref="BL23">_xlfn.NUMBERVALUE(INDEX('C209'!$P:$P,5+(COLUMN()-54)*21))</f>
        <v>7.2000000000000008E-2</v>
      </c>
      <c r="BM23" s="110" cm="1">
        <f t="array" ref="BM23">_xlfn.NUMBERVALUE(INDEX('C209'!$P:$P,5+(COLUMN()-54)*21))</f>
        <v>4.0999999999999995E-2</v>
      </c>
      <c r="BN23" s="110" cm="1">
        <f t="array" ref="BN23">_xlfn.NUMBERVALUE(INDEX('C209'!$P:$P,5+(COLUMN()-54)*21))</f>
        <v>6.2800000000000009E-2</v>
      </c>
      <c r="BO23" s="110" cm="1">
        <f t="array" ref="BO23">_xlfn.NUMBERVALUE(INDEX('C209'!$P:$P,5+(COLUMN()-54)*21))</f>
        <v>6.6000000000000003E-2</v>
      </c>
      <c r="BP23" s="110" cm="1">
        <f t="array" ref="BP23">_xlfn.NUMBERVALUE(INDEX('C209'!$P:$P,5+(COLUMN()-54)*21))</f>
        <v>8.0399999999999985E-2</v>
      </c>
      <c r="BQ23" s="110" cm="1">
        <f t="array" ref="BQ23">_xlfn.NUMBERVALUE(INDEX('C209'!$P:$P,5+(COLUMN()-54)*21))</f>
        <v>0.14960000000000001</v>
      </c>
      <c r="BR23" s="110" cm="1">
        <f t="array" ref="BR23">_xlfn.NUMBERVALUE(INDEX('C209'!$P:$P,5+(COLUMN()-54)*21))</f>
        <v>9.06E-2</v>
      </c>
      <c r="BS23" s="110" cm="1">
        <f t="array" ref="BS23">_xlfn.NUMBERVALUE(INDEX('C209'!$P:$P,5+(COLUMN()-54)*21))</f>
        <v>0.1042</v>
      </c>
      <c r="BT23" s="110" cm="1">
        <f t="array" ref="BT23">_xlfn.NUMBERVALUE(INDEX('C209'!$P:$P,5+(COLUMN()-54)*21))</f>
        <v>7.4099999999999999E-2</v>
      </c>
      <c r="BU23" s="110" cm="1">
        <f t="array" ref="BU23">_xlfn.NUMBERVALUE(INDEX('C209'!$P:$P,5+(COLUMN()-54)*21))</f>
        <v>0.13220000000000001</v>
      </c>
      <c r="BV23" s="110" cm="1">
        <f t="array" ref="BV23">_xlfn.NUMBERVALUE(INDEX('C209'!$P:$P,5+(COLUMN()-54)*21))</f>
        <v>9.2100000000000015E-2</v>
      </c>
      <c r="BW23" s="110" cm="1">
        <f t="array" ref="BW23">_xlfn.NUMBERVALUE(INDEX('C209'!$P:$P,5+(COLUMN()-54)*21))</f>
        <v>9.5500000000000002E-2</v>
      </c>
      <c r="BX23" s="110" cm="1">
        <f t="array" ref="BX23">_xlfn.NUMBERVALUE(INDEX('C209'!$P:$P,5+(COLUMN()-54)*21))</f>
        <v>8.6400000000000005E-2</v>
      </c>
      <c r="BY23" s="110" cm="1">
        <f t="array" ref="BY23">_xlfn.NUMBERVALUE(INDEX('C209'!$P:$P,5+(COLUMN()-54)*21))</f>
        <v>0</v>
      </c>
      <c r="BZ23" s="110" cm="1">
        <f t="array" ref="BZ23">_xlfn.NUMBERVALUE(INDEX('C209'!$P:$P,5+(COLUMN()-54)*21))</f>
        <v>0</v>
      </c>
      <c r="CA23" s="110" cm="1">
        <f t="array" ref="CA23">_xlfn.NUMBERVALUE(INDEX('C209'!$P:$P,5+(COLUMN()-54)*21))</f>
        <v>0</v>
      </c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O23" s="93" t="s">
        <v>1414</v>
      </c>
      <c r="DP23" s="95" cm="1">
        <f t="array" ref="DP23">INDEX('C209'!$I:$I,3+4*21)+INDEX('C209'!$I:$I,3+5*21)+INDEX('C209'!$I:$I,3+6*21)+INDEX('C209'!$I:$I,3+7*21)+INDEX('C209'!$I:$I,3+8*21)+INDEX('C209'!$I:$I,3+9*21)</f>
        <v>29047</v>
      </c>
      <c r="DQ23" s="101" cm="1">
        <f t="array" ref="DQ23">INDEX('C209'!$I:$I,3+10*21)+INDEX('C209'!$I:$I,3+11*21)+INDEX('C209'!$I:$I,3+12*21)+INDEX('C209'!$I:$I,3+13*21)+INDEX('C209'!$I:$I,3+14*21)+INDEX('C209'!$I:$I,3+15*21)</f>
        <v>35013</v>
      </c>
      <c r="DR23" s="101" cm="1">
        <f t="array" ref="DR23">INDEX('C209'!$I:$I,3+16*21)+INDEX('C209'!$I:$I,3+17*21)+INDEX('C209'!$I:$I,3+18*21)+INDEX('C209'!$I:$I,3+19*21)+INDEX('C209'!$I:$I,3+20*21)+INDEX('C209'!$I:$I,3+21*21)</f>
        <v>31499</v>
      </c>
    </row>
    <row r="24" spans="1:134" x14ac:dyDescent="0.3">
      <c r="A24" s="38" t="s">
        <v>12</v>
      </c>
      <c r="B24" s="35">
        <v>8.1900000000000001E-2</v>
      </c>
      <c r="C24" s="35">
        <v>0.11890000000000001</v>
      </c>
      <c r="D24" s="35">
        <v>6.7699999999999996E-2</v>
      </c>
      <c r="E24" s="35">
        <v>7.8299999999999995E-2</v>
      </c>
      <c r="F24" s="35">
        <v>6.5600000000000006E-2</v>
      </c>
      <c r="G24" s="35">
        <v>7.1599999999999997E-2</v>
      </c>
      <c r="H24" s="35">
        <v>0.1053</v>
      </c>
      <c r="I24" s="35"/>
      <c r="J24" s="35"/>
      <c r="K24" s="35">
        <v>8.2799999999999999E-2</v>
      </c>
      <c r="L24" s="35">
        <v>7.3599999999999999E-2</v>
      </c>
      <c r="M24" s="35">
        <v>8.6499999999999994E-2</v>
      </c>
      <c r="N24" s="35">
        <v>8.9800000000000005E-2</v>
      </c>
      <c r="O24" s="35">
        <v>0.1164</v>
      </c>
      <c r="P24" s="35">
        <v>0.1371</v>
      </c>
      <c r="Q24" s="35">
        <v>9.98E-2</v>
      </c>
      <c r="R24" s="35">
        <v>8.0500000000000002E-2</v>
      </c>
      <c r="S24" s="35">
        <v>8.14E-2</v>
      </c>
      <c r="T24" s="35">
        <v>7.2599999999999998E-2</v>
      </c>
      <c r="U24" s="35">
        <v>7.9600000000000004E-2</v>
      </c>
      <c r="V24" s="61" t="s">
        <v>650</v>
      </c>
      <c r="W24" s="61" t="str">
        <f>'C209'!$B405</f>
        <v>7.28%</v>
      </c>
      <c r="X24" s="61" t="s">
        <v>297</v>
      </c>
      <c r="Y24" s="61" t="s">
        <v>865</v>
      </c>
      <c r="Z24" s="28" t="str">
        <f>'C209'!$B468</f>
        <v>8.29%</v>
      </c>
      <c r="AA24" s="31" t="str">
        <f>'C209'!$B489</f>
        <v>6.10%</v>
      </c>
      <c r="AB24" s="81" t="str" cm="1">
        <f t="array" ref="AB24">INDEX('C209'!$I:$I,6+(COLUMN()-28)*21)</f>
        <v>8.93%</v>
      </c>
      <c r="AC24" s="81" t="str" cm="1">
        <f t="array" ref="AC24">INDEX('C209'!$I:$I,6+(COLUMN()-28)*21)</f>
        <v>7.77%</v>
      </c>
      <c r="AD24" s="87" cm="1">
        <f t="array" ref="AD24">INDEX('C209'!$I:$I,6+(COLUMN()-28)*21)</f>
        <v>5.9849666713941284E-2</v>
      </c>
      <c r="AE24" s="87" cm="1">
        <f t="array" ref="AE24">INDEX('C209'!$I:$I,6+(COLUMN()-28)*21)</f>
        <v>5.751987819319912E-2</v>
      </c>
      <c r="AF24" s="81" t="str" cm="1">
        <f t="array" ref="AF24">INDEX('C209'!$I:$I,6+(COLUMN()-28)*21)</f>
        <v>8.19%</v>
      </c>
      <c r="AG24" s="81" t="str" cm="1">
        <f t="array" ref="AG24">INDEX('C209'!$I:$I,6+(COLUMN()-28)*21)</f>
        <v>8.53%</v>
      </c>
      <c r="AH24" s="81" t="str" cm="1">
        <f t="array" ref="AH24">INDEX('C209'!$I:$I,6+(COLUMN()-28)*21)</f>
        <v>5.40%</v>
      </c>
      <c r="AI24" s="81" t="str" cm="1">
        <f t="array" ref="AI24">INDEX('C209'!$I:$I,6+(COLUMN()-28)*21)</f>
        <v>6.50%</v>
      </c>
      <c r="AJ24" s="81" t="str" cm="1">
        <f t="array" ref="AJ24">INDEX('C209'!$I:$I,6+(COLUMN()-28)*21)</f>
        <v>5.83%</v>
      </c>
      <c r="AK24" s="87" cm="1">
        <f t="array" ref="AK24">INDEX('C209'!$I:$I,6+(COLUMN()-28)*21)</f>
        <v>9.6544715447154469E-2</v>
      </c>
      <c r="AL24" s="87" cm="1">
        <f t="array" ref="AL24">INDEX('C209'!$I:$I,6+(COLUMN()-28)*21)</f>
        <v>0.13089005235602094</v>
      </c>
      <c r="AM24" s="81" t="str" cm="1">
        <f t="array" ref="AM24">INDEX('C209'!$I:$I,6+(COLUMN()-28)*21)</f>
        <v>7.11%</v>
      </c>
      <c r="AN24" s="81" t="str" cm="1">
        <f t="array" ref="AN24">INDEX('C209'!$I:$I,6+(COLUMN()-28)*21)</f>
        <v>10.83%</v>
      </c>
      <c r="AO24" s="81" t="str" cm="1">
        <f t="array" ref="AO24">INDEX('C209'!$I:$I,6+(COLUMN()-28)*21)</f>
        <v>7.27%</v>
      </c>
      <c r="AP24" s="81" t="str" cm="1">
        <f t="array" ref="AP24">INDEX('C209'!$I:$I,6+(COLUMN()-28)*21)</f>
        <v>6.62%</v>
      </c>
      <c r="AQ24" s="81" t="str" cm="1">
        <f t="array" ref="AQ24">INDEX('C209'!$I:$I,6+(COLUMN()-28)*21)</f>
        <v>7.34%</v>
      </c>
      <c r="AR24" s="110" cm="1">
        <f t="array" ref="AR24">INDEX('C209'!$I:$I,6+(COLUMN()-28)*21)</f>
        <v>8.3049886621315197E-2</v>
      </c>
      <c r="AS24" s="81" t="str" cm="1">
        <f t="array" ref="AS24">INDEX('C209'!$I:$I,6+(COLUMN()-28)*21)</f>
        <v>6.63%</v>
      </c>
      <c r="AT24" s="81" t="str" cm="1">
        <f t="array" ref="AT24">INDEX('C209'!$I:$I,6+(COLUMN()-28)*21)</f>
        <v>8.99%</v>
      </c>
      <c r="AU24" s="81" t="str" cm="1">
        <f t="array" ref="AU24">INDEX('C209'!$I:$I,6+(COLUMN()-28)*21)</f>
        <v>9.24%</v>
      </c>
      <c r="AV24" s="87" t="str" cm="1">
        <f t="array" ref="AV24">INDEX('C209'!$I:$I,6+(COLUMN()-28)*21)</f>
        <v>10.32%</v>
      </c>
      <c r="AW24" s="81" t="str" cm="1">
        <f t="array" ref="AW24">INDEX('C209'!$I:$I,6+(COLUMN()-28)*21)</f>
        <v>8.81%</v>
      </c>
      <c r="AX24" s="81" t="str" cm="1">
        <f t="array" ref="AX24">INDEX('C209'!$I:$I,6+(COLUMN()-28)*21)</f>
        <v>1.05%</v>
      </c>
      <c r="AY24" s="81" t="str" cm="1">
        <f t="array" ref="AY24">INDEX('C209'!$I:$I,6+(COLUMN()-28)*21)</f>
        <v>1.54%</v>
      </c>
      <c r="AZ24" s="81" t="str" cm="1">
        <f t="array" ref="AZ24">INDEX('C209'!$I:$I,6+(COLUMN()-28)*21)</f>
        <v>2.09%</v>
      </c>
      <c r="BA24" s="81" t="str" cm="1">
        <f t="array" ref="BA24">INDEX('C209'!$I:$I,6+(COLUMN()-28)*21)</f>
        <v>1.74%</v>
      </c>
      <c r="BB24" s="110" cm="1">
        <f t="array" ref="BB24">_xlfn.NUMBERVALUE(INDEX('C209'!$P:$P,6+(COLUMN()-54)*21))</f>
        <v>2.6600000000000002E-2</v>
      </c>
      <c r="BC24" s="110" cm="1">
        <f t="array" ref="BC24">_xlfn.NUMBERVALUE(INDEX('C209'!$P:$P,6+(COLUMN()-54)*21))</f>
        <v>3.7200000000000004E-2</v>
      </c>
      <c r="BD24" s="110" cm="1">
        <f t="array" ref="BD24">_xlfn.NUMBERVALUE(INDEX('C209'!$P:$P,6+(COLUMN()-54)*21))</f>
        <v>3.9699999999999999E-2</v>
      </c>
      <c r="BE24" s="110" cm="1">
        <f t="array" ref="BE24">_xlfn.NUMBERVALUE(INDEX('C209'!$P:$P,6+(COLUMN()-54)*21))</f>
        <v>3.2400000000000005E-2</v>
      </c>
      <c r="BF24" s="110" cm="1">
        <f t="array" ref="BF24">_xlfn.NUMBERVALUE(INDEX('C209'!$P:$P,6+(COLUMN()-54)*21))</f>
        <v>3.9100000000000003E-2</v>
      </c>
      <c r="BG24" s="110" cm="1">
        <f t="array" ref="BG24">_xlfn.NUMBERVALUE(INDEX('C209'!$P:$P,6+(COLUMN()-54)*21))</f>
        <v>3.3300000000000003E-2</v>
      </c>
      <c r="BH24" s="110" cm="1">
        <f t="array" ref="BH24">_xlfn.NUMBERVALUE(INDEX('C209'!$P:$P,6+(COLUMN()-54)*21))</f>
        <v>4.4400000000000002E-2</v>
      </c>
      <c r="BI24" s="110" cm="1">
        <f t="array" ref="BI24">_xlfn.NUMBERVALUE(INDEX('C209'!$P:$P,6+(COLUMN()-54)*21))</f>
        <v>5.4100000000000002E-2</v>
      </c>
      <c r="BJ24" s="110" cm="1">
        <f t="array" ref="BJ24">_xlfn.NUMBERVALUE(INDEX('C209'!$P:$P,6+(COLUMN()-54)*21))</f>
        <v>5.3699999999999998E-2</v>
      </c>
      <c r="BK24" s="110" cm="1">
        <f t="array" ref="BK24">_xlfn.NUMBERVALUE(INDEX('C209'!$P:$P,6+(COLUMN()-54)*21))</f>
        <v>3.7599999999999995E-2</v>
      </c>
      <c r="BL24" s="110" cm="1">
        <f t="array" ref="BL24">_xlfn.NUMBERVALUE(INDEX('C209'!$P:$P,6+(COLUMN()-54)*21))</f>
        <v>3.9100000000000003E-2</v>
      </c>
      <c r="BM24" s="110" cm="1">
        <f t="array" ref="BM24">_xlfn.NUMBERVALUE(INDEX('C209'!$P:$P,6+(COLUMN()-54)*21))</f>
        <v>3.3500000000000002E-2</v>
      </c>
      <c r="BN24" s="110" cm="1">
        <f t="array" ref="BN24">_xlfn.NUMBERVALUE(INDEX('C209'!$P:$P,6+(COLUMN()-54)*21))</f>
        <v>5.9500000000000004E-2</v>
      </c>
      <c r="BO24" s="110" cm="1">
        <f t="array" ref="BO24">_xlfn.NUMBERVALUE(INDEX('C209'!$P:$P,6+(COLUMN()-54)*21))</f>
        <v>6.4600000000000005E-2</v>
      </c>
      <c r="BP24" s="110" cm="1">
        <f t="array" ref="BP24">_xlfn.NUMBERVALUE(INDEX('C209'!$P:$P,6+(COLUMN()-54)*21))</f>
        <v>7.6499999999999999E-2</v>
      </c>
      <c r="BQ24" s="110" cm="1">
        <f t="array" ref="BQ24">_xlfn.NUMBERVALUE(INDEX('C209'!$P:$P,6+(COLUMN()-54)*21))</f>
        <v>0.1454</v>
      </c>
      <c r="BR24" s="110" cm="1">
        <f t="array" ref="BR24">_xlfn.NUMBERVALUE(INDEX('C209'!$P:$P,6+(COLUMN()-54)*21))</f>
        <v>8.72E-2</v>
      </c>
      <c r="BS24" s="110" cm="1">
        <f t="array" ref="BS24">_xlfn.NUMBERVALUE(INDEX('C209'!$P:$P,6+(COLUMN()-54)*21))</f>
        <v>0.10339999999999999</v>
      </c>
      <c r="BT24" s="110" cm="1">
        <f t="array" ref="BT24">_xlfn.NUMBERVALUE(INDEX('C209'!$P:$P,6+(COLUMN()-54)*21))</f>
        <v>7.1399999999999991E-2</v>
      </c>
      <c r="BU24" s="110" cm="1">
        <f t="array" ref="BU24">_xlfn.NUMBERVALUE(INDEX('C209'!$P:$P,6+(COLUMN()-54)*21))</f>
        <v>0.11849999999999999</v>
      </c>
      <c r="BV24" s="110" cm="1">
        <f t="array" ref="BV24">_xlfn.NUMBERVALUE(INDEX('C209'!$P:$P,6+(COLUMN()-54)*21))</f>
        <v>8.5099999999999995E-2</v>
      </c>
      <c r="BW24" s="110" cm="1">
        <f t="array" ref="BW24">_xlfn.NUMBERVALUE(INDEX('C209'!$P:$P,6+(COLUMN()-54)*21))</f>
        <v>9.1799999999999993E-2</v>
      </c>
      <c r="BX24" s="110" cm="1">
        <f t="array" ref="BX24">_xlfn.NUMBERVALUE(INDEX('C209'!$P:$P,6+(COLUMN()-54)*21))</f>
        <v>8.1000000000000003E-2</v>
      </c>
      <c r="BY24" s="110" cm="1">
        <f t="array" ref="BY24">_xlfn.NUMBERVALUE(INDEX('C209'!$P:$P,6+(COLUMN()-54)*21))</f>
        <v>0</v>
      </c>
      <c r="BZ24" s="110" cm="1">
        <f t="array" ref="BZ24">_xlfn.NUMBERVALUE(INDEX('C209'!$P:$P,6+(COLUMN()-54)*21))</f>
        <v>0</v>
      </c>
      <c r="CA24" s="110" cm="1">
        <f t="array" ref="CA24">_xlfn.NUMBERVALUE(INDEX('C209'!$P:$P,6+(COLUMN()-54)*21))</f>
        <v>0</v>
      </c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O24" s="93" t="s">
        <v>1418</v>
      </c>
      <c r="DP24" s="96" cm="1">
        <f t="array" ref="DP24">INDEX('C209'!$I:$I,9+4*21)+INDEX('C209'!$I:$I,9+5*21)+INDEX('C209'!$I:$I,9+6*21)+INDEX('C209'!$I:$I,9+7*21)+INDEX('C209'!$I:$I,9+8*21)+INDEX('C209'!$I:$I,9+9*21)</f>
        <v>2175</v>
      </c>
      <c r="DQ24" s="74" cm="1">
        <f t="array" ref="DQ24">INDEX('C209'!$I:$I,9+10*21)+INDEX('C209'!$I:$I,9+11*21)+INDEX('C209'!$I:$I,9+12*21)+INDEX('C209'!$I:$I,9+13*21)+INDEX('C209'!$I:$I,9+14*21)+INDEX('C209'!$I:$I,9+15*21)</f>
        <v>2951</v>
      </c>
      <c r="DR24" s="74" cm="1">
        <f t="array" ref="DR24">INDEX('C209'!$I:$I,9+16*21)+INDEX('C209'!$I:$I,9+17*21)+INDEX('C209'!$I:$I,9+18*21)+INDEX('C209'!$I:$I,9+19*21)+INDEX('C209'!$I:$I,9+20*21)+INDEX('C209'!$I:$I,9+21*21)</f>
        <v>2752</v>
      </c>
    </row>
    <row r="25" spans="1:134" x14ac:dyDescent="0.3">
      <c r="A25" s="38" t="s">
        <v>17</v>
      </c>
      <c r="B25" s="35">
        <v>2E-3</v>
      </c>
      <c r="C25" s="35">
        <v>2.0999999999999999E-3</v>
      </c>
      <c r="D25" s="35">
        <v>3.0999999999999999E-3</v>
      </c>
      <c r="E25" s="35">
        <v>2.5999999999999999E-3</v>
      </c>
      <c r="F25" s="35">
        <v>8.0000000000000004E-4</v>
      </c>
      <c r="G25" s="35">
        <v>4.1999999999999997E-3</v>
      </c>
      <c r="H25" s="35">
        <v>4.3E-3</v>
      </c>
      <c r="I25" s="35"/>
      <c r="J25" s="35"/>
      <c r="K25" s="35">
        <v>1.1999999999999999E-3</v>
      </c>
      <c r="L25" s="35">
        <v>0</v>
      </c>
      <c r="M25" s="35">
        <v>1.2999999999999999E-3</v>
      </c>
      <c r="N25" s="35">
        <v>3.8E-3</v>
      </c>
      <c r="O25" s="35">
        <v>4.0000000000000001E-3</v>
      </c>
      <c r="P25" s="35">
        <v>3.2000000000000002E-3</v>
      </c>
      <c r="Q25" s="35">
        <v>1.2999999999999999E-3</v>
      </c>
      <c r="R25" s="35">
        <v>4.0000000000000001E-3</v>
      </c>
      <c r="S25" s="35">
        <v>2.8999999999999998E-3</v>
      </c>
      <c r="T25" s="35">
        <v>2E-3</v>
      </c>
      <c r="U25" s="35">
        <v>3.5999999999999999E-3</v>
      </c>
      <c r="V25" s="61" t="s">
        <v>418</v>
      </c>
      <c r="W25" s="61" t="str">
        <f>'C209'!$B406</f>
        <v>0.36%</v>
      </c>
      <c r="X25" s="61" t="s">
        <v>147</v>
      </c>
      <c r="Y25" s="61" t="s">
        <v>545</v>
      </c>
      <c r="Z25" s="28" t="str">
        <f>'C209'!$B469</f>
        <v>0.86%</v>
      </c>
      <c r="AA25" s="31" t="str">
        <f>'C209'!$B490</f>
        <v>0.46%</v>
      </c>
      <c r="AB25" s="81" t="str" cm="1">
        <f t="array" ref="AB25">INDEX('C209'!$I:$I,7+(COLUMN()-28)*21)</f>
        <v>0.21%</v>
      </c>
      <c r="AC25" s="81" t="str" cm="1">
        <f t="array" ref="AC25">INDEX('C209'!$I:$I,7+(COLUMN()-28)*21)</f>
        <v>0.13%</v>
      </c>
      <c r="AD25" s="87" cm="1">
        <f t="array" ref="AD25">INDEX('C209'!$I:$I,7+(COLUMN()-28)*21)</f>
        <v>8.5094312863423624E-4</v>
      </c>
      <c r="AE25" s="87" cm="1">
        <f t="array" ref="AE25">INDEX('C209'!$I:$I,7+(COLUMN()-28)*21)</f>
        <v>6.5978683809846048E-3</v>
      </c>
      <c r="AF25" s="81" t="str" cm="1">
        <f t="array" ref="AF25">INDEX('C209'!$I:$I,7+(COLUMN()-28)*21)</f>
        <v>1.97%</v>
      </c>
      <c r="AG25" s="81" t="str" cm="1">
        <f t="array" ref="AG25">INDEX('C209'!$I:$I,7+(COLUMN()-28)*21)</f>
        <v>2.71%</v>
      </c>
      <c r="AH25" s="81" t="str" cm="1">
        <f t="array" ref="AH25">INDEX('C209'!$I:$I,7+(COLUMN()-28)*21)</f>
        <v>0.97%</v>
      </c>
      <c r="AI25" s="81" t="str" cm="1">
        <f t="array" ref="AI25">INDEX('C209'!$I:$I,7+(COLUMN()-28)*21)</f>
        <v>0.69%</v>
      </c>
      <c r="AJ25" s="81" t="str" cm="1">
        <f t="array" ref="AJ25">INDEX('C209'!$I:$I,7+(COLUMN()-28)*21)</f>
        <v>0.32%</v>
      </c>
      <c r="AK25" s="87" cm="1">
        <f t="array" ref="AK25">INDEX('C209'!$I:$I,7+(COLUMN()-28)*21)</f>
        <v>1.1856368563685636E-3</v>
      </c>
      <c r="AL25" s="87" cm="1">
        <f t="array" ref="AL25">INDEX('C209'!$I:$I,7+(COLUMN()-28)*21)</f>
        <v>1.7452006980802793E-3</v>
      </c>
      <c r="AM25" s="81" t="str" cm="1">
        <f t="array" ref="AM25">INDEX('C209'!$I:$I,7+(COLUMN()-28)*21)</f>
        <v>0.16%</v>
      </c>
      <c r="AN25" s="81" t="str" cm="1">
        <f t="array" ref="AN25">INDEX('C209'!$I:$I,7+(COLUMN()-28)*21)</f>
        <v>0.17%</v>
      </c>
      <c r="AO25" s="81" t="str" cm="1">
        <f t="array" ref="AO25">INDEX('C209'!$I:$I,7+(COLUMN()-28)*21)</f>
        <v>0.83%</v>
      </c>
      <c r="AP25" s="81" t="str" cm="1">
        <f t="array" ref="AP25">INDEX('C209'!$I:$I,7+(COLUMN()-28)*21)</f>
        <v>1.78%</v>
      </c>
      <c r="AQ25" s="81" t="str" cm="1">
        <f t="array" ref="AQ25">INDEX('C209'!$I:$I,7+(COLUMN()-28)*21)</f>
        <v>2.09%</v>
      </c>
      <c r="AR25" s="110" cm="1">
        <f t="array" ref="AR25">INDEX('C209'!$I:$I,7+(COLUMN()-28)*21)</f>
        <v>2.6643990929705215E-2</v>
      </c>
      <c r="AS25" s="81" t="str" cm="1">
        <f t="array" ref="AS25">INDEX('C209'!$I:$I,7+(COLUMN()-28)*21)</f>
        <v>1.47%</v>
      </c>
      <c r="AT25" s="81" t="str" cm="1">
        <f t="array" ref="AT25">INDEX('C209'!$I:$I,7+(COLUMN()-28)*21)</f>
        <v>1.61%</v>
      </c>
      <c r="AU25" s="81" t="str" cm="1">
        <f t="array" ref="AU25">INDEX('C209'!$I:$I,7+(COLUMN()-28)*21)</f>
        <v>2.59%</v>
      </c>
      <c r="AV25" s="87" t="str" cm="1">
        <f t="array" ref="AV25">INDEX('C209'!$I:$I,7+(COLUMN()-28)*21)</f>
        <v>4.87%</v>
      </c>
      <c r="AW25" s="81" t="str" cm="1">
        <f t="array" ref="AW25">INDEX('C209'!$I:$I,7+(COLUMN()-28)*21)</f>
        <v>5.12%</v>
      </c>
      <c r="AX25" s="81" t="str" cm="1">
        <f t="array" ref="AX25">INDEX('C209'!$I:$I,7+(COLUMN()-28)*21)</f>
        <v>0.05%</v>
      </c>
      <c r="AY25" s="81" t="str" cm="1">
        <f t="array" ref="AY25">INDEX('C209'!$I:$I,7+(COLUMN()-28)*21)</f>
        <v>0.15%</v>
      </c>
      <c r="AZ25" s="81" t="str" cm="1">
        <f t="array" ref="AZ25">INDEX('C209'!$I:$I,7+(COLUMN()-28)*21)</f>
        <v>0.29%</v>
      </c>
      <c r="BA25" s="81" t="str" cm="1">
        <f t="array" ref="BA25">INDEX('C209'!$I:$I,7+(COLUMN()-28)*21)</f>
        <v>0.67%</v>
      </c>
      <c r="BB25" s="110" cm="1">
        <f t="array" ref="BB25">_xlfn.NUMBERVALUE(INDEX('C209'!$P:$P,7+(COLUMN()-54)*21))</f>
        <v>1.55E-2</v>
      </c>
      <c r="BC25" s="110" cm="1">
        <f t="array" ref="BC25">_xlfn.NUMBERVALUE(INDEX('C209'!$P:$P,7+(COLUMN()-54)*21))</f>
        <v>0.34649999999999997</v>
      </c>
      <c r="BD25" s="110" cm="1">
        <f t="array" ref="BD25">_xlfn.NUMBERVALUE(INDEX('C209'!$P:$P,7+(COLUMN()-54)*21))</f>
        <v>2.4500000000000001E-2</v>
      </c>
      <c r="BE25" s="110" cm="1">
        <f t="array" ref="BE25">_xlfn.NUMBERVALUE(INDEX('C209'!$P:$P,7+(COLUMN()-54)*21))</f>
        <v>4.82E-2</v>
      </c>
      <c r="BF25" s="110" cm="1">
        <f t="array" ref="BF25">_xlfn.NUMBERVALUE(INDEX('C209'!$P:$P,7+(COLUMN()-54)*21))</f>
        <v>3.0200000000000001E-2</v>
      </c>
      <c r="BG25" s="110" cm="1">
        <f t="array" ref="BG25">_xlfn.NUMBERVALUE(INDEX('C209'!$P:$P,7+(COLUMN()-54)*21))</f>
        <v>5.6999999999999993E-3</v>
      </c>
      <c r="BH25" s="110" cm="1">
        <f t="array" ref="BH25">_xlfn.NUMBERVALUE(INDEX('C209'!$P:$P,7+(COLUMN()-54)*21))</f>
        <v>2.4199999999999999E-2</v>
      </c>
      <c r="BI25" s="110" cm="1">
        <f t="array" ref="BI25">_xlfn.NUMBERVALUE(INDEX('C209'!$P:$P,7+(COLUMN()-54)*21))</f>
        <v>2.8999999999999998E-3</v>
      </c>
      <c r="BJ25" s="110" cm="1">
        <f t="array" ref="BJ25">_xlfn.NUMBERVALUE(INDEX('C209'!$P:$P,7+(COLUMN()-54)*21))</f>
        <v>1.7000000000000001E-3</v>
      </c>
      <c r="BK25" s="110" cm="1">
        <f t="array" ref="BK25">_xlfn.NUMBERVALUE(INDEX('C209'!$P:$P,7+(COLUMN()-54)*21))</f>
        <v>1.6399999999999998E-2</v>
      </c>
      <c r="BL25" s="110" cm="1">
        <f t="array" ref="BL25">_xlfn.NUMBERVALUE(INDEX('C209'!$P:$P,7+(COLUMN()-54)*21))</f>
        <v>3.3300000000000003E-2</v>
      </c>
      <c r="BM25" s="110" cm="1">
        <f t="array" ref="BM25">_xlfn.NUMBERVALUE(INDEX('C209'!$P:$P,7+(COLUMN()-54)*21))</f>
        <v>8.0000000000000002E-3</v>
      </c>
      <c r="BN25" s="110" cm="1">
        <f t="array" ref="BN25">_xlfn.NUMBERVALUE(INDEX('C209'!$P:$P,7+(COLUMN()-54)*21))</f>
        <v>3.3E-3</v>
      </c>
      <c r="BO25" s="110" cm="1">
        <f t="array" ref="BO25">_xlfn.NUMBERVALUE(INDEX('C209'!$P:$P,7+(COLUMN()-54)*21))</f>
        <v>1.4000000000000002E-3</v>
      </c>
      <c r="BP25" s="110" cm="1">
        <f t="array" ref="BP25">_xlfn.NUMBERVALUE(INDEX('C209'!$P:$P,7+(COLUMN()-54)*21))</f>
        <v>5.1999999999999998E-3</v>
      </c>
      <c r="BQ25" s="110" cm="1">
        <f t="array" ref="BQ25">_xlfn.NUMBERVALUE(INDEX('C209'!$P:$P,7+(COLUMN()-54)*21))</f>
        <v>4.1999999999999997E-3</v>
      </c>
      <c r="BR25" s="110" cm="1">
        <f t="array" ref="BR25">_xlfn.NUMBERVALUE(INDEX('C209'!$P:$P,7+(COLUMN()-54)*21))</f>
        <v>4.0000000000000001E-3</v>
      </c>
      <c r="BS25" s="110" cm="1">
        <f t="array" ref="BS25">_xlfn.NUMBERVALUE(INDEX('C209'!$P:$P,7+(COLUMN()-54)*21))</f>
        <v>7.000000000000001E-4</v>
      </c>
      <c r="BT25" s="110" cm="1">
        <f t="array" ref="BT25">_xlfn.NUMBERVALUE(INDEX('C209'!$P:$P,7+(COLUMN()-54)*21))</f>
        <v>2.5000000000000001E-3</v>
      </c>
      <c r="BU25" s="110" cm="1">
        <f t="array" ref="BU25">_xlfn.NUMBERVALUE(INDEX('C209'!$P:$P,7+(COLUMN()-54)*21))</f>
        <v>1.1899999999999999E-2</v>
      </c>
      <c r="BV25" s="110" cm="1">
        <f t="array" ref="BV25">_xlfn.NUMBERVALUE(INDEX('C209'!$P:$P,7+(COLUMN()-54)*21))</f>
        <v>6.3E-3</v>
      </c>
      <c r="BW25" s="110" cm="1">
        <f t="array" ref="BW25">_xlfn.NUMBERVALUE(INDEX('C209'!$P:$P,7+(COLUMN()-54)*21))</f>
        <v>3.5999999999999999E-3</v>
      </c>
      <c r="BX25" s="110" cm="1">
        <f t="array" ref="BX25">_xlfn.NUMBERVALUE(INDEX('C209'!$P:$P,7+(COLUMN()-54)*21))</f>
        <v>5.1000000000000004E-3</v>
      </c>
      <c r="BY25" s="110" cm="1">
        <f t="array" ref="BY25">_xlfn.NUMBERVALUE(INDEX('C209'!$P:$P,7+(COLUMN()-54)*21))</f>
        <v>0</v>
      </c>
      <c r="BZ25" s="110" cm="1">
        <f t="array" ref="BZ25">_xlfn.NUMBERVALUE(INDEX('C209'!$P:$P,7+(COLUMN()-54)*21))</f>
        <v>0</v>
      </c>
      <c r="CA25" s="110" cm="1">
        <f t="array" ref="CA25">_xlfn.NUMBERVALUE(INDEX('C209'!$P:$P,7+(COLUMN()-54)*21))</f>
        <v>0</v>
      </c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22"/>
      <c r="DO25" s="93" t="s">
        <v>1419</v>
      </c>
      <c r="DP25" s="96" cm="1">
        <f t="array" ref="DP25">INDEX('C209'!$I:$I,15+4*21)+INDEX('C209'!$I:$I,15+5*21)+INDEX('C209'!$I:$I,15+6*21)+INDEX('C209'!$I:$I,15+7*21)+INDEX('C209'!$I:$I,15+8*21)+INDEX('C209'!$I:$I,15+9*21)</f>
        <v>326</v>
      </c>
      <c r="DQ25" s="74" cm="1">
        <f t="array" ref="DQ25">INDEX('C209'!$I:$I,15+10*21)+INDEX('C209'!$I:$I,15+11*21)+INDEX('C209'!$I:$I,15+12*21)+INDEX('C209'!$I:$I,15+13*21)+INDEX('C209'!$I:$I,15+14*21)+INDEX('C209'!$I:$I,15+15*21)</f>
        <v>315</v>
      </c>
      <c r="DR25" s="74" cm="1">
        <f t="array" ref="DR25">INDEX('C209'!$I:$I,15+16*21)+INDEX('C209'!$I:$I,15+17*21)+INDEX('C209'!$I:$I,15+18*21)+INDEX('C209'!$I:$I,15+19*21)+INDEX('C209'!$I:$I,15+20*21)+INDEX('C209'!$I:$I,15+21*21)</f>
        <v>911</v>
      </c>
      <c r="DS25" s="119"/>
    </row>
    <row r="26" spans="1:134" x14ac:dyDescent="0.3">
      <c r="A26" s="38" t="s">
        <v>22</v>
      </c>
      <c r="B26" s="35">
        <v>0</v>
      </c>
      <c r="C26" s="35">
        <v>0</v>
      </c>
      <c r="D26" s="35">
        <v>0</v>
      </c>
      <c r="E26" s="35">
        <v>2.0000000000000001E-4</v>
      </c>
      <c r="F26" s="35">
        <v>0</v>
      </c>
      <c r="G26" s="35">
        <v>0</v>
      </c>
      <c r="H26" s="35">
        <v>0</v>
      </c>
      <c r="I26" s="35"/>
      <c r="J26" s="35"/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2.0000000000000001E-4</v>
      </c>
      <c r="U26" s="35">
        <v>0</v>
      </c>
      <c r="V26" s="61" t="s">
        <v>25</v>
      </c>
      <c r="W26" s="61" t="str">
        <f>'C209'!$B407</f>
        <v>0.00%</v>
      </c>
      <c r="X26" s="61" t="s">
        <v>25</v>
      </c>
      <c r="Y26" s="61" t="s">
        <v>258</v>
      </c>
      <c r="Z26" s="28" t="str">
        <f>'C209'!$B470</f>
        <v>0.12%</v>
      </c>
      <c r="AA26" s="31" t="str">
        <f>'C209'!$B491</f>
        <v>0.03%</v>
      </c>
      <c r="AB26" s="81" t="str" cm="1">
        <f t="array" ref="AB26">INDEX('C209'!$I:$I,8+(COLUMN()-28)*21)</f>
        <v>0.00%</v>
      </c>
      <c r="AC26" s="81" t="str" cm="1">
        <f t="array" ref="AC26">INDEX('C209'!$I:$I,8+(COLUMN()-28)*21)</f>
        <v>0.01%</v>
      </c>
      <c r="AD26" s="81" t="str" cm="1">
        <f t="array" ref="AD26">INDEX('C209'!$I:$I,8+(COLUMN()-28)*21)</f>
        <v>0.10%</v>
      </c>
      <c r="AE26" s="81" t="str" cm="1">
        <f t="array" ref="AE26">INDEX('C209'!$I:$I,8+(COLUMN()-28)*21)</f>
        <v>0.07%</v>
      </c>
      <c r="AF26" s="81" t="str" cm="1">
        <f t="array" ref="AF26">INDEX('C209'!$I:$I,8+(COLUMN()-28)*21)</f>
        <v>0.00%</v>
      </c>
      <c r="AG26" s="81" t="str" cm="1">
        <f t="array" ref="AG26">INDEX('C209'!$I:$I,8+(COLUMN()-28)*21)</f>
        <v>0.02%</v>
      </c>
      <c r="AH26" s="81" t="str" cm="1">
        <f t="array" ref="AH26">INDEX('C209'!$I:$I,8+(COLUMN()-28)*21)</f>
        <v>0.05%</v>
      </c>
      <c r="AI26" s="81" t="str" cm="1">
        <f t="array" ref="AI26">INDEX('C209'!$I:$I,8+(COLUMN()-28)*21)</f>
        <v>0.00%</v>
      </c>
      <c r="AJ26" s="81" t="str" cm="1">
        <f t="array" ref="AJ26">INDEX('C209'!$I:$I,8+(COLUMN()-28)*21)</f>
        <v>0.00%</v>
      </c>
      <c r="AK26" s="87" t="str" cm="1">
        <f t="array" ref="AK26">INDEX('C209'!$I:$I,8+(COLUMN()-28)*21)</f>
        <v>0.00%</v>
      </c>
      <c r="AL26" s="87" cm="1">
        <f t="array" ref="AL26">INDEX('C209'!$I:$I,8+(COLUMN()-28)*21)</f>
        <v>0</v>
      </c>
      <c r="AM26" s="81" t="str" cm="1">
        <f t="array" ref="AM26">INDEX('C209'!$I:$I,8+(COLUMN()-28)*21)</f>
        <v>0.00%</v>
      </c>
      <c r="AN26" s="81" t="str" cm="1">
        <f t="array" ref="AN26">INDEX('C209'!$I:$I,8+(COLUMN()-28)*21)</f>
        <v>0.00%</v>
      </c>
      <c r="AO26" s="81" t="str" cm="1">
        <f t="array" ref="AO26">INDEX('C209'!$I:$I,8+(COLUMN()-28)*21)</f>
        <v>0.00%</v>
      </c>
      <c r="AP26" s="81" t="str" cm="1">
        <f t="array" ref="AP26">INDEX('C209'!$I:$I,8+(COLUMN()-28)*21)</f>
        <v>0.00%</v>
      </c>
      <c r="AQ26" s="81" t="str" cm="1">
        <f t="array" ref="AQ26">INDEX('C209'!$I:$I,8+(COLUMN()-28)*21)</f>
        <v>0.05%</v>
      </c>
      <c r="AR26" s="110" cm="1">
        <f t="array" ref="AR26">INDEX('C209'!$I:$I,8+(COLUMN()-28)*21)</f>
        <v>5.6689342403628119E-4</v>
      </c>
      <c r="AS26" s="81" t="str" cm="1">
        <f t="array" ref="AS26">INDEX('C209'!$I:$I,8+(COLUMN()-28)*21)</f>
        <v>0.02%</v>
      </c>
      <c r="AT26" s="81" t="str" cm="1">
        <f t="array" ref="AT26">INDEX('C209'!$I:$I,8+(COLUMN()-28)*21)</f>
        <v>0.03%</v>
      </c>
      <c r="AU26" s="81" t="str" cm="1">
        <f t="array" ref="AU26">INDEX('C209'!$I:$I,8+(COLUMN()-28)*21)</f>
        <v>0.03%</v>
      </c>
      <c r="AV26" s="87" t="str" cm="1">
        <f t="array" ref="AV26">INDEX('C209'!$I:$I,8+(COLUMN()-28)*21)</f>
        <v>0.03%</v>
      </c>
      <c r="AW26" s="81" t="str" cm="1">
        <f t="array" ref="AW26">INDEX('C209'!$I:$I,8+(COLUMN()-28)*21)</f>
        <v>0.00%</v>
      </c>
      <c r="AX26" s="81" t="str" cm="1">
        <f t="array" ref="AX26">INDEX('C209'!$I:$I,8+(COLUMN()-28)*21)</f>
        <v>0.00%</v>
      </c>
      <c r="AY26" s="81" t="str" cm="1">
        <f t="array" ref="AY26">INDEX('C209'!$I:$I,8+(COLUMN()-28)*21)</f>
        <v>0.00%</v>
      </c>
      <c r="AZ26" s="81" t="str" cm="1">
        <f t="array" ref="AZ26">INDEX('C209'!$I:$I,8+(COLUMN()-28)*21)</f>
        <v>0.02%</v>
      </c>
      <c r="BA26" s="81" t="str" cm="1">
        <f t="array" ref="BA26">INDEX('C209'!$I:$I,8+(COLUMN()-28)*21)</f>
        <v>0.00%</v>
      </c>
      <c r="BB26" s="110" cm="1">
        <f t="array" ref="BB26">_xlfn.NUMBERVALUE(INDEX('C209'!$P:$P,8+(COLUMN()-54)*21))</f>
        <v>0</v>
      </c>
      <c r="BC26" s="110" cm="1">
        <f t="array" ref="BC26">_xlfn.NUMBERVALUE(INDEX('C209'!$P:$P,8+(COLUMN()-54)*21))</f>
        <v>0</v>
      </c>
      <c r="BD26" s="110" cm="1">
        <f t="array" ref="BD26">_xlfn.NUMBERVALUE(INDEX('C209'!$P:$P,8+(COLUMN()-54)*21))</f>
        <v>0</v>
      </c>
      <c r="BE26" s="110" cm="1">
        <f t="array" ref="BE26">_xlfn.NUMBERVALUE(INDEX('C209'!$P:$P,8+(COLUMN()-54)*21))</f>
        <v>0</v>
      </c>
      <c r="BF26" s="110" cm="1">
        <f t="array" ref="BF26">_xlfn.NUMBERVALUE(INDEX('C209'!$P:$P,8+(COLUMN()-54)*21))</f>
        <v>0</v>
      </c>
      <c r="BG26" s="110" cm="1">
        <f t="array" ref="BG26">_xlfn.NUMBERVALUE(INDEX('C209'!$P:$P,8+(COLUMN()-54)*21))</f>
        <v>2.0000000000000001E-4</v>
      </c>
      <c r="BH26" s="110" cm="1">
        <f t="array" ref="BH26">_xlfn.NUMBERVALUE(INDEX('C209'!$P:$P,8+(COLUMN()-54)*21))</f>
        <v>0</v>
      </c>
      <c r="BI26" s="110" cm="1">
        <f t="array" ref="BI26">_xlfn.NUMBERVALUE(INDEX('C209'!$P:$P,8+(COLUMN()-54)*21))</f>
        <v>0</v>
      </c>
      <c r="BJ26" s="110" cm="1">
        <f t="array" ref="BJ26">_xlfn.NUMBERVALUE(INDEX('C209'!$P:$P,8+(COLUMN()-54)*21))</f>
        <v>1E-4</v>
      </c>
      <c r="BK26" s="110" cm="1">
        <f t="array" ref="BK26">_xlfn.NUMBERVALUE(INDEX('C209'!$P:$P,8+(COLUMN()-54)*21))</f>
        <v>0</v>
      </c>
      <c r="BL26" s="110" cm="1">
        <f t="array" ref="BL26">_xlfn.NUMBERVALUE(INDEX('C209'!$P:$P,8+(COLUMN()-54)*21))</f>
        <v>0</v>
      </c>
      <c r="BM26" s="110" cm="1">
        <f t="array" ref="BM26">_xlfn.NUMBERVALUE(INDEX('C209'!$P:$P,8+(COLUMN()-54)*21))</f>
        <v>2.0000000000000001E-4</v>
      </c>
      <c r="BN26" s="110" cm="1">
        <f t="array" ref="BN26">_xlfn.NUMBERVALUE(INDEX('C209'!$P:$P,8+(COLUMN()-54)*21))</f>
        <v>2.9999999999999997E-4</v>
      </c>
      <c r="BO26" s="110" cm="1">
        <f t="array" ref="BO26">_xlfn.NUMBERVALUE(INDEX('C209'!$P:$P,8+(COLUMN()-54)*21))</f>
        <v>0</v>
      </c>
      <c r="BP26" s="110" cm="1">
        <f t="array" ref="BP26">_xlfn.NUMBERVALUE(INDEX('C209'!$P:$P,8+(COLUMN()-54)*21))</f>
        <v>0</v>
      </c>
      <c r="BQ26" s="110" cm="1">
        <f t="array" ref="BQ26">_xlfn.NUMBERVALUE(INDEX('C209'!$P:$P,8+(COLUMN()-54)*21))</f>
        <v>0</v>
      </c>
      <c r="BR26" s="110" cm="1">
        <f t="array" ref="BR26">_xlfn.NUMBERVALUE(INDEX('C209'!$P:$P,8+(COLUMN()-54)*21))</f>
        <v>2.0000000000000001E-4</v>
      </c>
      <c r="BS26" s="110" cm="1">
        <f t="array" ref="BS26">_xlfn.NUMBERVALUE(INDEX('C209'!$P:$P,8+(COLUMN()-54)*21))</f>
        <v>1E-4</v>
      </c>
      <c r="BT26" s="110" cm="1">
        <f t="array" ref="BT26">_xlfn.NUMBERVALUE(INDEX('C209'!$P:$P,8+(COLUMN()-54)*21))</f>
        <v>0</v>
      </c>
      <c r="BU26" s="110" cm="1">
        <f t="array" ref="BU26">_xlfn.NUMBERVALUE(INDEX('C209'!$P:$P,8+(COLUMN()-54)*21))</f>
        <v>0</v>
      </c>
      <c r="BV26" s="110" cm="1">
        <f t="array" ref="BV26">_xlfn.NUMBERVALUE(INDEX('C209'!$P:$P,8+(COLUMN()-54)*21))</f>
        <v>0</v>
      </c>
      <c r="BW26" s="110" cm="1">
        <f t="array" ref="BW26">_xlfn.NUMBERVALUE(INDEX('C209'!$P:$P,8+(COLUMN()-54)*21))</f>
        <v>0</v>
      </c>
      <c r="BX26" s="110" cm="1">
        <f t="array" ref="BX26">_xlfn.NUMBERVALUE(INDEX('C209'!$P:$P,8+(COLUMN()-54)*21))</f>
        <v>0</v>
      </c>
      <c r="BY26" s="110" cm="1">
        <f t="array" ref="BY26">_xlfn.NUMBERVALUE(INDEX('C209'!$P:$P,8+(COLUMN()-54)*21))</f>
        <v>0</v>
      </c>
      <c r="BZ26" s="110" cm="1">
        <f t="array" ref="BZ26">_xlfn.NUMBERVALUE(INDEX('C209'!$P:$P,8+(COLUMN()-54)*21))</f>
        <v>0</v>
      </c>
      <c r="CA26" s="110" cm="1">
        <f t="array" ref="CA26">_xlfn.NUMBERVALUE(INDEX('C209'!$P:$P,8+(COLUMN()-54)*21))</f>
        <v>0</v>
      </c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22"/>
      <c r="DO26" s="93" t="s">
        <v>1420</v>
      </c>
      <c r="DP26" s="96" cm="1">
        <f t="array" ref="DP26">INDEX('C209'!$I:$I,18+4*21)+INDEX('C209'!$I:$I,18+5*21)+INDEX('C209'!$I:$I,18+6*21)+INDEX('C209'!$I:$I,18+7*21)+INDEX('C209'!$I:$I,18+8*21)+INDEX('C209'!$I:$I,18+9*21)</f>
        <v>3</v>
      </c>
      <c r="DQ26" s="74" cm="1">
        <f t="array" ref="DQ26">INDEX('C209'!$I:$I,18+10*21)+INDEX('C209'!$I:$I,18+11*21)+INDEX('C209'!$I:$I,18+12*21)+INDEX('C209'!$I:$I,18+13*21)+INDEX('C209'!$I:$I,18+14*21)+INDEX('C209'!$I:$I,18+15*21)</f>
        <v>3</v>
      </c>
      <c r="DR26" s="74" cm="1">
        <f t="array" ref="DR26">INDEX('C209'!$I:$I,18+16*21)+INDEX('C209'!$I:$I,18+17*21)+INDEX('C209'!$I:$I,18+18*21)+INDEX('C209'!$I:$I,18+19*21)+INDEX('C209'!$I:$I,18+20*21)+INDEX('C209'!$I:$I,18+21*21)</f>
        <v>9</v>
      </c>
      <c r="DS26" s="22"/>
    </row>
    <row r="27" spans="1:134" ht="43.8" customHeight="1" x14ac:dyDescent="0.3">
      <c r="A27" s="42" t="s">
        <v>929</v>
      </c>
      <c r="B27" s="45" t="s">
        <v>952</v>
      </c>
      <c r="C27" s="45" t="s">
        <v>952</v>
      </c>
      <c r="D27" s="45" t="s">
        <v>952</v>
      </c>
      <c r="E27" s="45" t="s">
        <v>952</v>
      </c>
      <c r="F27" s="46" t="s">
        <v>953</v>
      </c>
      <c r="G27" s="46" t="s">
        <v>953</v>
      </c>
      <c r="H27" s="45" t="s">
        <v>952</v>
      </c>
      <c r="I27" s="46"/>
      <c r="J27" s="46"/>
      <c r="K27" s="45" t="s">
        <v>952</v>
      </c>
      <c r="L27" s="45" t="s">
        <v>952</v>
      </c>
      <c r="M27" s="45" t="s">
        <v>952</v>
      </c>
      <c r="N27" s="45" t="s">
        <v>956</v>
      </c>
      <c r="O27" s="45" t="s">
        <v>952</v>
      </c>
      <c r="P27" s="45" t="s">
        <v>951</v>
      </c>
      <c r="Q27" s="45" t="s">
        <v>953</v>
      </c>
      <c r="R27" s="45" t="s">
        <v>953</v>
      </c>
      <c r="S27" s="45" t="s">
        <v>953</v>
      </c>
      <c r="T27" s="45" t="s">
        <v>953</v>
      </c>
      <c r="U27" s="45" t="s">
        <v>953</v>
      </c>
      <c r="V27" s="43" t="s">
        <v>953</v>
      </c>
      <c r="W27" s="43" t="s">
        <v>1144</v>
      </c>
      <c r="X27" s="43" t="s">
        <v>1144</v>
      </c>
      <c r="Y27" s="43" t="s">
        <v>1144</v>
      </c>
      <c r="Z27" s="43" t="s">
        <v>1144</v>
      </c>
      <c r="AA27" s="4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22"/>
      <c r="DO27" s="93" t="s">
        <v>1415</v>
      </c>
      <c r="DP27" s="23" t="s">
        <v>1421</v>
      </c>
      <c r="DQ27" s="23" t="s">
        <v>1421</v>
      </c>
      <c r="DR27" s="23" t="s">
        <v>1421</v>
      </c>
      <c r="DS27" s="22"/>
    </row>
    <row r="28" spans="1:134" ht="15.6" thickBot="1" x14ac:dyDescent="0.35">
      <c r="A28" s="39" t="s">
        <v>881</v>
      </c>
      <c r="B28" s="33">
        <v>0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/>
      <c r="J28" s="28"/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1</v>
      </c>
      <c r="S28" s="28">
        <v>1</v>
      </c>
      <c r="T28" s="28">
        <v>0</v>
      </c>
      <c r="U28" s="28">
        <v>0</v>
      </c>
      <c r="V28" s="29">
        <f>COUNTIFS('C209'!$C$381:$F$381,"=0")</f>
        <v>0</v>
      </c>
      <c r="W28" s="29">
        <f>COUNTIFS('C209'!$C$402:$F$402,"=0")</f>
        <v>0</v>
      </c>
      <c r="X28" s="29">
        <f>COUNTIFS('C209'!$C$423:$F$423,"=0")</f>
        <v>0</v>
      </c>
      <c r="Y28" s="29">
        <f>COUNTIFS('C209'!$C$444:$F$444,"=0")</f>
        <v>0</v>
      </c>
      <c r="Z28" s="29">
        <f>COUNTIFS('C209'!$C$465:$G$465,"=0")</f>
        <v>0</v>
      </c>
      <c r="AA28" s="30">
        <f>COUNTIFS('C209'!$C$486:$F$486,"=0")</f>
        <v>0</v>
      </c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O28" s="22"/>
      <c r="DR28" s="92" t="s">
        <v>1156</v>
      </c>
    </row>
    <row r="29" spans="1:134" x14ac:dyDescent="0.3">
      <c r="A29" s="36" t="s">
        <v>877</v>
      </c>
      <c r="B29" s="24">
        <v>46083</v>
      </c>
      <c r="C29" s="24">
        <v>46084</v>
      </c>
      <c r="D29" s="53">
        <v>46085</v>
      </c>
      <c r="E29" s="53">
        <v>46086</v>
      </c>
      <c r="F29" s="53">
        <v>46087</v>
      </c>
      <c r="G29" s="24">
        <v>46088</v>
      </c>
      <c r="H29" s="24">
        <v>46090</v>
      </c>
      <c r="I29" s="24">
        <v>46091</v>
      </c>
      <c r="J29" s="24">
        <v>46092</v>
      </c>
      <c r="K29" s="53">
        <v>46093</v>
      </c>
      <c r="L29" s="53">
        <v>46094</v>
      </c>
      <c r="M29" s="53">
        <v>46095</v>
      </c>
      <c r="N29" s="24">
        <v>46097</v>
      </c>
      <c r="O29" s="53">
        <v>46098</v>
      </c>
      <c r="P29" s="24">
        <v>46099</v>
      </c>
      <c r="Q29" s="53">
        <v>46100</v>
      </c>
      <c r="R29" s="53">
        <v>46101</v>
      </c>
      <c r="S29" s="24">
        <v>46102</v>
      </c>
      <c r="T29" s="24">
        <v>46104</v>
      </c>
      <c r="U29" s="24">
        <v>46105</v>
      </c>
      <c r="V29" s="24">
        <v>46106</v>
      </c>
      <c r="W29" s="54">
        <v>46107</v>
      </c>
      <c r="X29" s="24">
        <v>46108</v>
      </c>
      <c r="Y29" s="24">
        <v>46109</v>
      </c>
      <c r="Z29" s="24">
        <v>46111</v>
      </c>
      <c r="AA29" s="25">
        <v>46112</v>
      </c>
      <c r="AB29" s="80">
        <v>46113</v>
      </c>
      <c r="AC29" s="80">
        <v>46114</v>
      </c>
      <c r="AD29" s="80">
        <v>46115</v>
      </c>
      <c r="AE29" s="90">
        <v>46116</v>
      </c>
      <c r="AF29" s="80">
        <v>46118</v>
      </c>
      <c r="AG29" s="90">
        <v>46119</v>
      </c>
      <c r="AH29" s="80">
        <v>46120</v>
      </c>
      <c r="AI29" s="80">
        <v>46121</v>
      </c>
      <c r="AJ29" s="90">
        <v>46122</v>
      </c>
      <c r="AK29" s="90">
        <v>46123</v>
      </c>
      <c r="AL29" s="80">
        <v>46125</v>
      </c>
      <c r="AM29" s="80">
        <v>46126</v>
      </c>
      <c r="AN29" s="90">
        <v>46127</v>
      </c>
      <c r="AO29" s="80">
        <v>46128</v>
      </c>
      <c r="AP29" s="90">
        <v>46129</v>
      </c>
      <c r="AQ29" s="90">
        <v>46130</v>
      </c>
      <c r="AR29" s="90">
        <v>46132</v>
      </c>
      <c r="AS29" s="90">
        <v>46133</v>
      </c>
      <c r="AT29" s="80">
        <v>46134</v>
      </c>
      <c r="AU29" s="80">
        <v>46135</v>
      </c>
      <c r="AV29" s="80">
        <v>46136</v>
      </c>
      <c r="AW29" s="80">
        <v>46137</v>
      </c>
      <c r="AX29" s="80">
        <v>46139</v>
      </c>
      <c r="AY29" s="80">
        <v>46140</v>
      </c>
      <c r="AZ29" s="80">
        <v>46141</v>
      </c>
      <c r="BA29" s="80">
        <v>46142</v>
      </c>
      <c r="BB29" s="80">
        <v>46143</v>
      </c>
      <c r="BC29" s="80">
        <v>46146</v>
      </c>
      <c r="BD29" s="80">
        <v>46147</v>
      </c>
      <c r="BE29" s="80">
        <v>46148</v>
      </c>
      <c r="BF29" s="80">
        <v>46149</v>
      </c>
      <c r="BG29" s="137">
        <v>46150</v>
      </c>
      <c r="BH29" s="80">
        <v>46151</v>
      </c>
      <c r="BI29" s="80">
        <v>46153</v>
      </c>
      <c r="BJ29" s="80">
        <v>46154</v>
      </c>
      <c r="BK29" s="80">
        <v>46155</v>
      </c>
      <c r="BL29" s="80">
        <v>46156</v>
      </c>
      <c r="BM29" s="80">
        <v>46157</v>
      </c>
      <c r="BN29" s="80">
        <v>46158</v>
      </c>
      <c r="BO29" s="80">
        <v>46160</v>
      </c>
      <c r="BP29" s="80">
        <v>46161</v>
      </c>
      <c r="BQ29" s="80">
        <v>46162</v>
      </c>
      <c r="BR29" s="80">
        <v>46163</v>
      </c>
      <c r="BS29" s="80">
        <v>46164</v>
      </c>
      <c r="BT29" s="80">
        <v>46165</v>
      </c>
      <c r="BU29" s="80">
        <v>46167</v>
      </c>
      <c r="BV29" s="80">
        <v>46168</v>
      </c>
      <c r="BW29" s="80">
        <v>46169</v>
      </c>
      <c r="BX29" s="80">
        <v>46170</v>
      </c>
      <c r="BY29" s="80">
        <v>46171</v>
      </c>
      <c r="BZ29" s="80">
        <v>46172</v>
      </c>
      <c r="CA29" s="80">
        <v>46173</v>
      </c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22"/>
      <c r="DO29" s="93" t="s">
        <v>1425</v>
      </c>
      <c r="DP29" s="94" t="s">
        <v>1416</v>
      </c>
      <c r="DQ29" s="94" t="s">
        <v>1417</v>
      </c>
      <c r="DR29" s="94" t="s">
        <v>1672</v>
      </c>
      <c r="DS29" s="22"/>
    </row>
    <row r="30" spans="1:134" x14ac:dyDescent="0.3">
      <c r="A30" s="38" t="s">
        <v>873</v>
      </c>
      <c r="B30" s="32">
        <v>0.18379999999999999</v>
      </c>
      <c r="C30" s="32">
        <v>3.85E-2</v>
      </c>
      <c r="D30" s="32">
        <v>8.5599999999999996E-2</v>
      </c>
      <c r="E30" s="32">
        <v>0.1404</v>
      </c>
      <c r="F30" s="32">
        <v>5.1400000000000001E-2</v>
      </c>
      <c r="G30" s="28"/>
      <c r="H30" s="32">
        <v>5.57E-2</v>
      </c>
      <c r="I30" s="28"/>
      <c r="J30" s="28"/>
      <c r="K30" s="32">
        <v>9.2200000000000004E-2</v>
      </c>
      <c r="L30" s="32">
        <v>0.13109999999999999</v>
      </c>
      <c r="M30" s="32">
        <v>0.15659999999999999</v>
      </c>
      <c r="N30" s="32">
        <v>0.19320000000000001</v>
      </c>
      <c r="O30" s="32">
        <v>7.0800000000000002E-2</v>
      </c>
      <c r="P30" s="32">
        <v>0.13120000000000001</v>
      </c>
      <c r="Q30" s="32">
        <v>7.6899999999999996E-2</v>
      </c>
      <c r="R30" s="32">
        <v>0.16139999999999999</v>
      </c>
      <c r="S30" s="32">
        <v>0.1062</v>
      </c>
      <c r="T30" s="32">
        <v>0.15640000000000001</v>
      </c>
      <c r="U30" s="32">
        <v>7.1499999999999994E-2</v>
      </c>
      <c r="V30" s="61" t="s">
        <v>55</v>
      </c>
      <c r="W30" s="61" t="str">
        <f>'C214'!$B383</f>
        <v>11.17%</v>
      </c>
      <c r="X30" s="61" t="s">
        <v>1039</v>
      </c>
      <c r="Y30" s="61" t="s">
        <v>1080</v>
      </c>
      <c r="Z30" s="28" t="str">
        <f>'C214'!$B446</f>
        <v>18.10%</v>
      </c>
      <c r="AA30" s="31" t="str">
        <f>'C214'!$B467</f>
        <v>5.93%</v>
      </c>
      <c r="AB30" s="81" t="str" cm="1">
        <f t="array" ref="AB30">INDEX('C214'!$I:$I,5+(COLUMN()-28)*21)</f>
        <v>7.60%</v>
      </c>
      <c r="AC30" s="81" t="str" cm="1">
        <f t="array" ref="AC30">INDEX('C214'!$I:$I,5+(COLUMN()-28)*21)</f>
        <v>7.07%</v>
      </c>
      <c r="AD30" s="81" t="str" cm="1">
        <f t="array" ref="AD30">INDEX('C214'!$I:$I,5+(COLUMN()-28)*21)</f>
        <v>5.32%</v>
      </c>
      <c r="AE30" s="81" t="str" cm="1">
        <f t="array" ref="AE30">INDEX('C214'!$I:$I,5+(COLUMN()-28)*21)</f>
        <v>13.54%</v>
      </c>
      <c r="AF30" s="81" t="str" cm="1">
        <f t="array" ref="AF30">INDEX('C214'!$I:$I,5+(COLUMN()-28)*21)</f>
        <v>11.49%</v>
      </c>
      <c r="AG30" s="81" t="str" cm="1">
        <f t="array" ref="AG30">INDEX('C214'!$I:$I,5+(COLUMN()-28)*21)</f>
        <v>11.44%</v>
      </c>
      <c r="AH30" s="81" t="str" cm="1">
        <f t="array" ref="AH30">INDEX('C214'!$I:$I,5+(COLUMN()-28)*21)</f>
        <v>4.61%</v>
      </c>
      <c r="AI30" s="81" t="str" cm="1">
        <f t="array" ref="AI30">INDEX('C214'!$I:$I,5+(COLUMN()-28)*21)</f>
        <v>2.98%</v>
      </c>
      <c r="AJ30" s="81" t="str" cm="1">
        <f t="array" ref="AJ30">INDEX('C214'!$I:$I,5+(COLUMN()-28)*21)</f>
        <v>5.48%</v>
      </c>
      <c r="AK30" s="81" t="str" cm="1">
        <f t="array" ref="AK30">INDEX('C214'!$I:$I,5+(COLUMN()-28)*21)</f>
        <v>9.66%</v>
      </c>
      <c r="AL30" s="81" t="str" cm="1">
        <f t="array" ref="AL30">INDEX('C214'!$I:$I,5+(COLUMN()-28)*21)</f>
        <v>8.03%</v>
      </c>
      <c r="AM30" s="81" t="str" cm="1">
        <f t="array" ref="AM30">INDEX('C214'!$I:$I,5+(COLUMN()-28)*21)</f>
        <v>5.71%</v>
      </c>
      <c r="AN30" s="81" t="str" cm="1">
        <f t="array" ref="AN30">INDEX('C214'!$I:$I,5+(COLUMN()-28)*21)</f>
        <v>8.77%</v>
      </c>
      <c r="AO30" s="81" t="str" cm="1">
        <f t="array" ref="AO30">INDEX('C214'!$I:$I,5+(COLUMN()-28)*21)</f>
        <v>11.20%</v>
      </c>
      <c r="AP30" s="81" t="str" cm="1">
        <f t="array" ref="AP30">INDEX('C214'!$I:$I,5+(COLUMN()-28)*21)</f>
        <v>7.73%</v>
      </c>
      <c r="AQ30" s="81" t="str" cm="1">
        <f t="array" ref="AQ30">INDEX('C214'!$I:$I,5+(COLUMN()-28)*21)</f>
        <v>7.17%</v>
      </c>
      <c r="AR30" s="81" t="str" cm="1">
        <f t="array" ref="AR30">INDEX('C214'!$I:$I,5+(COLUMN()-28)*21)</f>
        <v>12.11%</v>
      </c>
      <c r="AS30" s="81" t="str" cm="1">
        <f t="array" ref="AS30">INDEX('C214'!$I:$I,5+(COLUMN()-28)*21)</f>
        <v>6.68%</v>
      </c>
      <c r="AT30" s="81" t="str" cm="1">
        <f t="array" ref="AT30">INDEX('C214'!$I:$I,5+(COLUMN()-28)*21)</f>
        <v>6.64%</v>
      </c>
      <c r="AU30" s="110" cm="1">
        <f t="array" ref="AU30">INDEX('C214'!$I:$I,5+(COLUMN()-28)*21)</f>
        <v>8.9923664122137398E-2</v>
      </c>
      <c r="AV30" s="87" cm="1">
        <f t="array" ref="AV30">INDEX('C214'!$I:$I,5+(COLUMN()-28)*21)</f>
        <v>7.188738554052207E-2</v>
      </c>
      <c r="AW30" s="81" t="str" cm="1">
        <f t="array" ref="AW30">INDEX('C214'!$I:$I,5+(COLUMN()-28)*21)</f>
        <v>7.12%</v>
      </c>
      <c r="AX30" s="81" t="str" cm="1">
        <f t="array" ref="AX30">INDEX('C214'!$I:$I,5+(COLUMN()-28)*21)</f>
        <v>11.63%</v>
      </c>
      <c r="AY30" s="81" t="str" cm="1">
        <f t="array" ref="AY30">INDEX('C214'!$I:$I,5+(COLUMN()-28)*21)</f>
        <v>10.73%</v>
      </c>
      <c r="AZ30" s="81" t="str" cm="1">
        <f t="array" ref="AZ30">INDEX('C214'!$I:$I,5+(COLUMN()-28)*21)</f>
        <v>8.14%</v>
      </c>
      <c r="BA30" s="81" t="str" cm="1">
        <f t="array" ref="BA30">INDEX('C214'!$I:$I,5+(COLUMN()-28)*21)</f>
        <v>6.81%</v>
      </c>
      <c r="BB30" s="110" cm="1">
        <f t="array" ref="BB30">_xlfn.NUMBERVALUE(INDEX('C214'!$P:$P,5+(COLUMN()-54)*21))</f>
        <v>8.9800000000000005E-2</v>
      </c>
      <c r="BC30" s="110" cm="1">
        <f t="array" ref="BC30">_xlfn.NUMBERVALUE(INDEX('C214'!$P:$P,5+(COLUMN()-54)*21))</f>
        <v>4.6500000000000007E-2</v>
      </c>
      <c r="BD30" s="110" cm="1">
        <f t="array" ref="BD30">_xlfn.NUMBERVALUE(INDEX('C214'!$P:$P,5+(COLUMN()-54)*21))</f>
        <v>4.9200000000000001E-2</v>
      </c>
      <c r="BE30" s="110" cm="1">
        <f t="array" ref="BE30">_xlfn.NUMBERVALUE(INDEX('C214'!$P:$P,5+(COLUMN()-54)*21))</f>
        <v>4.6900000000000004E-2</v>
      </c>
      <c r="BF30" s="110" cm="1">
        <f t="array" ref="BF30">_xlfn.NUMBERVALUE(INDEX('C214'!$P:$P,5+(COLUMN()-54)*21))</f>
        <v>3.8300000000000001E-2</v>
      </c>
      <c r="BG30" s="110" cm="1">
        <f t="array" ref="BG30">_xlfn.NUMBERVALUE(INDEX('C214'!$P:$P,5+(COLUMN()-54)*21))</f>
        <v>5.9400000000000001E-2</v>
      </c>
      <c r="BH30" s="110" cm="1">
        <f t="array" ref="BH30">_xlfn.NUMBERVALUE(INDEX('C214'!$P:$P,5+(COLUMN()-54)*21))</f>
        <v>0.46350000000000002</v>
      </c>
      <c r="BI30" s="110" cm="1">
        <f t="array" ref="BI30">_xlfn.NUMBERVALUE(INDEX('C214'!$P:$P,5+(COLUMN()-54)*21))</f>
        <v>3.3500000000000002E-2</v>
      </c>
      <c r="BJ30" s="110" cm="1">
        <f t="array" ref="BJ30">_xlfn.NUMBERVALUE(INDEX('C214'!$P:$P,5+(COLUMN()-54)*21))</f>
        <v>7.46E-2</v>
      </c>
      <c r="BK30" s="110" cm="1">
        <f t="array" ref="BK30">_xlfn.NUMBERVALUE(INDEX('C214'!$P:$P,5+(COLUMN()-54)*21))</f>
        <v>0.1158</v>
      </c>
      <c r="BL30" s="110" cm="1">
        <f t="array" ref="BL30">_xlfn.NUMBERVALUE(INDEX('C214'!$P:$P,5+(COLUMN()-54)*21))</f>
        <v>0.14899999999999999</v>
      </c>
      <c r="BM30" s="110" cm="1">
        <f t="array" ref="BM30">_xlfn.NUMBERVALUE(INDEX('C214'!$P:$P,5+(COLUMN()-54)*21))</f>
        <v>7.6200000000000004E-2</v>
      </c>
      <c r="BN30" s="110" cm="1">
        <f t="array" ref="BN30">_xlfn.NUMBERVALUE(INDEX('C214'!$P:$P,5+(COLUMN()-54)*21))</f>
        <v>0.1036</v>
      </c>
      <c r="BO30" s="110" cm="1">
        <f t="array" ref="BO30">_xlfn.NUMBERVALUE(INDEX('C214'!$P:$P,5+(COLUMN()-54)*21))</f>
        <v>7.4900000000000008E-2</v>
      </c>
      <c r="BP30" s="110" cm="1">
        <f t="array" ref="BP30">_xlfn.NUMBERVALUE(INDEX('C214'!$P:$P,5+(COLUMN()-54)*21))</f>
        <v>6.4000000000000001E-2</v>
      </c>
      <c r="BQ30" s="110" cm="1">
        <f t="array" ref="BQ30">_xlfn.NUMBERVALUE(INDEX('C214'!$P:$P,5+(COLUMN()-54)*21))</f>
        <v>3.6600000000000001E-2</v>
      </c>
      <c r="BR30" s="110" cm="1">
        <f t="array" ref="BR30">_xlfn.NUMBERVALUE(INDEX('C214'!$P:$P,5+(COLUMN()-54)*21))</f>
        <v>3.6200000000000003E-2</v>
      </c>
      <c r="BS30" s="110" cm="1">
        <f t="array" ref="BS30">_xlfn.NUMBERVALUE(INDEX('C214'!$P:$P,5+(COLUMN()-54)*21))</f>
        <v>3.4300000000000004E-2</v>
      </c>
      <c r="BT30" s="110" cm="1">
        <f t="array" ref="BT30">_xlfn.NUMBERVALUE(INDEX('C214'!$P:$P,5+(COLUMN()-54)*21))</f>
        <v>4.7599999999999996E-2</v>
      </c>
      <c r="BU30" s="110" cm="1">
        <f t="array" ref="BU30">_xlfn.NUMBERVALUE(INDEX('C214'!$P:$P,5+(COLUMN()-54)*21))</f>
        <v>3.6200000000000003E-2</v>
      </c>
      <c r="BV30" s="110" cm="1">
        <f t="array" ref="BV30">_xlfn.NUMBERVALUE(INDEX('C214'!$P:$P,5+(COLUMN()-54)*21))</f>
        <v>2.5600000000000001E-2</v>
      </c>
      <c r="BW30" s="110" cm="1">
        <f t="array" ref="BW30">_xlfn.NUMBERVALUE(INDEX('C214'!$P:$P,5+(COLUMN()-54)*21))</f>
        <v>3.0099999999999998E-2</v>
      </c>
      <c r="BX30" s="110" cm="1">
        <f t="array" ref="BX30">_xlfn.NUMBERVALUE(INDEX('C214'!$P:$P,5+(COLUMN()-54)*21))</f>
        <v>2.75E-2</v>
      </c>
      <c r="BY30" s="110" cm="1">
        <f t="array" ref="BY30">_xlfn.NUMBERVALUE(INDEX('C214'!$P:$P,5+(COLUMN()-54)*21))</f>
        <v>0</v>
      </c>
      <c r="BZ30" s="110" cm="1">
        <f t="array" ref="BZ30">_xlfn.NUMBERVALUE(INDEX('C214'!$P:$P,5+(COLUMN()-54)*21))</f>
        <v>0</v>
      </c>
      <c r="CA30" s="110" cm="1">
        <f t="array" ref="CA30">_xlfn.NUMBERVALUE(INDEX('C214'!$P:$P,5+(COLUMN()-54)*21))</f>
        <v>0</v>
      </c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22"/>
      <c r="DO30" s="93" t="s">
        <v>1414</v>
      </c>
      <c r="DP30" s="95" cm="1">
        <f t="array" ref="DP30">INDEX('C214'!$I:$I,3+4*21)+INDEX('C214'!$I:$I,3+5*21)+INDEX('C214'!$I:$I,3+6*21)+INDEX('C214'!$I:$I,3+7*21)+INDEX('C214'!$I:$I,3+8*21)+INDEX('C214'!$I:$I,3+9*21)</f>
        <v>28294</v>
      </c>
      <c r="DQ30" s="101" cm="1">
        <f t="array" ref="DQ30">INDEX('C214'!$I:$I,3+10*21)+INDEX('C214'!$I:$I,3+11*21)+INDEX('C214'!$I:$I,3+12*21)+INDEX('C214'!$I:$I,3+13*21)+INDEX('C214'!$I:$I,3+14*21)+INDEX('C214'!$I:$I,3+15*21)</f>
        <v>34186</v>
      </c>
      <c r="DR30" s="101" cm="1">
        <f t="array" ref="DR30">INDEX('C214'!$I:$I,3+16*21)+INDEX('C214'!$I:$I,3+17*21)+INDEX('C214'!$I:$I,3+18*21)+INDEX('C214'!$I:$I,3+19*21)+INDEX('C214'!$I:$I,3+20*21)+INDEX('C214'!$I:$I,3+21*21)</f>
        <v>33766</v>
      </c>
      <c r="DS30" s="22"/>
    </row>
    <row r="31" spans="1:134" x14ac:dyDescent="0.3">
      <c r="A31" s="38" t="s">
        <v>12</v>
      </c>
      <c r="B31" s="32">
        <v>7.0099999999999996E-2</v>
      </c>
      <c r="C31" s="32">
        <v>1.6999999999999999E-3</v>
      </c>
      <c r="D31" s="32">
        <v>6.0000000000000001E-3</v>
      </c>
      <c r="E31" s="32">
        <v>3.2099999999999997E-2</v>
      </c>
      <c r="F31" s="32">
        <v>6.1999999999999998E-3</v>
      </c>
      <c r="G31" s="28"/>
      <c r="H31" s="32">
        <v>3.8899999999999997E-2</v>
      </c>
      <c r="I31" s="28"/>
      <c r="J31" s="28"/>
      <c r="K31" s="32">
        <v>8.5000000000000006E-2</v>
      </c>
      <c r="L31" s="32">
        <v>7.46E-2</v>
      </c>
      <c r="M31" s="32">
        <v>0.1011</v>
      </c>
      <c r="N31" s="32">
        <v>0.13919999999999999</v>
      </c>
      <c r="O31" s="32">
        <v>5.4100000000000002E-2</v>
      </c>
      <c r="P31" s="32">
        <v>0.10630000000000001</v>
      </c>
      <c r="Q31" s="32">
        <v>3.1800000000000002E-2</v>
      </c>
      <c r="R31" s="32">
        <v>9.0499999999999997E-2</v>
      </c>
      <c r="S31" s="32">
        <v>0.1028</v>
      </c>
      <c r="T31" s="32">
        <v>0.1502</v>
      </c>
      <c r="U31" s="32">
        <v>6.7299999999999999E-2</v>
      </c>
      <c r="V31" s="61" t="s">
        <v>923</v>
      </c>
      <c r="W31" s="61" t="str">
        <f>'C214'!$B384</f>
        <v>5.03%</v>
      </c>
      <c r="X31" s="61" t="s">
        <v>196</v>
      </c>
      <c r="Y31" s="61" t="s">
        <v>184</v>
      </c>
      <c r="Z31" s="28" t="str">
        <f>'C214'!$B447</f>
        <v>5.63%</v>
      </c>
      <c r="AA31" s="31" t="str">
        <f>'C214'!$B468</f>
        <v>3.54%</v>
      </c>
      <c r="AB31" s="81" t="str" cm="1">
        <f t="array" ref="AB31">INDEX('C214'!$I:$I,6+(COLUMN()-28)*21)</f>
        <v>4.03%</v>
      </c>
      <c r="AC31" s="81" t="str" cm="1">
        <f t="array" ref="AC31">INDEX('C214'!$I:$I,6+(COLUMN()-28)*21)</f>
        <v>3.70%</v>
      </c>
      <c r="AD31" s="81" t="str" cm="1">
        <f t="array" ref="AD31">INDEX('C214'!$I:$I,6+(COLUMN()-28)*21)</f>
        <v>2.91%</v>
      </c>
      <c r="AE31" s="81" t="str" cm="1">
        <f t="array" ref="AE31">INDEX('C214'!$I:$I,6+(COLUMN()-28)*21)</f>
        <v>6.04%</v>
      </c>
      <c r="AF31" s="81" t="str" cm="1">
        <f t="array" ref="AF31">INDEX('C214'!$I:$I,6+(COLUMN()-28)*21)</f>
        <v>7.55%</v>
      </c>
      <c r="AG31" s="81" t="str" cm="1">
        <f t="array" ref="AG31">INDEX('C214'!$I:$I,6+(COLUMN()-28)*21)</f>
        <v>7.61%</v>
      </c>
      <c r="AH31" s="81" t="str" cm="1">
        <f t="array" ref="AH31">INDEX('C214'!$I:$I,6+(COLUMN()-28)*21)</f>
        <v>2.06%</v>
      </c>
      <c r="AI31" s="81" t="str" cm="1">
        <f t="array" ref="AI31">INDEX('C214'!$I:$I,6+(COLUMN()-28)*21)</f>
        <v>1.29%</v>
      </c>
      <c r="AJ31" s="81" t="str" cm="1">
        <f t="array" ref="AJ31">INDEX('C214'!$I:$I,6+(COLUMN()-28)*21)</f>
        <v>2.06%</v>
      </c>
      <c r="AK31" s="81" t="str" cm="1">
        <f t="array" ref="AK31">INDEX('C214'!$I:$I,6+(COLUMN()-28)*21)</f>
        <v>3.94%</v>
      </c>
      <c r="AL31" s="81" t="str" cm="1">
        <f t="array" ref="AL31">INDEX('C214'!$I:$I,6+(COLUMN()-28)*21)</f>
        <v>4.49%</v>
      </c>
      <c r="AM31" s="81" t="str" cm="1">
        <f t="array" ref="AM31">INDEX('C214'!$I:$I,6+(COLUMN()-28)*21)</f>
        <v>3.67%</v>
      </c>
      <c r="AN31" s="81" t="str" cm="1">
        <f t="array" ref="AN31">INDEX('C214'!$I:$I,6+(COLUMN()-28)*21)</f>
        <v>5.44%</v>
      </c>
      <c r="AO31" s="81" t="str" cm="1">
        <f t="array" ref="AO31">INDEX('C214'!$I:$I,6+(COLUMN()-28)*21)</f>
        <v>4.24%</v>
      </c>
      <c r="AP31" s="81" t="str" cm="1">
        <f t="array" ref="AP31">INDEX('C214'!$I:$I,6+(COLUMN()-28)*21)</f>
        <v>5.96%</v>
      </c>
      <c r="AQ31" s="81" t="str" cm="1">
        <f t="array" ref="AQ31">INDEX('C214'!$I:$I,6+(COLUMN()-28)*21)</f>
        <v>4.21%</v>
      </c>
      <c r="AR31" s="81" t="str" cm="1">
        <f t="array" ref="AR31">INDEX('C214'!$I:$I,6+(COLUMN()-28)*21)</f>
        <v>2.41%</v>
      </c>
      <c r="AS31" s="81" t="str" cm="1">
        <f t="array" ref="AS31">INDEX('C214'!$I:$I,6+(COLUMN()-28)*21)</f>
        <v>3.87%</v>
      </c>
      <c r="AT31" s="81" t="str" cm="1">
        <f t="array" ref="AT31">INDEX('C214'!$I:$I,6+(COLUMN()-28)*21)</f>
        <v>3.32%</v>
      </c>
      <c r="AU31" s="110" cm="1">
        <f t="array" ref="AU31">INDEX('C214'!$I:$I,6+(COLUMN()-28)*21)</f>
        <v>3.2213740458015269E-2</v>
      </c>
      <c r="AV31" s="87" cm="1">
        <f t="array" ref="AV31">INDEX('C214'!$I:$I,6+(COLUMN()-28)*21)</f>
        <v>2.7333606669400028E-2</v>
      </c>
      <c r="AW31" s="81" t="str" cm="1">
        <f t="array" ref="AW31">INDEX('C214'!$I:$I,6+(COLUMN()-28)*21)</f>
        <v>2.80%</v>
      </c>
      <c r="AX31" s="81" t="str" cm="1">
        <f t="array" ref="AX31">INDEX('C214'!$I:$I,6+(COLUMN()-28)*21)</f>
        <v>7.51%</v>
      </c>
      <c r="AY31" s="81" t="str" cm="1">
        <f t="array" ref="AY31">INDEX('C214'!$I:$I,6+(COLUMN()-28)*21)</f>
        <v>4.67%</v>
      </c>
      <c r="AZ31" s="81" t="str" cm="1">
        <f t="array" ref="AZ31">INDEX('C214'!$I:$I,6+(COLUMN()-28)*21)</f>
        <v>3.75%</v>
      </c>
      <c r="BA31" s="81" t="str" cm="1">
        <f t="array" ref="BA31">INDEX('C214'!$I:$I,6+(COLUMN()-28)*21)</f>
        <v>1.60%</v>
      </c>
      <c r="BB31" s="110" cm="1">
        <f t="array" ref="BB31">_xlfn.NUMBERVALUE(INDEX('C214'!$P:$P,6+(COLUMN()-54)*21))</f>
        <v>3.8199999999999998E-2</v>
      </c>
      <c r="BC31" s="110" cm="1">
        <f t="array" ref="BC31">_xlfn.NUMBERVALUE(INDEX('C214'!$P:$P,6+(COLUMN()-54)*21))</f>
        <v>4.2500000000000003E-2</v>
      </c>
      <c r="BD31" s="110" cm="1">
        <f t="array" ref="BD31">_xlfn.NUMBERVALUE(INDEX('C214'!$P:$P,6+(COLUMN()-54)*21))</f>
        <v>3.8300000000000001E-2</v>
      </c>
      <c r="BE31" s="110" cm="1">
        <f t="array" ref="BE31">_xlfn.NUMBERVALUE(INDEX('C214'!$P:$P,6+(COLUMN()-54)*21))</f>
        <v>3.39E-2</v>
      </c>
      <c r="BF31" s="110" cm="1">
        <f t="array" ref="BF31">_xlfn.NUMBERVALUE(INDEX('C214'!$P:$P,6+(COLUMN()-54)*21))</f>
        <v>2.2000000000000002E-2</v>
      </c>
      <c r="BG31" s="110" cm="1">
        <f t="array" ref="BG31">_xlfn.NUMBERVALUE(INDEX('C214'!$P:$P,6+(COLUMN()-54)*21))</f>
        <v>2.23E-2</v>
      </c>
      <c r="BH31" s="110" cm="1">
        <f t="array" ref="BH31">_xlfn.NUMBERVALUE(INDEX('C214'!$P:$P,6+(COLUMN()-54)*21))</f>
        <v>2.1400000000000002E-2</v>
      </c>
      <c r="BI31" s="110" cm="1">
        <f t="array" ref="BI31">_xlfn.NUMBERVALUE(INDEX('C214'!$P:$P,6+(COLUMN()-54)*21))</f>
        <v>4.3E-3</v>
      </c>
      <c r="BJ31" s="110" cm="1">
        <f t="array" ref="BJ31">_xlfn.NUMBERVALUE(INDEX('C214'!$P:$P,6+(COLUMN()-54)*21))</f>
        <v>5.3800000000000001E-2</v>
      </c>
      <c r="BK31" s="110" cm="1">
        <f t="array" ref="BK31">_xlfn.NUMBERVALUE(INDEX('C214'!$P:$P,6+(COLUMN()-54)*21))</f>
        <v>0.1045</v>
      </c>
      <c r="BL31" s="110" cm="1">
        <f t="array" ref="BL31">_xlfn.NUMBERVALUE(INDEX('C214'!$P:$P,6+(COLUMN()-54)*21))</f>
        <v>8.3599999999999994E-2</v>
      </c>
      <c r="BM31" s="110" cm="1">
        <f t="array" ref="BM31">_xlfn.NUMBERVALUE(INDEX('C214'!$P:$P,6+(COLUMN()-54)*21))</f>
        <v>3.9900000000000005E-2</v>
      </c>
      <c r="BN31" s="110" cm="1">
        <f t="array" ref="BN31">_xlfn.NUMBERVALUE(INDEX('C214'!$P:$P,6+(COLUMN()-54)*21))</f>
        <v>0.10249999999999999</v>
      </c>
      <c r="BO31" s="110" cm="1">
        <f t="array" ref="BO31">_xlfn.NUMBERVALUE(INDEX('C214'!$P:$P,6+(COLUMN()-54)*21))</f>
        <v>7.2599999999999998E-2</v>
      </c>
      <c r="BP31" s="110" cm="1">
        <f t="array" ref="BP31">_xlfn.NUMBERVALUE(INDEX('C214'!$P:$P,6+(COLUMN()-54)*21))</f>
        <v>6.0700000000000004E-2</v>
      </c>
      <c r="BQ31" s="110" cm="1">
        <f t="array" ref="BQ31">_xlfn.NUMBERVALUE(INDEX('C214'!$P:$P,6+(COLUMN()-54)*21))</f>
        <v>3.4599999999999999E-2</v>
      </c>
      <c r="BR31" s="110" cm="1">
        <f t="array" ref="BR31">_xlfn.NUMBERVALUE(INDEX('C214'!$P:$P,6+(COLUMN()-54)*21))</f>
        <v>3.5099999999999999E-2</v>
      </c>
      <c r="BS31" s="110" cm="1">
        <f t="array" ref="BS31">_xlfn.NUMBERVALUE(INDEX('C214'!$P:$P,6+(COLUMN()-54)*21))</f>
        <v>3.2099999999999997E-2</v>
      </c>
      <c r="BT31" s="110" cm="1">
        <f t="array" ref="BT31">_xlfn.NUMBERVALUE(INDEX('C214'!$P:$P,6+(COLUMN()-54)*21))</f>
        <v>4.2599999999999999E-2</v>
      </c>
      <c r="BU31" s="110" cm="1">
        <f t="array" ref="BU31">_xlfn.NUMBERVALUE(INDEX('C214'!$P:$P,6+(COLUMN()-54)*21))</f>
        <v>3.49E-2</v>
      </c>
      <c r="BV31" s="110" cm="1">
        <f t="array" ref="BV31">_xlfn.NUMBERVALUE(INDEX('C214'!$P:$P,6+(COLUMN()-54)*21))</f>
        <v>2.3E-2</v>
      </c>
      <c r="BW31" s="110" cm="1">
        <f t="array" ref="BW31">_xlfn.NUMBERVALUE(INDEX('C214'!$P:$P,6+(COLUMN()-54)*21))</f>
        <v>2.7999999999999997E-2</v>
      </c>
      <c r="BX31" s="110" cm="1">
        <f t="array" ref="BX31">_xlfn.NUMBERVALUE(INDEX('C214'!$P:$P,6+(COLUMN()-54)*21))</f>
        <v>2.4500000000000001E-2</v>
      </c>
      <c r="BY31" s="110" cm="1">
        <f t="array" ref="BY31">_xlfn.NUMBERVALUE(INDEX('C214'!$P:$P,6+(COLUMN()-54)*21))</f>
        <v>0</v>
      </c>
      <c r="BZ31" s="110" cm="1">
        <f t="array" ref="BZ31">_xlfn.NUMBERVALUE(INDEX('C214'!$P:$P,6+(COLUMN()-54)*21))</f>
        <v>0</v>
      </c>
      <c r="CA31" s="110" cm="1">
        <f t="array" ref="CA31">_xlfn.NUMBERVALUE(INDEX('C214'!$P:$P,6+(COLUMN()-54)*21))</f>
        <v>0</v>
      </c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22"/>
      <c r="DO31" s="93" t="s">
        <v>1418</v>
      </c>
      <c r="DP31" s="96" cm="1">
        <f t="array" ref="DP31">INDEX('C214'!$I:$I,9+4*21)+INDEX('C214'!$I:$I,9+5*21)+INDEX('C214'!$I:$I,9+6*21)+INDEX('C214'!$I:$I,9+7*21)+INDEX('C214'!$I:$I,9+8*21)+INDEX('C214'!$I:$I,9+9*21)</f>
        <v>955</v>
      </c>
      <c r="DQ31" s="74" cm="1">
        <f t="array" ref="DQ31">INDEX('C214'!$I:$I,9+10*21)+INDEX('C214'!$I:$I,9+11*21)+INDEX('C214'!$I:$I,9+12*21)+INDEX('C214'!$I:$I,9+13*21)+INDEX('C214'!$I:$I,9+14*21)+INDEX('C214'!$I:$I,9+15*21)</f>
        <v>1582</v>
      </c>
      <c r="DR31" s="74" cm="1">
        <f t="array" ref="DR31">INDEX('C214'!$I:$I,9+16*21)+INDEX('C214'!$I:$I,9+17*21)+INDEX('C214'!$I:$I,9+18*21)+INDEX('C214'!$I:$I,9+19*21)+INDEX('C214'!$I:$I,9+20*21)+INDEX('C214'!$I:$I,9+21*21)</f>
        <v>1040</v>
      </c>
      <c r="DS31" s="22"/>
    </row>
    <row r="32" spans="1:134" x14ac:dyDescent="0.3">
      <c r="A32" s="38" t="s">
        <v>17</v>
      </c>
      <c r="B32" s="32">
        <v>0.1265</v>
      </c>
      <c r="C32" s="32">
        <v>9.2100000000000001E-2</v>
      </c>
      <c r="D32" s="32">
        <v>7.9600000000000004E-2</v>
      </c>
      <c r="E32" s="32">
        <v>0.1</v>
      </c>
      <c r="F32" s="32">
        <v>4.5100000000000001E-2</v>
      </c>
      <c r="G32" s="28"/>
      <c r="H32" s="32">
        <v>1.6500000000000001E-2</v>
      </c>
      <c r="I32" s="28"/>
      <c r="J32" s="28"/>
      <c r="K32" s="32">
        <v>8.6E-3</v>
      </c>
      <c r="L32" s="32">
        <v>5.74E-2</v>
      </c>
      <c r="M32" s="32">
        <v>5.5199999999999999E-2</v>
      </c>
      <c r="N32" s="32">
        <v>5.3999999999999999E-2</v>
      </c>
      <c r="O32" s="32">
        <v>1.6899999999999998E-2</v>
      </c>
      <c r="P32" s="32">
        <v>2.47E-2</v>
      </c>
      <c r="Q32" s="32">
        <v>0.33350000000000002</v>
      </c>
      <c r="R32" s="32">
        <v>0.1082</v>
      </c>
      <c r="S32" s="32">
        <v>2.5000000000000001E-3</v>
      </c>
      <c r="T32" s="32">
        <v>6.1999999999999998E-3</v>
      </c>
      <c r="U32" s="32">
        <v>4.1000000000000003E-3</v>
      </c>
      <c r="V32" s="61" t="s">
        <v>354</v>
      </c>
      <c r="W32" s="61" t="str">
        <f>'C214'!$B385</f>
        <v>6.08%</v>
      </c>
      <c r="X32" s="61" t="s">
        <v>1046</v>
      </c>
      <c r="Y32" s="61" t="s">
        <v>1084</v>
      </c>
      <c r="Z32" s="28" t="str">
        <f>'C214'!$B448</f>
        <v>11.62%</v>
      </c>
      <c r="AA32" s="31" t="str">
        <f>'C214'!$B469</f>
        <v>2.44%</v>
      </c>
      <c r="AB32" s="81" t="str" cm="1">
        <f t="array" ref="AB32">INDEX('C214'!$I:$I,7+(COLUMN()-28)*21)</f>
        <v>3.58%</v>
      </c>
      <c r="AC32" s="81" t="str" cm="1">
        <f t="array" ref="AC32">INDEX('C214'!$I:$I,7+(COLUMN()-28)*21)</f>
        <v>3.38%</v>
      </c>
      <c r="AD32" s="81" t="str" cm="1">
        <f t="array" ref="AD32">INDEX('C214'!$I:$I,7+(COLUMN()-28)*21)</f>
        <v>2.41%</v>
      </c>
      <c r="AE32" s="81" t="str" cm="1">
        <f t="array" ref="AE32">INDEX('C214'!$I:$I,7+(COLUMN()-28)*21)</f>
        <v>7.20%</v>
      </c>
      <c r="AF32" s="81" t="str" cm="1">
        <f t="array" ref="AF32">INDEX('C214'!$I:$I,7+(COLUMN()-28)*21)</f>
        <v>3.94%</v>
      </c>
      <c r="AG32" s="81" t="str" cm="1">
        <f t="array" ref="AG32">INDEX('C214'!$I:$I,7+(COLUMN()-28)*21)</f>
        <v>3.83%</v>
      </c>
      <c r="AH32" s="81" t="str" cm="1">
        <f t="array" ref="AH32">INDEX('C214'!$I:$I,7+(COLUMN()-28)*21)</f>
        <v>2.47%</v>
      </c>
      <c r="AI32" s="81" t="str" cm="1">
        <f t="array" ref="AI32">INDEX('C214'!$I:$I,7+(COLUMN()-28)*21)</f>
        <v>1.69%</v>
      </c>
      <c r="AJ32" s="81" t="str" cm="1">
        <f t="array" ref="AJ32">INDEX('C214'!$I:$I,7+(COLUMN()-28)*21)</f>
        <v>2.37%</v>
      </c>
      <c r="AK32" s="81" t="str" cm="1">
        <f t="array" ref="AK32">INDEX('C214'!$I:$I,7+(COLUMN()-28)*21)</f>
        <v>5.28%</v>
      </c>
      <c r="AL32" s="81" t="str" cm="1">
        <f t="array" ref="AL32">INDEX('C214'!$I:$I,7+(COLUMN()-28)*21)</f>
        <v>3.19%</v>
      </c>
      <c r="AM32" s="81" t="str" cm="1">
        <f t="array" ref="AM32">INDEX('C214'!$I:$I,7+(COLUMN()-28)*21)</f>
        <v>1.96%</v>
      </c>
      <c r="AN32" s="81" t="str" cm="1">
        <f t="array" ref="AN32">INDEX('C214'!$I:$I,7+(COLUMN()-28)*21)</f>
        <v>3.33%</v>
      </c>
      <c r="AO32" s="81" t="str" cm="1">
        <f t="array" ref="AO32">INDEX('C214'!$I:$I,7+(COLUMN()-28)*21)</f>
        <v>6.97%</v>
      </c>
      <c r="AP32" s="81" t="str" cm="1">
        <f t="array" ref="AP32">INDEX('C214'!$I:$I,7+(COLUMN()-28)*21)</f>
        <v>1.77%</v>
      </c>
      <c r="AQ32" s="81" t="str" cm="1">
        <f t="array" ref="AQ32">INDEX('C214'!$I:$I,7+(COLUMN()-28)*21)</f>
        <v>2.84%</v>
      </c>
      <c r="AR32" s="81" t="str" cm="1">
        <f t="array" ref="AR32">INDEX('C214'!$I:$I,7+(COLUMN()-28)*21)</f>
        <v>8.87%</v>
      </c>
      <c r="AS32" s="81" t="str" cm="1">
        <f t="array" ref="AS32">INDEX('C214'!$I:$I,7+(COLUMN()-28)*21)</f>
        <v>2.79%</v>
      </c>
      <c r="AT32" s="81" t="str" cm="1">
        <f t="array" ref="AT32">INDEX('C214'!$I:$I,7+(COLUMN()-28)*21)</f>
        <v>3.26%</v>
      </c>
      <c r="AU32" s="110" cm="1">
        <f t="array" ref="AU32">INDEX('C214'!$I:$I,7+(COLUMN()-28)*21)</f>
        <v>5.7557251908396945E-2</v>
      </c>
      <c r="AV32" s="87" cm="1">
        <f t="array" ref="AV32">INDEX('C214'!$I:$I,7+(COLUMN()-28)*21)</f>
        <v>4.4417110837775046E-2</v>
      </c>
      <c r="AW32" s="81" t="str" cm="1">
        <f t="array" ref="AW32">INDEX('C214'!$I:$I,7+(COLUMN()-28)*21)</f>
        <v>4.15%</v>
      </c>
      <c r="AX32" s="81" t="str" cm="1">
        <f t="array" ref="AX32">INDEX('C214'!$I:$I,7+(COLUMN()-28)*21)</f>
        <v>4.01%</v>
      </c>
      <c r="AY32" s="81" t="str" cm="1">
        <f t="array" ref="AY32">INDEX('C214'!$I:$I,7+(COLUMN()-28)*21)</f>
        <v>5.38%</v>
      </c>
      <c r="AZ32" s="81" t="str" cm="1">
        <f t="array" ref="AZ32">INDEX('C214'!$I:$I,7+(COLUMN()-28)*21)</f>
        <v>3.79%</v>
      </c>
      <c r="BA32" s="81" t="str" cm="1">
        <f t="array" ref="BA32">INDEX('C214'!$I:$I,7+(COLUMN()-28)*21)</f>
        <v>2.58%</v>
      </c>
      <c r="BB32" s="110" cm="1">
        <f t="array" ref="BB32">_xlfn.NUMBERVALUE(INDEX('C214'!$P:$P,7+(COLUMN()-54)*21))</f>
        <v>4.9299999999999997E-2</v>
      </c>
      <c r="BC32" s="110" cm="1">
        <f t="array" ref="BC32">_xlfn.NUMBERVALUE(INDEX('C214'!$P:$P,7+(COLUMN()-54)*21))</f>
        <v>3.0000000000000001E-3</v>
      </c>
      <c r="BD32" s="110" cm="1">
        <f t="array" ref="BD32">_xlfn.NUMBERVALUE(INDEX('C214'!$P:$P,7+(COLUMN()-54)*21))</f>
        <v>1.1000000000000001E-2</v>
      </c>
      <c r="BE32" s="110" cm="1">
        <f t="array" ref="BE32">_xlfn.NUMBERVALUE(INDEX('C214'!$P:$P,7+(COLUMN()-54)*21))</f>
        <v>1.2699999999999999E-2</v>
      </c>
      <c r="BF32" s="110" cm="1">
        <f t="array" ref="BF32">_xlfn.NUMBERVALUE(INDEX('C214'!$P:$P,7+(COLUMN()-54)*21))</f>
        <v>1.6299999999999999E-2</v>
      </c>
      <c r="BG32" s="110" cm="1">
        <f t="array" ref="BG32">_xlfn.NUMBERVALUE(INDEX('C214'!$P:$P,7+(COLUMN()-54)*21))</f>
        <v>3.6499999999999998E-2</v>
      </c>
      <c r="BH32" s="110" cm="1">
        <f t="array" ref="BH32">_xlfn.NUMBERVALUE(INDEX('C214'!$P:$P,7+(COLUMN()-54)*21))</f>
        <v>0.43280000000000002</v>
      </c>
      <c r="BI32" s="110" cm="1">
        <f t="array" ref="BI32">_xlfn.NUMBERVALUE(INDEX('C214'!$P:$P,7+(COLUMN()-54)*21))</f>
        <v>2.9300000000000003E-2</v>
      </c>
      <c r="BJ32" s="110" cm="1">
        <f t="array" ref="BJ32">_xlfn.NUMBERVALUE(INDEX('C214'!$P:$P,7+(COLUMN()-54)*21))</f>
        <v>2.0799999999999999E-2</v>
      </c>
      <c r="BK32" s="110" cm="1">
        <f t="array" ref="BK32">_xlfn.NUMBERVALUE(INDEX('C214'!$P:$P,7+(COLUMN()-54)*21))</f>
        <v>1.11E-2</v>
      </c>
      <c r="BL32" s="110" cm="1">
        <f t="array" ref="BL32">_xlfn.NUMBERVALUE(INDEX('C214'!$P:$P,7+(COLUMN()-54)*21))</f>
        <v>6.5099999999999991E-2</v>
      </c>
      <c r="BM32" s="110" cm="1">
        <f t="array" ref="BM32">_xlfn.NUMBERVALUE(INDEX('C214'!$P:$P,7+(COLUMN()-54)*21))</f>
        <v>4.2599999999999999E-2</v>
      </c>
      <c r="BN32" s="110" cm="1">
        <f t="array" ref="BN32">_xlfn.NUMBERVALUE(INDEX('C214'!$P:$P,7+(COLUMN()-54)*21))</f>
        <v>8.8999999999999999E-3</v>
      </c>
      <c r="BO32" s="110" cm="1">
        <f t="array" ref="BO32">_xlfn.NUMBERVALUE(INDEX('C214'!$P:$P,7+(COLUMN()-54)*21))</f>
        <v>1.0500000000000001E-2</v>
      </c>
      <c r="BP32" s="110" cm="1">
        <f t="array" ref="BP32">_xlfn.NUMBERVALUE(INDEX('C214'!$P:$P,7+(COLUMN()-54)*21))</f>
        <v>1.3899999999999999E-2</v>
      </c>
      <c r="BQ32" s="110" cm="1">
        <f t="array" ref="BQ32">_xlfn.NUMBERVALUE(INDEX('C214'!$P:$P,7+(COLUMN()-54)*21))</f>
        <v>1.5800000000000002E-2</v>
      </c>
      <c r="BR32" s="110" cm="1">
        <f t="array" ref="BR32">_xlfn.NUMBERVALUE(INDEX('C214'!$P:$P,7+(COLUMN()-54)*21))</f>
        <v>5.6999999999999993E-3</v>
      </c>
      <c r="BS32" s="110" cm="1">
        <f t="array" ref="BS32">_xlfn.NUMBERVALUE(INDEX('C214'!$P:$P,7+(COLUMN()-54)*21))</f>
        <v>6.8999999999999999E-3</v>
      </c>
      <c r="BT32" s="110" cm="1">
        <f t="array" ref="BT32">_xlfn.NUMBERVALUE(INDEX('C214'!$P:$P,7+(COLUMN()-54)*21))</f>
        <v>9.7999999999999997E-3</v>
      </c>
      <c r="BU32" s="110" cm="1">
        <f t="array" ref="BU32">_xlfn.NUMBERVALUE(INDEX('C214'!$P:$P,7+(COLUMN()-54)*21))</f>
        <v>4.5999999999999999E-3</v>
      </c>
      <c r="BV32" s="110" cm="1">
        <f t="array" ref="BV32">_xlfn.NUMBERVALUE(INDEX('C214'!$P:$P,7+(COLUMN()-54)*21))</f>
        <v>7.4000000000000003E-3</v>
      </c>
      <c r="BW32" s="110" cm="1">
        <f t="array" ref="BW32">_xlfn.NUMBERVALUE(INDEX('C214'!$P:$P,7+(COLUMN()-54)*21))</f>
        <v>8.3000000000000001E-3</v>
      </c>
      <c r="BX32" s="110" cm="1">
        <f t="array" ref="BX32">_xlfn.NUMBERVALUE(INDEX('C214'!$P:$P,7+(COLUMN()-54)*21))</f>
        <v>7.3000000000000001E-3</v>
      </c>
      <c r="BY32" s="110" cm="1">
        <f t="array" ref="BY32">_xlfn.NUMBERVALUE(INDEX('C214'!$P:$P,7+(COLUMN()-54)*21))</f>
        <v>0</v>
      </c>
      <c r="BZ32" s="110" cm="1">
        <f t="array" ref="BZ32">_xlfn.NUMBERVALUE(INDEX('C214'!$P:$P,7+(COLUMN()-54)*21))</f>
        <v>0</v>
      </c>
      <c r="CA32" s="110" cm="1">
        <f t="array" ref="CA32">_xlfn.NUMBERVALUE(INDEX('C214'!$P:$P,7+(COLUMN()-54)*21))</f>
        <v>0</v>
      </c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22"/>
      <c r="DO32" s="93" t="s">
        <v>1419</v>
      </c>
      <c r="DP32" s="96" cm="1">
        <f t="array" ref="DP32">INDEX('C214'!$I:$I,15+4*21)+INDEX('C214'!$I:$I,15+5*21)+INDEX('C214'!$I:$I,15+6*21)+INDEX('C214'!$I:$I,15+7*21)+INDEX('C214'!$I:$I,15+8*21)+INDEX('C214'!$I:$I,15+9*21)</f>
        <v>879</v>
      </c>
      <c r="DQ32" s="74" cm="1">
        <f t="array" ref="DQ32">INDEX('C214'!$I:$I,15+10*21)+INDEX('C214'!$I:$I,15+11*21)+INDEX('C214'!$I:$I,15+12*21)+INDEX('C214'!$I:$I,15+13*21)+INDEX('C214'!$I:$I,15+14*21)+INDEX('C214'!$I:$I,15+15*21)</f>
        <v>1168</v>
      </c>
      <c r="DR32" s="74" cm="1">
        <f t="array" ref="DR32">INDEX('C214'!$I:$I,15+16*21)+INDEX('C214'!$I:$I,15+17*21)+INDEX('C214'!$I:$I,15+18*21)+INDEX('C214'!$I:$I,15+19*21)+INDEX('C214'!$I:$I,15+20*21)+INDEX('C214'!$I:$I,15+21*21)</f>
        <v>1569</v>
      </c>
      <c r="DS32" s="22"/>
    </row>
    <row r="33" spans="1:123" x14ac:dyDescent="0.3">
      <c r="A33" s="38" t="s">
        <v>22</v>
      </c>
      <c r="B33" s="32">
        <v>2.7099999999999999E-2</v>
      </c>
      <c r="C33" s="32">
        <v>3.56E-2</v>
      </c>
      <c r="D33" s="32">
        <v>4.9700000000000001E-2</v>
      </c>
      <c r="E33" s="32">
        <v>8.0000000000000002E-3</v>
      </c>
      <c r="F33" s="32">
        <v>1E-3</v>
      </c>
      <c r="G33" s="28"/>
      <c r="H33" s="32">
        <v>1.9699999999999999E-2</v>
      </c>
      <c r="I33" s="28"/>
      <c r="J33" s="28"/>
      <c r="K33" s="32">
        <v>3.5799999999999998E-2</v>
      </c>
      <c r="L33" s="32">
        <v>3.2599999999999997E-2</v>
      </c>
      <c r="M33" s="32">
        <v>2.52E-2</v>
      </c>
      <c r="N33" s="32">
        <v>2.2800000000000001E-2</v>
      </c>
      <c r="O33" s="32">
        <v>6.9999999999999999E-4</v>
      </c>
      <c r="P33" s="32">
        <v>4.0000000000000002E-4</v>
      </c>
      <c r="Q33" s="32">
        <v>2.0000000000000001E-4</v>
      </c>
      <c r="R33" s="32">
        <v>2.6800000000000001E-2</v>
      </c>
      <c r="S33" s="32">
        <v>1.44E-2</v>
      </c>
      <c r="T33" s="32">
        <v>1.34E-2</v>
      </c>
      <c r="U33" s="32">
        <v>1.29E-2</v>
      </c>
      <c r="V33" s="61" t="s">
        <v>971</v>
      </c>
      <c r="W33" s="61" t="str">
        <f>'C214'!$B386</f>
        <v>1.41%</v>
      </c>
      <c r="X33" s="61" t="s">
        <v>431</v>
      </c>
      <c r="Y33" s="61" t="s">
        <v>25</v>
      </c>
      <c r="Z33" s="28" t="str">
        <f>'C214'!$B449</f>
        <v>0.35%</v>
      </c>
      <c r="AA33" s="31" t="str">
        <f>'C214'!$B470</f>
        <v>0.03%</v>
      </c>
      <c r="AB33" s="81" t="str" cm="1">
        <f t="array" ref="AB33">INDEX('C214'!$I:$I,8+(COLUMN()-28)*21)</f>
        <v>0.02%</v>
      </c>
      <c r="AC33" s="81" t="str" cm="1">
        <f t="array" ref="AC33">INDEX('C214'!$I:$I,8+(COLUMN()-28)*21)</f>
        <v>0.06%</v>
      </c>
      <c r="AD33" s="81" t="str" cm="1">
        <f t="array" ref="AD33">INDEX('C214'!$I:$I,8+(COLUMN()-28)*21)</f>
        <v>0.09%</v>
      </c>
      <c r="AE33" s="81" t="str" cm="1">
        <f t="array" ref="AE33">INDEX('C214'!$I:$I,8+(COLUMN()-28)*21)</f>
        <v>0.13%</v>
      </c>
      <c r="AF33" s="81" t="str" cm="1">
        <f t="array" ref="AF33">INDEX('C214'!$I:$I,8+(COLUMN()-28)*21)</f>
        <v>0.64%</v>
      </c>
      <c r="AG33" s="81" t="str" cm="1">
        <f t="array" ref="AG33">INDEX('C214'!$I:$I,8+(COLUMN()-28)*21)</f>
        <v>0.28%</v>
      </c>
      <c r="AH33" s="81" t="str" cm="1">
        <f t="array" ref="AH33">INDEX('C214'!$I:$I,8+(COLUMN()-28)*21)</f>
        <v>0.26%</v>
      </c>
      <c r="AI33" s="81" t="str" cm="1">
        <f t="array" ref="AI33">INDEX('C214'!$I:$I,8+(COLUMN()-28)*21)</f>
        <v>0.18%</v>
      </c>
      <c r="AJ33" s="81" t="str" cm="1">
        <f t="array" ref="AJ33">INDEX('C214'!$I:$I,8+(COLUMN()-28)*21)</f>
        <v>0.50%</v>
      </c>
      <c r="AK33" s="81" t="str" cm="1">
        <f t="array" ref="AK33">INDEX('C214'!$I:$I,8+(COLUMN()-28)*21)</f>
        <v>0.26%</v>
      </c>
      <c r="AL33" s="81" t="str" cm="1">
        <f t="array" ref="AL33">INDEX('C214'!$I:$I,8+(COLUMN()-28)*21)</f>
        <v>0.09%</v>
      </c>
      <c r="AM33" s="81" t="str" cm="1">
        <f t="array" ref="AM33">INDEX('C214'!$I:$I,8+(COLUMN()-28)*21)</f>
        <v>0.02%</v>
      </c>
      <c r="AN33" s="81" t="str" cm="1">
        <f t="array" ref="AN33">INDEX('C214'!$I:$I,8+(COLUMN()-28)*21)</f>
        <v>0.08%</v>
      </c>
      <c r="AO33" s="81" t="str" cm="1">
        <f t="array" ref="AO33">INDEX('C214'!$I:$I,8+(COLUMN()-28)*21)</f>
        <v>0.02%</v>
      </c>
      <c r="AP33" s="81" t="str" cm="1">
        <f t="array" ref="AP33">INDEX('C214'!$I:$I,8+(COLUMN()-28)*21)</f>
        <v>0.00%</v>
      </c>
      <c r="AQ33" s="81" t="str" cm="1">
        <f t="array" ref="AQ33">INDEX('C214'!$I:$I,8+(COLUMN()-28)*21)</f>
        <v>0.05%</v>
      </c>
      <c r="AR33" s="81" t="str" cm="1">
        <f t="array" ref="AR33">INDEX('C214'!$I:$I,8+(COLUMN()-28)*21)</f>
        <v>0.03%</v>
      </c>
      <c r="AS33" s="81" t="str" cm="1">
        <f t="array" ref="AS33">INDEX('C214'!$I:$I,8+(COLUMN()-28)*21)</f>
        <v>0.00%</v>
      </c>
      <c r="AT33" s="81" t="str" cm="1">
        <f t="array" ref="AT33">INDEX('C214'!$I:$I,8+(COLUMN()-28)*21)</f>
        <v>0.00%</v>
      </c>
      <c r="AU33" s="110" cm="1">
        <f t="array" ref="AU33">INDEX('C214'!$I:$I,8+(COLUMN()-28)*21)</f>
        <v>6.1068702290076337E-4</v>
      </c>
      <c r="AV33" s="87" t="str" cm="1">
        <f t="array" ref="AV33">INDEX('C214'!$I:$I,8+(COLUMN()-28)*21)</f>
        <v>0.02%</v>
      </c>
      <c r="AW33" s="81" t="str" cm="1">
        <f t="array" ref="AW33">INDEX('C214'!$I:$I,8+(COLUMN()-28)*21)</f>
        <v>0.00%</v>
      </c>
      <c r="AX33" s="81" t="str" cm="1">
        <f t="array" ref="AX33">INDEX('C214'!$I:$I,8+(COLUMN()-28)*21)</f>
        <v>0.03%</v>
      </c>
      <c r="AY33" s="81" t="str" cm="1">
        <f t="array" ref="AY33">INDEX('C214'!$I:$I,8+(COLUMN()-28)*21)</f>
        <v>0.13%</v>
      </c>
      <c r="AZ33" s="81" t="str" cm="1">
        <f t="array" ref="AZ33">INDEX('C214'!$I:$I,8+(COLUMN()-28)*21)</f>
        <v>0.00%</v>
      </c>
      <c r="BA33" s="81" t="str" cm="1">
        <f t="array" ref="BA33">INDEX('C214'!$I:$I,8+(COLUMN()-28)*21)</f>
        <v>0.00%</v>
      </c>
      <c r="BB33" s="110" cm="1">
        <f t="array" ref="BB33">_xlfn.NUMBERVALUE(INDEX('C214'!$P:$P,8+(COLUMN()-54)*21))</f>
        <v>1E-4</v>
      </c>
      <c r="BC33" s="110" cm="1">
        <f t="array" ref="BC33">_xlfn.NUMBERVALUE(INDEX('C214'!$P:$P,8+(COLUMN()-54)*21))</f>
        <v>0</v>
      </c>
      <c r="BD33" s="110" cm="1">
        <f t="array" ref="BD33">_xlfn.NUMBERVALUE(INDEX('C214'!$P:$P,8+(COLUMN()-54)*21))</f>
        <v>0</v>
      </c>
      <c r="BE33" s="110" cm="1">
        <f t="array" ref="BE33">_xlfn.NUMBERVALUE(INDEX('C214'!$P:$P,8+(COLUMN()-54)*21))</f>
        <v>2.9999999999999997E-4</v>
      </c>
      <c r="BF33" s="110" cm="1">
        <f t="array" ref="BF33">_xlfn.NUMBERVALUE(INDEX('C214'!$P:$P,8+(COLUMN()-54)*21))</f>
        <v>5.7999999999999996E-3</v>
      </c>
      <c r="BG33" s="110" cm="1">
        <f t="array" ref="BG33">_xlfn.NUMBERVALUE(INDEX('C214'!$P:$P,8+(COLUMN()-54)*21))</f>
        <v>5.0000000000000001E-4</v>
      </c>
      <c r="BH33" s="110" cm="1">
        <f t="array" ref="BH33">_xlfn.NUMBERVALUE(INDEX('C214'!$P:$P,8+(COLUMN()-54)*21))</f>
        <v>2.0000000000000001E-4</v>
      </c>
      <c r="BI33" s="110" cm="1">
        <f t="array" ref="BI33">_xlfn.NUMBERVALUE(INDEX('C214'!$P:$P,8+(COLUMN()-54)*21))</f>
        <v>5.0000000000000001E-4</v>
      </c>
      <c r="BJ33" s="110" cm="1">
        <f t="array" ref="BJ33">_xlfn.NUMBERVALUE(INDEX('C214'!$P:$P,8+(COLUMN()-54)*21))</f>
        <v>2.9999999999999997E-4</v>
      </c>
      <c r="BK33" s="110" cm="1">
        <f t="array" ref="BK33">_xlfn.NUMBERVALUE(INDEX('C214'!$P:$P,8+(COLUMN()-54)*21))</f>
        <v>2.9999999999999997E-4</v>
      </c>
      <c r="BL33" s="110" cm="1">
        <f t="array" ref="BL33">_xlfn.NUMBERVALUE(INDEX('C214'!$P:$P,8+(COLUMN()-54)*21))</f>
        <v>2.9999999999999997E-4</v>
      </c>
      <c r="BM33" s="110" cm="1">
        <f t="array" ref="BM33">_xlfn.NUMBERVALUE(INDEX('C214'!$P:$P,8+(COLUMN()-54)*21))</f>
        <v>2.9999999999999997E-4</v>
      </c>
      <c r="BN33" s="110" cm="1">
        <f t="array" ref="BN33">_xlfn.NUMBERVALUE(INDEX('C214'!$P:$P,8+(COLUMN()-54)*21))</f>
        <v>2.9999999999999997E-4</v>
      </c>
      <c r="BO33" s="110" cm="1">
        <f t="array" ref="BO33">_xlfn.NUMBERVALUE(INDEX('C214'!$P:$P,8+(COLUMN()-54)*21))</f>
        <v>2.9999999999999997E-4</v>
      </c>
      <c r="BP33" s="110" cm="1">
        <f t="array" ref="BP33">_xlfn.NUMBERVALUE(INDEX('C214'!$P:$P,8+(COLUMN()-54)*21))</f>
        <v>0</v>
      </c>
      <c r="BQ33" s="110" cm="1">
        <f t="array" ref="BQ33">_xlfn.NUMBERVALUE(INDEX('C214'!$P:$P,8+(COLUMN()-54)*21))</f>
        <v>0</v>
      </c>
      <c r="BR33" s="110" cm="1">
        <f t="array" ref="BR33">_xlfn.NUMBERVALUE(INDEX('C214'!$P:$P,8+(COLUMN()-54)*21))</f>
        <v>0</v>
      </c>
      <c r="BS33" s="110" cm="1">
        <f t="array" ref="BS33">_xlfn.NUMBERVALUE(INDEX('C214'!$P:$P,8+(COLUMN()-54)*21))</f>
        <v>2.0000000000000001E-4</v>
      </c>
      <c r="BT33" s="110" cm="1">
        <f t="array" ref="BT33">_xlfn.NUMBERVALUE(INDEX('C214'!$P:$P,8+(COLUMN()-54)*21))</f>
        <v>0</v>
      </c>
      <c r="BU33" s="110" cm="1">
        <f t="array" ref="BU33">_xlfn.NUMBERVALUE(INDEX('C214'!$P:$P,8+(COLUMN()-54)*21))</f>
        <v>0</v>
      </c>
      <c r="BV33" s="110" cm="1">
        <f t="array" ref="BV33">_xlfn.NUMBERVALUE(INDEX('C214'!$P:$P,8+(COLUMN()-54)*21))</f>
        <v>0</v>
      </c>
      <c r="BW33" s="110" cm="1">
        <f t="array" ref="BW33">_xlfn.NUMBERVALUE(INDEX('C214'!$P:$P,8+(COLUMN()-54)*21))</f>
        <v>2.0000000000000001E-4</v>
      </c>
      <c r="BX33" s="110" cm="1">
        <f t="array" ref="BX33">_xlfn.NUMBERVALUE(INDEX('C214'!$P:$P,8+(COLUMN()-54)*21))</f>
        <v>0</v>
      </c>
      <c r="BY33" s="110" cm="1">
        <f t="array" ref="BY33">_xlfn.NUMBERVALUE(INDEX('C214'!$P:$P,8+(COLUMN()-54)*21))</f>
        <v>0</v>
      </c>
      <c r="BZ33" s="110" cm="1">
        <f t="array" ref="BZ33">_xlfn.NUMBERVALUE(INDEX('C214'!$P:$P,8+(COLUMN()-54)*21))</f>
        <v>0</v>
      </c>
      <c r="CA33" s="110" cm="1">
        <f t="array" ref="CA33">_xlfn.NUMBERVALUE(INDEX('C214'!$P:$P,8+(COLUMN()-54)*21))</f>
        <v>0</v>
      </c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22"/>
      <c r="DO33" s="93" t="s">
        <v>1420</v>
      </c>
      <c r="DP33" s="96" cm="1">
        <f t="array" ref="DP33">INDEX('C214'!$I:$I,18+4*21)+INDEX('C214'!$I:$I,18+5*21)+INDEX('C214'!$I:$I,18+6*21)+INDEX('C214'!$I:$I,18+7*21)+INDEX('C214'!$I:$I,18+8*21)+INDEX('C214'!$I:$I,18+9*21)</f>
        <v>97</v>
      </c>
      <c r="DQ33" s="74" cm="1">
        <f t="array" ref="DQ33">INDEX('C214'!$I:$I,18+10*21)+INDEX('C214'!$I:$I,18+11*21)+INDEX('C214'!$I:$I,18+12*21)+INDEX('C214'!$I:$I,18+13*21)+INDEX('C214'!$I:$I,18+14*21)+INDEX('C214'!$I:$I,18+15*21)</f>
        <v>13</v>
      </c>
      <c r="DR33" s="74" cm="1">
        <f t="array" ref="DR33">INDEX('C214'!$I:$I,18+16*21)+INDEX('C214'!$I:$I,18+17*21)+INDEX('C214'!$I:$I,18+18*21)+INDEX('C214'!$I:$I,18+19*21)+INDEX('C214'!$I:$I,18+20*21)+INDEX('C214'!$I:$I,18+21*21)</f>
        <v>6</v>
      </c>
      <c r="DS33" s="22"/>
    </row>
    <row r="34" spans="1:123" ht="30" x14ac:dyDescent="0.3">
      <c r="A34" s="42" t="s">
        <v>929</v>
      </c>
      <c r="B34" s="43" t="s">
        <v>948</v>
      </c>
      <c r="C34" s="43" t="s">
        <v>937</v>
      </c>
      <c r="D34" s="43" t="s">
        <v>937</v>
      </c>
      <c r="E34" s="43" t="s">
        <v>950</v>
      </c>
      <c r="F34" s="43" t="s">
        <v>950</v>
      </c>
      <c r="G34" s="43"/>
      <c r="H34" s="43" t="s">
        <v>954</v>
      </c>
      <c r="I34" s="43"/>
      <c r="J34" s="43"/>
      <c r="K34" s="43" t="s">
        <v>955</v>
      </c>
      <c r="L34" s="43" t="s">
        <v>937</v>
      </c>
      <c r="M34" s="43" t="s">
        <v>937</v>
      </c>
      <c r="N34" s="43" t="s">
        <v>950</v>
      </c>
      <c r="O34" s="43" t="s">
        <v>955</v>
      </c>
      <c r="P34" s="43" t="s">
        <v>941</v>
      </c>
      <c r="Q34" s="43" t="s">
        <v>950</v>
      </c>
      <c r="R34" s="43" t="s">
        <v>950</v>
      </c>
      <c r="S34" s="43" t="s">
        <v>936</v>
      </c>
      <c r="T34" s="43" t="s">
        <v>955</v>
      </c>
      <c r="U34" s="43" t="s">
        <v>955</v>
      </c>
      <c r="V34" s="43" t="s">
        <v>955</v>
      </c>
      <c r="W34" s="43" t="s">
        <v>1149</v>
      </c>
      <c r="X34" s="43" t="s">
        <v>1150</v>
      </c>
      <c r="Y34" s="43" t="s">
        <v>1098</v>
      </c>
      <c r="Z34" s="43" t="s">
        <v>1145</v>
      </c>
      <c r="AA34" s="44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/>
      <c r="CU34" s="82"/>
      <c r="CV34" s="82"/>
      <c r="CW34" s="82"/>
      <c r="CX34" s="82"/>
      <c r="CY34" s="82"/>
      <c r="CZ34" s="82"/>
      <c r="DA34" s="82"/>
      <c r="DB34" s="82"/>
      <c r="DC34" s="82"/>
      <c r="DD34" s="82"/>
      <c r="DE34" s="82"/>
      <c r="DF34" s="82"/>
      <c r="DG34" s="82"/>
      <c r="DH34" s="82"/>
      <c r="DI34" s="82"/>
      <c r="DJ34" s="82"/>
      <c r="DK34" s="82"/>
      <c r="DL34" s="82"/>
      <c r="DM34" s="82"/>
      <c r="DN34" s="22"/>
      <c r="DO34" s="154" t="s">
        <v>1415</v>
      </c>
      <c r="DP34" s="97" t="s">
        <v>1454</v>
      </c>
      <c r="DQ34" s="97" t="s">
        <v>1454</v>
      </c>
      <c r="DR34" s="97" t="s">
        <v>1454</v>
      </c>
      <c r="DS34" s="22"/>
    </row>
    <row r="35" spans="1:123" ht="15.6" thickBot="1" x14ac:dyDescent="0.35">
      <c r="A35" s="39" t="s">
        <v>881</v>
      </c>
      <c r="B35" s="29">
        <f>COUNTIFS('C214'!$C$3:$F$3,"=0")</f>
        <v>1</v>
      </c>
      <c r="C35" s="29">
        <f>COUNTIFS('C214'!$C$24:$F$24,"=0")</f>
        <v>1</v>
      </c>
      <c r="D35" s="29">
        <f>COUNTIFS('C214'!$C$45:$F$45,"=0")</f>
        <v>1</v>
      </c>
      <c r="E35" s="29">
        <f>COUNTIFS('C214'!$C$66:$F$66,"=0")</f>
        <v>0</v>
      </c>
      <c r="F35" s="29">
        <f>COUNTIFS('C214'!$C$87:$F$87,"=0")</f>
        <v>1</v>
      </c>
      <c r="G35" s="29"/>
      <c r="H35" s="29">
        <f>COUNTIFS('C214'!$C$108:$F$108,"=0")</f>
        <v>0</v>
      </c>
      <c r="I35" s="29"/>
      <c r="J35" s="29"/>
      <c r="K35" s="29">
        <f>COUNTIFS('C214'!$C$129:$F$129,"=0")</f>
        <v>1</v>
      </c>
      <c r="L35" s="29">
        <f>COUNTIFS('C214'!$C$150:$F$150,"=0")</f>
        <v>1</v>
      </c>
      <c r="M35" s="29">
        <f>COUNTIFS('C214'!$C$171:$F$171,"=0")</f>
        <v>1</v>
      </c>
      <c r="N35" s="29">
        <f>COUNTIFS('C214'!$C$192:$F$192,"=0")</f>
        <v>0</v>
      </c>
      <c r="O35" s="29">
        <f>COUNTIFS('C214'!$C$213:$F$213,"=0")</f>
        <v>0</v>
      </c>
      <c r="P35" s="29">
        <f>COUNTIFS('C214'!$C$234:$F$234,"=0")</f>
        <v>1</v>
      </c>
      <c r="Q35" s="29">
        <f>COUNTIFS('C214'!$C$255:$F$255,"=0")</f>
        <v>0</v>
      </c>
      <c r="R35" s="29">
        <f>COUNTIFS('C214'!$C$276:$F$276,"=0")</f>
        <v>0</v>
      </c>
      <c r="S35" s="29">
        <f>COUNTIFS('C214'!$C$297:$F$297,"=0")</f>
        <v>1</v>
      </c>
      <c r="T35" s="29">
        <f>COUNTIFS('C214'!$C$318:$F$318,"=0")</f>
        <v>0</v>
      </c>
      <c r="U35" s="29">
        <f>COUNTIFS('C214'!$C$339:$G$339,"=0")</f>
        <v>1</v>
      </c>
      <c r="V35" s="29">
        <f>COUNTIFS('C214'!$C$360:$G$360,"=0")</f>
        <v>1</v>
      </c>
      <c r="W35" s="29">
        <f>COUNTIFS('C214'!$C$381:$G$381,"=0")</f>
        <v>1</v>
      </c>
      <c r="X35" s="29">
        <f>COUNTIFS('C214'!$C$402:$G$402,"=0")</f>
        <v>1</v>
      </c>
      <c r="Y35" s="29">
        <f>COUNTIFS('C214'!$D$423:$H$423,"=0")</f>
        <v>1</v>
      </c>
      <c r="Z35" s="29">
        <f>COUNTIFS('C214'!$C$444:$G$444,"=0")</f>
        <v>1</v>
      </c>
      <c r="AA35" s="30">
        <f>COUNTIFS('C214'!$C$465:$G$465,"=0")</f>
        <v>1</v>
      </c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3"/>
      <c r="CF35" s="83"/>
      <c r="CG35" s="83"/>
      <c r="CH35" s="83"/>
      <c r="CI35" s="83"/>
      <c r="CJ35" s="83"/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3"/>
      <c r="DH35" s="83"/>
      <c r="DI35" s="83"/>
      <c r="DJ35" s="83"/>
      <c r="DK35" s="83"/>
      <c r="DL35" s="83"/>
      <c r="DM35" s="83"/>
      <c r="DN35" s="22"/>
      <c r="DO35" s="155"/>
      <c r="DP35" s="22" t="s">
        <v>1453</v>
      </c>
      <c r="DQ35" s="22" t="s">
        <v>1453</v>
      </c>
      <c r="DR35" s="22"/>
      <c r="DS35" s="22"/>
    </row>
    <row r="36" spans="1:123" x14ac:dyDescent="0.3">
      <c r="A36" s="36" t="s">
        <v>878</v>
      </c>
      <c r="B36" s="24">
        <v>46083</v>
      </c>
      <c r="C36" s="53">
        <v>46084</v>
      </c>
      <c r="D36" s="24">
        <v>46085</v>
      </c>
      <c r="E36" s="24">
        <v>46086</v>
      </c>
      <c r="F36" s="24">
        <v>46087</v>
      </c>
      <c r="G36" s="24">
        <v>46088</v>
      </c>
      <c r="H36" s="24">
        <v>46090</v>
      </c>
      <c r="I36" s="24">
        <v>46091</v>
      </c>
      <c r="J36" s="24">
        <v>46092</v>
      </c>
      <c r="K36" s="24">
        <v>46093</v>
      </c>
      <c r="L36" s="24">
        <v>46094</v>
      </c>
      <c r="M36" s="24">
        <v>46095</v>
      </c>
      <c r="N36" s="53">
        <v>46097</v>
      </c>
      <c r="O36" s="53">
        <v>46098</v>
      </c>
      <c r="P36" s="53">
        <v>46099</v>
      </c>
      <c r="Q36" s="24">
        <v>46100</v>
      </c>
      <c r="R36" s="24">
        <v>46101</v>
      </c>
      <c r="S36" s="24">
        <v>46102</v>
      </c>
      <c r="T36" s="24">
        <v>46104</v>
      </c>
      <c r="U36" s="24">
        <v>46105</v>
      </c>
      <c r="V36" s="24">
        <v>46106</v>
      </c>
      <c r="W36" s="24">
        <v>46107</v>
      </c>
      <c r="X36" s="24">
        <v>46108</v>
      </c>
      <c r="Y36" s="24">
        <v>46109</v>
      </c>
      <c r="Z36" s="24">
        <v>46111</v>
      </c>
      <c r="AA36" s="25">
        <v>46112</v>
      </c>
      <c r="AB36" s="80">
        <v>46113</v>
      </c>
      <c r="AC36" s="80">
        <v>46114</v>
      </c>
      <c r="AD36" s="80">
        <v>46115</v>
      </c>
      <c r="AE36" s="90">
        <v>46116</v>
      </c>
      <c r="AF36" s="80">
        <v>46118</v>
      </c>
      <c r="AG36" s="80">
        <v>46119</v>
      </c>
      <c r="AH36" s="80">
        <v>46120</v>
      </c>
      <c r="AI36" s="80">
        <v>46121</v>
      </c>
      <c r="AJ36" s="80">
        <v>46122</v>
      </c>
      <c r="AK36" s="90">
        <v>46123</v>
      </c>
      <c r="AL36" s="80">
        <v>46125</v>
      </c>
      <c r="AM36" s="90">
        <v>46126</v>
      </c>
      <c r="AN36" s="90">
        <v>46127</v>
      </c>
      <c r="AO36" s="90">
        <v>46128</v>
      </c>
      <c r="AP36" s="90">
        <v>46129</v>
      </c>
      <c r="AQ36" s="80">
        <v>46130</v>
      </c>
      <c r="AR36" s="90">
        <v>46132</v>
      </c>
      <c r="AS36" s="80">
        <v>46133</v>
      </c>
      <c r="AT36" s="80">
        <v>46134</v>
      </c>
      <c r="AU36" s="80">
        <v>46135</v>
      </c>
      <c r="AV36" s="80">
        <v>46136</v>
      </c>
      <c r="AW36" s="80">
        <v>46137</v>
      </c>
      <c r="AX36" s="80">
        <v>46139</v>
      </c>
      <c r="AY36" s="80">
        <v>46140</v>
      </c>
      <c r="AZ36" s="80">
        <v>46141</v>
      </c>
      <c r="BA36" s="80">
        <v>46142</v>
      </c>
      <c r="BB36" s="80">
        <v>46143</v>
      </c>
      <c r="BC36" s="80">
        <v>46146</v>
      </c>
      <c r="BD36" s="80">
        <v>46147</v>
      </c>
      <c r="BE36" s="80">
        <v>46148</v>
      </c>
      <c r="BF36" s="80">
        <v>46149</v>
      </c>
      <c r="BG36" s="137">
        <v>46150</v>
      </c>
      <c r="BH36" s="80">
        <v>46151</v>
      </c>
      <c r="BI36" s="80">
        <v>46153</v>
      </c>
      <c r="BJ36" s="80">
        <v>46154</v>
      </c>
      <c r="BK36" s="80">
        <v>46155</v>
      </c>
      <c r="BL36" s="80">
        <v>46156</v>
      </c>
      <c r="BM36" s="80">
        <v>46157</v>
      </c>
      <c r="BN36" s="80">
        <v>46158</v>
      </c>
      <c r="BO36" s="80">
        <v>46160</v>
      </c>
      <c r="BP36" s="80">
        <v>46161</v>
      </c>
      <c r="BQ36" s="80">
        <v>46162</v>
      </c>
      <c r="BR36" s="80">
        <v>46163</v>
      </c>
      <c r="BS36" s="80">
        <v>46164</v>
      </c>
      <c r="BT36" s="80">
        <v>46165</v>
      </c>
      <c r="BU36" s="80">
        <v>46167</v>
      </c>
      <c r="BV36" s="80">
        <v>46168</v>
      </c>
      <c r="BW36" s="80">
        <v>46169</v>
      </c>
      <c r="BX36" s="80">
        <v>46170</v>
      </c>
      <c r="BY36" s="80">
        <v>46171</v>
      </c>
      <c r="BZ36" s="80">
        <v>46172</v>
      </c>
      <c r="CA36" s="80">
        <v>46173</v>
      </c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22"/>
      <c r="DO36" s="93" t="s">
        <v>1424</v>
      </c>
      <c r="DP36" s="94" t="s">
        <v>1416</v>
      </c>
      <c r="DQ36" s="94" t="s">
        <v>1417</v>
      </c>
      <c r="DR36" s="94" t="s">
        <v>1672</v>
      </c>
      <c r="DS36" s="22"/>
    </row>
    <row r="37" spans="1:123" x14ac:dyDescent="0.3">
      <c r="A37" s="38" t="s">
        <v>873</v>
      </c>
      <c r="B37" s="32">
        <v>1.1299999999999999E-2</v>
      </c>
      <c r="C37" s="32">
        <v>2.47E-2</v>
      </c>
      <c r="D37" s="32">
        <v>1.6500000000000001E-2</v>
      </c>
      <c r="E37" s="32">
        <v>1.47E-2</v>
      </c>
      <c r="F37" s="32">
        <v>1.89E-2</v>
      </c>
      <c r="G37" s="28"/>
      <c r="H37" s="32">
        <v>1.6799999999999999E-2</v>
      </c>
      <c r="I37" s="32">
        <v>2.7E-2</v>
      </c>
      <c r="J37" s="32">
        <v>2.4299999999999999E-2</v>
      </c>
      <c r="K37" s="32">
        <v>2.3599999999999999E-2</v>
      </c>
      <c r="L37" s="32">
        <v>2.7400000000000001E-2</v>
      </c>
      <c r="M37" s="28"/>
      <c r="N37" s="32">
        <v>7.1499999999999994E-2</v>
      </c>
      <c r="O37" s="32">
        <v>7.2499999999999995E-2</v>
      </c>
      <c r="P37" s="32">
        <v>8.3999999999999995E-3</v>
      </c>
      <c r="Q37" s="32">
        <v>2.58E-2</v>
      </c>
      <c r="R37" s="32">
        <v>1.0800000000000001E-2</v>
      </c>
      <c r="S37" s="28"/>
      <c r="T37" s="32">
        <v>2.76E-2</v>
      </c>
      <c r="U37" s="32">
        <v>1.5299999999999999E-2</v>
      </c>
      <c r="V37" s="61" t="s">
        <v>794</v>
      </c>
      <c r="W37" s="61" t="str">
        <f>'C215'!$B383</f>
        <v>1.68%</v>
      </c>
      <c r="X37" s="61" t="s">
        <v>332</v>
      </c>
      <c r="Y37" s="61" t="s">
        <v>63</v>
      </c>
      <c r="Z37" s="28" t="str">
        <f>'C215'!$B446</f>
        <v>1.64%</v>
      </c>
      <c r="AA37" s="31" t="str">
        <f>'C215'!$B467</f>
        <v>0.81%</v>
      </c>
      <c r="AB37" s="81" t="str" cm="1">
        <f t="array" ref="AB37">INDEX('C215'!$I:$I,5+(COLUMN()-28)*21)</f>
        <v>3.52%</v>
      </c>
      <c r="AC37" s="81" t="str" cm="1">
        <f t="array" ref="AC37">INDEX('C215'!$I:$I,5+(COLUMN()-28)*21)</f>
        <v>1.72%</v>
      </c>
      <c r="AD37" s="81" t="str" cm="1">
        <f t="array" ref="AD37">INDEX('C215'!$I:$I,5+(COLUMN()-28)*21)</f>
        <v>1.47%</v>
      </c>
      <c r="AE37" s="81" t="str" cm="1">
        <f t="array" ref="AE37">INDEX('C215'!$I:$I,5+(COLUMN()-28)*21)</f>
        <v>1.26%</v>
      </c>
      <c r="AF37" s="81" t="str" cm="1">
        <f t="array" ref="AF37">INDEX('C215'!$I:$I,5+(COLUMN()-28)*21)</f>
        <v>1.72%</v>
      </c>
      <c r="AG37" s="81" t="str" cm="1">
        <f t="array" ref="AG37">INDEX('C215'!$I:$I,5+(COLUMN()-28)*21)</f>
        <v>2.41%</v>
      </c>
      <c r="AH37" s="81" t="str" cm="1">
        <f t="array" ref="AH37">INDEX('C215'!$I:$I,5+(COLUMN()-28)*21)</f>
        <v>4.01%</v>
      </c>
      <c r="AI37" s="81" t="str" cm="1">
        <f t="array" ref="AI37">INDEX('C215'!$I:$I,5+(COLUMN()-28)*21)</f>
        <v>4.17%</v>
      </c>
      <c r="AJ37" s="81" t="str" cm="1">
        <f t="array" ref="AJ37">INDEX('C215'!$I:$I,5+(COLUMN()-28)*21)</f>
        <v>5.08%</v>
      </c>
      <c r="AK37" s="81" t="str" cm="1">
        <f t="array" ref="AK37">INDEX('C215'!$I:$I,5+(COLUMN()-28)*21)</f>
        <v>3.40%</v>
      </c>
      <c r="AL37" s="81" t="str" cm="1">
        <f t="array" ref="AL37">INDEX('C215'!$I:$I,5+(COLUMN()-28)*21)</f>
        <v>5.15%</v>
      </c>
      <c r="AM37" s="81" t="str" cm="1">
        <f t="array" ref="AM37">INDEX('C215'!$I:$I,5+(COLUMN()-28)*21)</f>
        <v>7.22%</v>
      </c>
      <c r="AN37" s="81" t="str" cm="1">
        <f t="array" ref="AN37">INDEX('C215'!$I:$I,5+(COLUMN()-28)*21)</f>
        <v>2.29%</v>
      </c>
      <c r="AO37" s="81" t="str" cm="1">
        <f t="array" ref="AO37">INDEX('C215'!$I:$I,5+(COLUMN()-28)*21)</f>
        <v>3.32%</v>
      </c>
      <c r="AP37" s="81" t="str" cm="1">
        <f t="array" ref="AP37">INDEX('C215'!$I:$I,5+(COLUMN()-28)*21)</f>
        <v>2.23%</v>
      </c>
      <c r="AQ37" s="81" t="str" cm="1">
        <f t="array" ref="AQ37">INDEX('C215'!$I:$I,5+(COLUMN()-28)*21)</f>
        <v>1.76%</v>
      </c>
      <c r="AR37" s="81" t="str" cm="1">
        <f t="array" ref="AR37">INDEX('C215'!$I:$I,5+(COLUMN()-28)*21)</f>
        <v>7.75%</v>
      </c>
      <c r="AS37" s="81" t="str" cm="1">
        <f t="array" ref="AS37">INDEX('C215'!$I:$I,5+(COLUMN()-28)*21)</f>
        <v>0.85%</v>
      </c>
      <c r="AT37" s="81" t="str" cm="1">
        <f t="array" ref="AT37">INDEX('C215'!$I:$I,5+(COLUMN()-28)*21)</f>
        <v>1.21%</v>
      </c>
      <c r="AU37" s="81" t="str" cm="1">
        <f t="array" ref="AU37">INDEX('C215'!$I:$I,5+(COLUMN()-28)*21)</f>
        <v>1.57%</v>
      </c>
      <c r="AV37" s="87" t="str" cm="1">
        <f t="array" ref="AV37">INDEX('C215'!$I:$I,5+(COLUMN()-28)*21)</f>
        <v>3.91%</v>
      </c>
      <c r="AW37" s="81" t="str" cm="1">
        <f t="array" ref="AW37">INDEX('C215'!$I:$I,5+(COLUMN()-28)*21)</f>
        <v>1.70%</v>
      </c>
      <c r="AX37" s="81" t="str" cm="1">
        <f t="array" ref="AX37">INDEX('C215'!$I:$I,5+(COLUMN()-28)*21)</f>
        <v>1.51%</v>
      </c>
      <c r="AY37" s="81" t="str" cm="1">
        <f t="array" ref="AY37">INDEX('C215'!$I:$I,5+(COLUMN()-28)*21)</f>
        <v>2.31%</v>
      </c>
      <c r="AZ37" s="81" t="str" cm="1">
        <f t="array" ref="AZ37">INDEX('C215'!$I:$I,5+(COLUMN()-28)*21)</f>
        <v>2.45%</v>
      </c>
      <c r="BA37" s="81" t="str" cm="1">
        <f t="array" ref="BA37">INDEX('C215'!$I:$I,5+(COLUMN()-28)*21)</f>
        <v>1.65%</v>
      </c>
      <c r="BB37" s="110" cm="1">
        <f t="array" ref="BB37">_xlfn.NUMBERVALUE(INDEX('C215'!$P:$P,5+(COLUMN()-54)*21))</f>
        <v>1.6399999999999998E-2</v>
      </c>
      <c r="BC37" s="110" cm="1">
        <f t="array" ref="BC37">_xlfn.NUMBERVALUE(INDEX('C215'!$P:$P,5+(COLUMN()-54)*21))</f>
        <v>1.03E-2</v>
      </c>
      <c r="BD37" s="110" cm="1">
        <f t="array" ref="BD37">_xlfn.NUMBERVALUE(INDEX('C215'!$P:$P,5+(COLUMN()-54)*21))</f>
        <v>9.5999999999999992E-3</v>
      </c>
      <c r="BE37" s="110" cm="1">
        <f t="array" ref="BE37">_xlfn.NUMBERVALUE(INDEX('C215'!$P:$P,5+(COLUMN()-54)*21))</f>
        <v>0.03</v>
      </c>
      <c r="BF37" s="110" cm="1">
        <f t="array" ref="BF37">_xlfn.NUMBERVALUE(INDEX('C215'!$P:$P,5+(COLUMN()-54)*21))</f>
        <v>2.1099999999999997E-2</v>
      </c>
      <c r="BG37" s="110" cm="1">
        <f t="array" ref="BG37">_xlfn.NUMBERVALUE(INDEX('C215'!$P:$P,5+(COLUMN()-54)*21))</f>
        <v>1.41E-2</v>
      </c>
      <c r="BH37" s="110" cm="1">
        <f t="array" ref="BH37">_xlfn.NUMBERVALUE(INDEX('C215'!$P:$P,5+(COLUMN()-54)*21))</f>
        <v>1.6200000000000003E-2</v>
      </c>
      <c r="BI37" s="110" cm="1">
        <f t="array" ref="BI37">_xlfn.NUMBERVALUE(INDEX('C215'!$P:$P,5+(COLUMN()-54)*21))</f>
        <v>1.9599999999999999E-2</v>
      </c>
      <c r="BJ37" s="110" cm="1">
        <f t="array" ref="BJ37">_xlfn.NUMBERVALUE(INDEX('C215'!$P:$P,5+(COLUMN()-54)*21))</f>
        <v>1.7899999999999999E-2</v>
      </c>
      <c r="BK37" s="110" cm="1">
        <f t="array" ref="BK37">_xlfn.NUMBERVALUE(INDEX('C215'!$P:$P,5+(COLUMN()-54)*21))</f>
        <v>1.6399999999999998E-2</v>
      </c>
      <c r="BL37" s="110" cm="1">
        <f t="array" ref="BL37">_xlfn.NUMBERVALUE(INDEX('C215'!$P:$P,5+(COLUMN()-54)*21))</f>
        <v>1.3000000000000001E-2</v>
      </c>
      <c r="BM37" s="110" cm="1">
        <f t="array" ref="BM37">_xlfn.NUMBERVALUE(INDEX('C215'!$P:$P,5+(COLUMN()-54)*21))</f>
        <v>2.07E-2</v>
      </c>
      <c r="BN37" s="110" cm="1">
        <f t="array" ref="BN37">_xlfn.NUMBERVALUE(INDEX('C215'!$P:$P,5+(COLUMN()-54)*21))</f>
        <v>1.9599999999999999E-2</v>
      </c>
      <c r="BO37" s="110" cm="1">
        <f t="array" ref="BO37">_xlfn.NUMBERVALUE(INDEX('C215'!$P:$P,5+(COLUMN()-54)*21))</f>
        <v>1.7100000000000001E-2</v>
      </c>
      <c r="BP37" s="110" cm="1">
        <f t="array" ref="BP37">_xlfn.NUMBERVALUE(INDEX('C215'!$P:$P,5+(COLUMN()-54)*21))</f>
        <v>2.07E-2</v>
      </c>
      <c r="BQ37" s="110" cm="1">
        <f t="array" ref="BQ37">_xlfn.NUMBERVALUE(INDEX('C215'!$P:$P,5+(COLUMN()-54)*21))</f>
        <v>2.1000000000000001E-2</v>
      </c>
      <c r="BR37" s="110" cm="1">
        <f t="array" ref="BR37">_xlfn.NUMBERVALUE(INDEX('C215'!$P:$P,5+(COLUMN()-54)*21))</f>
        <v>2.3E-2</v>
      </c>
      <c r="BS37" s="110" cm="1">
        <f t="array" ref="BS37">_xlfn.NUMBERVALUE(INDEX('C215'!$P:$P,5+(COLUMN()-54)*21))</f>
        <v>2.4199999999999999E-2</v>
      </c>
      <c r="BT37" s="110" cm="1">
        <f t="array" ref="BT37">_xlfn.NUMBERVALUE(INDEX('C215'!$P:$P,5+(COLUMN()-54)*21))</f>
        <v>1.84E-2</v>
      </c>
      <c r="BU37" s="110" cm="1">
        <f t="array" ref="BU37">_xlfn.NUMBERVALUE(INDEX('C215'!$P:$P,5+(COLUMN()-54)*21))</f>
        <v>3.1E-2</v>
      </c>
      <c r="BV37" s="110" cm="1">
        <f t="array" ref="BV37">_xlfn.NUMBERVALUE(INDEX('C215'!$P:$P,5+(COLUMN()-54)*21))</f>
        <v>4.41E-2</v>
      </c>
      <c r="BW37" s="110" cm="1">
        <f t="array" ref="BW37">_xlfn.NUMBERVALUE(INDEX('C215'!$P:$P,5+(COLUMN()-54)*21))</f>
        <v>4.7500000000000001E-2</v>
      </c>
      <c r="BX37" s="110" cm="1">
        <f t="array" ref="BX37">_xlfn.NUMBERVALUE(INDEX('C215'!$P:$P,5+(COLUMN()-54)*21))</f>
        <v>3.0800000000000001E-2</v>
      </c>
      <c r="BY37" s="110" cm="1">
        <f t="array" ref="BY37">_xlfn.NUMBERVALUE(INDEX('C215'!$P:$P,5+(COLUMN()-54)*21))</f>
        <v>0</v>
      </c>
      <c r="BZ37" s="110" cm="1">
        <f t="array" ref="BZ37">_xlfn.NUMBERVALUE(INDEX('C215'!$P:$P,5+(COLUMN()-54)*21))</f>
        <v>0</v>
      </c>
      <c r="CA37" s="110" cm="1">
        <f t="array" ref="CA37">_xlfn.NUMBERVALUE(INDEX('C215'!$P:$P,5+(COLUMN()-54)*21))</f>
        <v>0</v>
      </c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22"/>
      <c r="DO37" s="93" t="s">
        <v>1414</v>
      </c>
      <c r="DP37" s="95" cm="1">
        <f t="array" ref="DP37">INDEX('C215'!$I:$I,3+4*21)+INDEX('C215'!$I:$I,3+5*21)+INDEX('C215'!$I:$I,3+6*21)+INDEX('C215'!$I:$I,3+7*21)+INDEX('C215'!$I:$I,3+8*21)+INDEX('C215'!$I:$I,3+9*21)</f>
        <v>16925</v>
      </c>
      <c r="DQ37" s="101" cm="1">
        <f t="array" ref="DQ37">INDEX('C215'!$I:$I,3+10*21)+INDEX('C215'!$I:$I,3+11*21)+INDEX('C215'!$I:$I,3+12*21)+INDEX('C215'!$I:$I,3+13*21)+INDEX('C215'!$I:$I,3+14*21)+INDEX('C215'!$I:$I,3+15*21)</f>
        <v>24786</v>
      </c>
      <c r="DR37" s="101" cm="1">
        <f t="array" ref="DR37">INDEX('C215'!$I:$I,3+16*21)+INDEX('C215'!$I:$I,3+17*21)+INDEX('C215'!$I:$I,3+18*21)+INDEX('C215'!$I:$I,3+19*21)+INDEX('C215'!$I:$I,3+20*21)+INDEX('C215'!$I:$I,3+21*21)</f>
        <v>24009</v>
      </c>
      <c r="DS37" s="22"/>
    </row>
    <row r="38" spans="1:123" x14ac:dyDescent="0.3">
      <c r="A38" s="38" t="s">
        <v>12</v>
      </c>
      <c r="B38" s="32">
        <v>1.0200000000000001E-2</v>
      </c>
      <c r="C38" s="32">
        <v>2.4199999999999999E-2</v>
      </c>
      <c r="D38" s="32">
        <v>1.5800000000000002E-2</v>
      </c>
      <c r="E38" s="32">
        <v>1.34E-2</v>
      </c>
      <c r="F38" s="32">
        <v>1.72E-2</v>
      </c>
      <c r="G38" s="28"/>
      <c r="H38" s="32">
        <v>1.47E-2</v>
      </c>
      <c r="I38" s="32">
        <v>2.58E-2</v>
      </c>
      <c r="J38" s="32">
        <v>1.7999999999999999E-2</v>
      </c>
      <c r="K38" s="32">
        <v>1.9199999999999998E-2</v>
      </c>
      <c r="L38" s="32">
        <v>2.2499999999999999E-2</v>
      </c>
      <c r="M38" s="28"/>
      <c r="N38" s="32">
        <v>6.4699999999999994E-2</v>
      </c>
      <c r="O38" s="32">
        <v>6.59E-2</v>
      </c>
      <c r="P38" s="32">
        <v>3.2000000000000002E-3</v>
      </c>
      <c r="Q38" s="32">
        <v>4.8999999999999998E-3</v>
      </c>
      <c r="R38" s="32">
        <v>2.8999999999999998E-3</v>
      </c>
      <c r="S38" s="28"/>
      <c r="T38" s="32">
        <v>2.8999999999999998E-3</v>
      </c>
      <c r="U38" s="32">
        <v>4.0000000000000001E-3</v>
      </c>
      <c r="V38" s="61" t="s">
        <v>491</v>
      </c>
      <c r="W38" s="61" t="str">
        <f>'C215'!$B384</f>
        <v>0.41%</v>
      </c>
      <c r="X38" s="61" t="s">
        <v>100</v>
      </c>
      <c r="Y38" s="61" t="s">
        <v>78</v>
      </c>
      <c r="Z38" s="28" t="str">
        <f>'C215'!$B447</f>
        <v>1.64%</v>
      </c>
      <c r="AA38" s="31" t="str">
        <f>'C215'!$B468</f>
        <v>0.49%</v>
      </c>
      <c r="AB38" s="81" t="str" cm="1">
        <f t="array" ref="AB38">INDEX('C215'!$I:$I,6+(COLUMN()-28)*21)</f>
        <v>2.91%</v>
      </c>
      <c r="AC38" s="81" t="str" cm="1">
        <f t="array" ref="AC38">INDEX('C215'!$I:$I,6+(COLUMN()-28)*21)</f>
        <v>1.15%</v>
      </c>
      <c r="AD38" s="81" t="str" cm="1">
        <f t="array" ref="AD38">INDEX('C215'!$I:$I,6+(COLUMN()-28)*21)</f>
        <v>0.78%</v>
      </c>
      <c r="AE38" s="81" t="str" cm="1">
        <f t="array" ref="AE38">INDEX('C215'!$I:$I,6+(COLUMN()-28)*21)</f>
        <v>1.01%</v>
      </c>
      <c r="AF38" s="81" t="str" cm="1">
        <f t="array" ref="AF38">INDEX('C215'!$I:$I,6+(COLUMN()-28)*21)</f>
        <v>1.20%</v>
      </c>
      <c r="AG38" s="81" t="str" cm="1">
        <f t="array" ref="AG38">INDEX('C215'!$I:$I,6+(COLUMN()-28)*21)</f>
        <v>2.22%</v>
      </c>
      <c r="AH38" s="81" t="str" cm="1">
        <f t="array" ref="AH38">INDEX('C215'!$I:$I,6+(COLUMN()-28)*21)</f>
        <v>3.75%</v>
      </c>
      <c r="AI38" s="81" t="str" cm="1">
        <f t="array" ref="AI38">INDEX('C215'!$I:$I,6+(COLUMN()-28)*21)</f>
        <v>4.02%</v>
      </c>
      <c r="AJ38" s="81" t="str" cm="1">
        <f t="array" ref="AJ38">INDEX('C215'!$I:$I,6+(COLUMN()-28)*21)</f>
        <v>4.67%</v>
      </c>
      <c r="AK38" s="81" t="str" cm="1">
        <f t="array" ref="AK38">INDEX('C215'!$I:$I,6+(COLUMN()-28)*21)</f>
        <v>2.37%</v>
      </c>
      <c r="AL38" s="81" t="str" cm="1">
        <f t="array" ref="AL38">INDEX('C215'!$I:$I,6+(COLUMN()-28)*21)</f>
        <v>4.28%</v>
      </c>
      <c r="AM38" s="81" t="str" cm="1">
        <f t="array" ref="AM38">INDEX('C215'!$I:$I,6+(COLUMN()-28)*21)</f>
        <v>6.55%</v>
      </c>
      <c r="AN38" s="81" t="str" cm="1">
        <f t="array" ref="AN38">INDEX('C215'!$I:$I,6+(COLUMN()-28)*21)</f>
        <v>1.86%</v>
      </c>
      <c r="AO38" s="81" t="str" cm="1">
        <f t="array" ref="AO38">INDEX('C215'!$I:$I,6+(COLUMN()-28)*21)</f>
        <v>2.24%</v>
      </c>
      <c r="AP38" s="81" t="str" cm="1">
        <f t="array" ref="AP38">INDEX('C215'!$I:$I,6+(COLUMN()-28)*21)</f>
        <v>1.53%</v>
      </c>
      <c r="AQ38" s="81" t="str" cm="1">
        <f t="array" ref="AQ38">INDEX('C215'!$I:$I,6+(COLUMN()-28)*21)</f>
        <v>1.48%</v>
      </c>
      <c r="AR38" s="81" t="str" cm="1">
        <f t="array" ref="AR38">INDEX('C215'!$I:$I,6+(COLUMN()-28)*21)</f>
        <v>7.23%</v>
      </c>
      <c r="AS38" s="81" t="str" cm="1">
        <f t="array" ref="AS38">INDEX('C215'!$I:$I,6+(COLUMN()-28)*21)</f>
        <v>0.46%</v>
      </c>
      <c r="AT38" s="81" t="str" cm="1">
        <f t="array" ref="AT38">INDEX('C215'!$I:$I,6+(COLUMN()-28)*21)</f>
        <v>0.86%</v>
      </c>
      <c r="AU38" s="81" t="str" cm="1">
        <f t="array" ref="AU38">INDEX('C215'!$I:$I,6+(COLUMN()-28)*21)</f>
        <v>1.18%</v>
      </c>
      <c r="AV38" s="87" t="str" cm="1">
        <f t="array" ref="AV38">INDEX('C215'!$I:$I,6+(COLUMN()-28)*21)</f>
        <v>3.50%</v>
      </c>
      <c r="AW38" s="81" t="str" cm="1">
        <f t="array" ref="AW38">INDEX('C215'!$I:$I,6+(COLUMN()-28)*21)</f>
        <v>0.97%</v>
      </c>
      <c r="AX38" s="81" t="str" cm="1">
        <f t="array" ref="AX38">INDEX('C215'!$I:$I,6+(COLUMN()-28)*21)</f>
        <v>0.48%</v>
      </c>
      <c r="AY38" s="81" t="str" cm="1">
        <f t="array" ref="AY38">INDEX('C215'!$I:$I,6+(COLUMN()-28)*21)</f>
        <v>1.30%</v>
      </c>
      <c r="AZ38" s="81" t="str" cm="1">
        <f t="array" ref="AZ38">INDEX('C215'!$I:$I,6+(COLUMN()-28)*21)</f>
        <v>0.79%</v>
      </c>
      <c r="BA38" s="81" t="str" cm="1">
        <f t="array" ref="BA38">INDEX('C215'!$I:$I,6+(COLUMN()-28)*21)</f>
        <v>1.11%</v>
      </c>
      <c r="BB38" s="110" cm="1">
        <f t="array" ref="BB38">_xlfn.NUMBERVALUE(INDEX('C215'!$P:$P,6+(COLUMN()-54)*21))</f>
        <v>1.3000000000000001E-2</v>
      </c>
      <c r="BC38" s="110" cm="1">
        <f t="array" ref="BC38">_xlfn.NUMBERVALUE(INDEX('C215'!$P:$P,6+(COLUMN()-54)*21))</f>
        <v>5.6000000000000008E-3</v>
      </c>
      <c r="BD38" s="110" cm="1">
        <f t="array" ref="BD38">_xlfn.NUMBERVALUE(INDEX('C215'!$P:$P,6+(COLUMN()-54)*21))</f>
        <v>6.3E-3</v>
      </c>
      <c r="BE38" s="110" cm="1">
        <f t="array" ref="BE38">_xlfn.NUMBERVALUE(INDEX('C215'!$P:$P,6+(COLUMN()-54)*21))</f>
        <v>2.4900000000000002E-2</v>
      </c>
      <c r="BF38" s="110" cm="1">
        <f t="array" ref="BF38">_xlfn.NUMBERVALUE(INDEX('C215'!$P:$P,6+(COLUMN()-54)*21))</f>
        <v>1.78E-2</v>
      </c>
      <c r="BG38" s="110" cm="1">
        <f t="array" ref="BG38">_xlfn.NUMBERVALUE(INDEX('C215'!$P:$P,6+(COLUMN()-54)*21))</f>
        <v>8.6999999999999994E-3</v>
      </c>
      <c r="BH38" s="110" cm="1">
        <f t="array" ref="BH38">_xlfn.NUMBERVALUE(INDEX('C215'!$P:$P,6+(COLUMN()-54)*21))</f>
        <v>1.1899999999999999E-2</v>
      </c>
      <c r="BI38" s="110" cm="1">
        <f t="array" ref="BI38">_xlfn.NUMBERVALUE(INDEX('C215'!$P:$P,6+(COLUMN()-54)*21))</f>
        <v>1.8600000000000002E-2</v>
      </c>
      <c r="BJ38" s="110" cm="1">
        <f t="array" ref="BJ38">_xlfn.NUMBERVALUE(INDEX('C215'!$P:$P,6+(COLUMN()-54)*21))</f>
        <v>1.7500000000000002E-2</v>
      </c>
      <c r="BK38" s="110" cm="1">
        <f t="array" ref="BK38">_xlfn.NUMBERVALUE(INDEX('C215'!$P:$P,6+(COLUMN()-54)*21))</f>
        <v>1.5800000000000002E-2</v>
      </c>
      <c r="BL38" s="110" cm="1">
        <f t="array" ref="BL38">_xlfn.NUMBERVALUE(INDEX('C215'!$P:$P,6+(COLUMN()-54)*21))</f>
        <v>1.26E-2</v>
      </c>
      <c r="BM38" s="110" cm="1">
        <f t="array" ref="BM38">_xlfn.NUMBERVALUE(INDEX('C215'!$P:$P,6+(COLUMN()-54)*21))</f>
        <v>2.0099999999999996E-2</v>
      </c>
      <c r="BN38" s="110" cm="1">
        <f t="array" ref="BN38">_xlfn.NUMBERVALUE(INDEX('C215'!$P:$P,6+(COLUMN()-54)*21))</f>
        <v>1.9099999999999999E-2</v>
      </c>
      <c r="BO38" s="110" cm="1">
        <f t="array" ref="BO38">_xlfn.NUMBERVALUE(INDEX('C215'!$P:$P,6+(COLUMN()-54)*21))</f>
        <v>1.54E-2</v>
      </c>
      <c r="BP38" s="110" cm="1">
        <f t="array" ref="BP38">_xlfn.NUMBERVALUE(INDEX('C215'!$P:$P,6+(COLUMN()-54)*21))</f>
        <v>1.95E-2</v>
      </c>
      <c r="BQ38" s="110" cm="1">
        <f t="array" ref="BQ38">_xlfn.NUMBERVALUE(INDEX('C215'!$P:$P,6+(COLUMN()-54)*21))</f>
        <v>1.9E-2</v>
      </c>
      <c r="BR38" s="110" cm="1">
        <f t="array" ref="BR38">_xlfn.NUMBERVALUE(INDEX('C215'!$P:$P,6+(COLUMN()-54)*21))</f>
        <v>1.9900000000000001E-2</v>
      </c>
      <c r="BS38" s="110" cm="1">
        <f t="array" ref="BS38">_xlfn.NUMBERVALUE(INDEX('C215'!$P:$P,6+(COLUMN()-54)*21))</f>
        <v>2.35E-2</v>
      </c>
      <c r="BT38" s="110" cm="1">
        <f t="array" ref="BT38">_xlfn.NUMBERVALUE(INDEX('C215'!$P:$P,6+(COLUMN()-54)*21))</f>
        <v>1.7100000000000001E-2</v>
      </c>
      <c r="BU38" s="110" cm="1">
        <f t="array" ref="BU38">_xlfn.NUMBERVALUE(INDEX('C215'!$P:$P,6+(COLUMN()-54)*21))</f>
        <v>1.4199999999999999E-2</v>
      </c>
      <c r="BV38" s="110" cm="1">
        <f t="array" ref="BV38">_xlfn.NUMBERVALUE(INDEX('C215'!$P:$P,6+(COLUMN()-54)*21))</f>
        <v>6.6E-3</v>
      </c>
      <c r="BW38" s="110" cm="1">
        <f t="array" ref="BW38">_xlfn.NUMBERVALUE(INDEX('C215'!$P:$P,6+(COLUMN()-54)*21))</f>
        <v>1.11E-2</v>
      </c>
      <c r="BX38" s="110" cm="1">
        <f t="array" ref="BX38">_xlfn.NUMBERVALUE(INDEX('C215'!$P:$P,6+(COLUMN()-54)*21))</f>
        <v>6.1999999999999998E-3</v>
      </c>
      <c r="BY38" s="110" cm="1">
        <f t="array" ref="BY38">_xlfn.NUMBERVALUE(INDEX('C215'!$P:$P,6+(COLUMN()-54)*21))</f>
        <v>0</v>
      </c>
      <c r="BZ38" s="110" cm="1">
        <f t="array" ref="BZ38">_xlfn.NUMBERVALUE(INDEX('C215'!$P:$P,6+(COLUMN()-54)*21))</f>
        <v>0</v>
      </c>
      <c r="CA38" s="110" cm="1">
        <f t="array" ref="CA38">_xlfn.NUMBERVALUE(INDEX('C215'!$P:$P,6+(COLUMN()-54)*21))</f>
        <v>0</v>
      </c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22"/>
      <c r="DO38" s="93" t="s">
        <v>1418</v>
      </c>
      <c r="DP38" s="96" cm="1">
        <f t="array" ref="DP38">INDEX('C215'!$I:$I,9+4*21)+INDEX('C215'!$I:$I,9+5*21)+INDEX('C215'!$I:$I,9+6*21)+INDEX('C215'!$I:$I,9+7*21)+INDEX('C215'!$I:$I,9+8*21)+INDEX('C215'!$I:$I,9+9*21)</f>
        <v>555</v>
      </c>
      <c r="DQ38" s="74" cm="1">
        <f t="array" ref="DQ38">INDEX('C215'!$I:$I,9+10*21)+INDEX('C215'!$I:$I,9+11*21)+INDEX('C215'!$I:$I,9+12*21)+INDEX('C215'!$I:$I,9+13*21)+INDEX('C215'!$I:$I,9+14*21)+INDEX('C215'!$I:$I,9+15*21)</f>
        <v>726</v>
      </c>
      <c r="DR38" s="74" cm="1">
        <f t="array" ref="DR38">INDEX('C215'!$I:$I,9+16*21)+INDEX('C215'!$I:$I,9+17*21)+INDEX('C215'!$I:$I,9+18*21)+INDEX('C215'!$I:$I,9+19*21)+INDEX('C215'!$I:$I,9+20*21)+INDEX('C215'!$I:$I,9+21*21)</f>
        <v>451</v>
      </c>
      <c r="DS38" s="22"/>
    </row>
    <row r="39" spans="1:123" x14ac:dyDescent="0.3">
      <c r="A39" s="38" t="s">
        <v>17</v>
      </c>
      <c r="B39" s="32">
        <v>1.1000000000000001E-3</v>
      </c>
      <c r="C39" s="32">
        <v>5.0000000000000001E-4</v>
      </c>
      <c r="D39" s="32">
        <v>6.9999999999999999E-4</v>
      </c>
      <c r="E39" s="32">
        <v>1.1999999999999999E-3</v>
      </c>
      <c r="F39" s="32">
        <v>1.6999999999999999E-3</v>
      </c>
      <c r="G39" s="28"/>
      <c r="H39" s="32">
        <v>2.2000000000000001E-3</v>
      </c>
      <c r="I39" s="32">
        <v>1.1999999999999999E-3</v>
      </c>
      <c r="J39" s="32">
        <v>6.3E-3</v>
      </c>
      <c r="K39" s="32">
        <v>4.4999999999999997E-3</v>
      </c>
      <c r="L39" s="32">
        <v>4.8999999999999998E-3</v>
      </c>
      <c r="M39" s="28"/>
      <c r="N39" s="32">
        <v>4.0000000000000001E-3</v>
      </c>
      <c r="O39" s="32">
        <v>6.6E-3</v>
      </c>
      <c r="P39" s="32">
        <v>5.1999999999999998E-3</v>
      </c>
      <c r="Q39" s="32">
        <v>2.0899999999999998E-2</v>
      </c>
      <c r="R39" s="32">
        <v>7.9000000000000008E-3</v>
      </c>
      <c r="S39" s="28"/>
      <c r="T39" s="32">
        <v>2.47E-2</v>
      </c>
      <c r="U39" s="32">
        <v>1.1299999999999999E-2</v>
      </c>
      <c r="V39" s="61">
        <v>5.9000000000000007E-3</v>
      </c>
      <c r="W39" s="61">
        <v>1.2699999999999999E-2</v>
      </c>
      <c r="X39" s="62">
        <v>4.3E-3</v>
      </c>
      <c r="Y39" s="62">
        <v>4.3E-3</v>
      </c>
      <c r="Z39" s="28" t="str">
        <f>'C215'!$B448</f>
        <v>0.00%</v>
      </c>
      <c r="AA39" s="86">
        <f>'C215'!$B469</f>
        <v>3.1999999999999997E-3</v>
      </c>
      <c r="AB39" s="87" cm="1">
        <f t="array" ref="AB39">INDEX('C215'!$I:$I,7+(COLUMN()-28)*21)</f>
        <v>6.1000000000000013E-3</v>
      </c>
      <c r="AC39" s="87" cm="1">
        <f t="array" ref="AC39">INDEX('C215'!$I:$I,7+(COLUMN()-28)*21)</f>
        <v>5.7000000000000002E-3</v>
      </c>
      <c r="AD39" s="87" cm="1">
        <f t="array" ref="AD39">INDEX('C215'!$I:$I,7+(COLUMN()-28)*21)</f>
        <v>6.8999999999999999E-3</v>
      </c>
      <c r="AE39" s="87" cm="1">
        <f t="array" ref="AE39">INDEX('C215'!$I:$I,7+(COLUMN()-28)*21)</f>
        <v>2.5000000000000005E-3</v>
      </c>
      <c r="AF39" s="87" cm="1">
        <f t="array" ref="AF39">INDEX('C215'!$I:$I,7+(COLUMN()-28)*21)</f>
        <v>5.1999999999999998E-3</v>
      </c>
      <c r="AG39" s="87" cm="1">
        <f t="array" ref="AG39">INDEX('C215'!$I:$I,7+(COLUMN()-28)*21)</f>
        <v>1.8999999999999989E-3</v>
      </c>
      <c r="AH39" s="87" cm="1">
        <f t="array" ref="AH39">INDEX('C215'!$I:$I,7+(COLUMN()-28)*21)</f>
        <v>2.5999999999999981E-3</v>
      </c>
      <c r="AI39" s="87" cm="1">
        <f t="array" ref="AI39">INDEX('C215'!$I:$I,7+(COLUMN()-28)*21)</f>
        <v>1.5000000000000013E-3</v>
      </c>
      <c r="AJ39" s="87" cm="1">
        <f t="array" ref="AJ39">INDEX('C215'!$I:$I,7+(COLUMN()-28)*21)</f>
        <v>4.0999999999999995E-3</v>
      </c>
      <c r="AK39" s="87" cm="1">
        <f t="array" ref="AK39">INDEX('C215'!$I:$I,7+(COLUMN()-28)*21)</f>
        <v>1.0300000000000004E-2</v>
      </c>
      <c r="AL39" s="87" cm="1">
        <f t="array" ref="AL39">INDEX('C215'!$I:$I,7+(COLUMN()-28)*21)</f>
        <v>8.6999999999999994E-3</v>
      </c>
      <c r="AM39" s="87" cm="1">
        <f t="array" ref="AM39">INDEX('C215'!$I:$I,7+(COLUMN()-28)*21)</f>
        <v>6.6999999999999976E-3</v>
      </c>
      <c r="AN39" s="87" cm="1">
        <f t="array" ref="AN39">INDEX('C215'!$I:$I,7+(COLUMN()-28)*21)</f>
        <v>4.3000000000000017E-3</v>
      </c>
      <c r="AO39" s="87" cm="1">
        <f t="array" ref="AO39">INDEX('C215'!$I:$I,7+(COLUMN()-28)*21)</f>
        <v>1.0800000000000001E-2</v>
      </c>
      <c r="AP39" s="87" cm="1">
        <f t="array" ref="AP39">INDEX('C215'!$I:$I,7+(COLUMN()-28)*21)</f>
        <v>7.000000000000001E-3</v>
      </c>
      <c r="AQ39" s="87" cm="1">
        <f t="array" ref="AQ39">INDEX('C215'!$I:$I,7+(COLUMN()-28)*21)</f>
        <v>2.8000000000000004E-3</v>
      </c>
      <c r="AR39" s="87" cm="1">
        <f t="array" ref="AR39">INDEX('C215'!$I:$I,7+(COLUMN()-28)*21)</f>
        <v>5.2504038772213249E-3</v>
      </c>
      <c r="AS39" s="87" cm="1">
        <f t="array" ref="AS39">INDEX('C215'!$I:$I,7+(COLUMN()-28)*21)</f>
        <v>3.7929072634174093E-3</v>
      </c>
      <c r="AT39" s="87" cm="1">
        <f t="array" ref="AT39">INDEX('C215'!$I:$I,7+(COLUMN()-28)*21)</f>
        <v>3.4835113794705061E-3</v>
      </c>
      <c r="AU39" s="87" cm="1">
        <f t="array" ref="AU39">INDEX('C215'!$I:$I,7+(COLUMN()-28)*21)</f>
        <v>3.9306358381502888E-3</v>
      </c>
      <c r="AV39" s="87" cm="1">
        <f t="array" ref="AV39">INDEX('C215'!$I:$I,7+(COLUMN()-28)*21)</f>
        <v>3.8235294117647061E-3</v>
      </c>
      <c r="AW39" s="87" cm="1">
        <f t="array" ref="AW39">INDEX('C215'!$I:$I,7+(COLUMN()-28)*21)</f>
        <v>6.8574131000236462E-3</v>
      </c>
      <c r="AX39" s="87" t="str" cm="1">
        <f t="array" ref="AX39">INDEX('C215'!$I:$I,7+(COLUMN()-28)*21)</f>
        <v>0.96%</v>
      </c>
      <c r="AY39" s="87" cm="1">
        <f t="array" ref="AY39">INDEX('C215'!$I:$I,7+(COLUMN()-28)*21)</f>
        <v>6.0475161987041037E-3</v>
      </c>
      <c r="AZ39" s="87" cm="1">
        <f t="array" ref="AZ39">INDEX('C215'!$I:$I,7+(COLUMN()-28)*21)</f>
        <v>1.1018069634200088E-2</v>
      </c>
      <c r="BA39" s="87" cm="1">
        <f t="array" ref="BA39">INDEX('C215'!$I:$I,7+(COLUMN()-28)*21)</f>
        <v>5.1935788479697828E-3</v>
      </c>
      <c r="BB39" s="136" cm="1">
        <f t="array" ref="BB39">_xlfn.NUMBERVALUE(INDEX('C215'!$P:$P,7+(COLUMN()-54)*21))</f>
        <v>3.3624747814391398E-3</v>
      </c>
      <c r="BC39" s="136" cm="1">
        <f t="array" ref="BC39">_xlfn.NUMBERVALUE(INDEX('C215'!$P:$P,7+(COLUMN()-54)*21))</f>
        <v>4.6999999999999993E-3</v>
      </c>
      <c r="BD39" s="136" cm="1">
        <f t="array" ref="BD39">_xlfn.NUMBERVALUE(INDEX('C215'!$P:$P,7+(COLUMN()-54)*21))</f>
        <v>3.2886415380723498E-3</v>
      </c>
      <c r="BE39" s="136" cm="1">
        <f t="array" ref="BE39">_xlfn.NUMBERVALUE(INDEX('C215'!$P:$P,7+(COLUMN()-54)*21))</f>
        <v>4.8490191756667403E-3</v>
      </c>
      <c r="BF39" s="136" cm="1">
        <f t="array" ref="BF39">_xlfn.NUMBERVALUE(INDEX('C215'!$P:$P,7+(COLUMN()-54)*21))</f>
        <v>3.2163742690058499E-3</v>
      </c>
      <c r="BG39" s="136" cm="1">
        <f t="array" ref="BG39">_xlfn.NUMBERVALUE(INDEX('C215'!$P:$P,7+(COLUMN()-54)*21))</f>
        <v>5.4200542005420098E-3</v>
      </c>
      <c r="BH39" s="136" cm="1">
        <f t="array" ref="BH39">_xlfn.NUMBERVALUE(INDEX('C215'!$P:$P,7+(COLUMN()-54)*21))</f>
        <v>4.3114379913771197E-3</v>
      </c>
      <c r="BI39" s="136" cm="1">
        <f t="array" ref="BI39">_xlfn.NUMBERVALUE(INDEX('C215'!$P:$P,7+(COLUMN()-54)*21))</f>
        <v>9.7943192948090089E-4</v>
      </c>
      <c r="BJ39" s="136" cm="1">
        <f t="array" ref="BJ39">_xlfn.NUMBERVALUE(INDEX('C215'!$P:$P,7+(COLUMN()-54)*21))</f>
        <v>4.9176297024833998E-4</v>
      </c>
      <c r="BK39" s="136" cm="1">
        <f t="array" ref="BK39">_xlfn.NUMBERVALUE(INDEX('C215'!$P:$P,7+(COLUMN()-54)*21))</f>
        <v>5.7620282339383504E-4</v>
      </c>
      <c r="BL39" s="136" cm="1">
        <f t="array" ref="BL39">_xlfn.NUMBERVALUE(INDEX('C215'!$P:$P,7+(COLUMN()-54)*21))</f>
        <v>4.4111160123511199E-4</v>
      </c>
      <c r="BM39" s="136" cm="1">
        <f t="array" ref="BM39">_xlfn.NUMBERVALUE(INDEX('C215'!$P:$P,7+(COLUMN()-54)*21))</f>
        <v>6.5459306131355002E-4</v>
      </c>
      <c r="BN39" s="136" cm="1">
        <f t="array" ref="BN39">_xlfn.NUMBERVALUE(INDEX('C215'!$P:$P,7+(COLUMN()-54)*21))</f>
        <v>5.3050397877984102E-4</v>
      </c>
      <c r="BO39" s="136" cm="1">
        <f t="array" ref="BO39">_xlfn.NUMBERVALUE(INDEX('C215'!$P:$P,7+(COLUMN()-54)*21))</f>
        <v>1.70706725844998E-3</v>
      </c>
      <c r="BP39" s="136" cm="1">
        <f t="array" ref="BP39">_xlfn.NUMBERVALUE(INDEX('C215'!$P:$P,7+(COLUMN()-54)*21))</f>
        <v>0.50090000000000001</v>
      </c>
      <c r="BQ39" s="136" cm="1">
        <f t="array" ref="BQ39">_xlfn.NUMBERVALUE(INDEX('C215'!$P:$P,7+(COLUMN()-54)*21))</f>
        <v>0.47170000000000001</v>
      </c>
      <c r="BR39" s="136" cm="1">
        <f t="array" ref="BR39">_xlfn.NUMBERVALUE(INDEX('C215'!$P:$P,7+(COLUMN()-54)*21))</f>
        <v>0.48599999999999999</v>
      </c>
      <c r="BS39" s="136" cm="1">
        <f t="array" ref="BS39">_xlfn.NUMBERVALUE(INDEX('C215'!$P:$P,7+(COLUMN()-54)*21))</f>
        <v>0.48979999999999996</v>
      </c>
      <c r="BT39" s="136" cm="1">
        <f t="array" ref="BT39">_xlfn.NUMBERVALUE(INDEX('C215'!$P:$P,7+(COLUMN()-54)*21))</f>
        <v>0.4879</v>
      </c>
      <c r="BU39" s="136" cm="1">
        <f t="array" ref="BU39">_xlfn.NUMBERVALUE(INDEX('C215'!$P:$P,7+(COLUMN()-54)*21))</f>
        <v>0.47789999999999999</v>
      </c>
      <c r="BV39" s="136" cm="1">
        <f t="array" ref="BV39">_xlfn.NUMBERVALUE(INDEX('C215'!$P:$P,7+(COLUMN()-54)*21))</f>
        <v>6.9000000000000006E-2</v>
      </c>
      <c r="BW39" s="136" cm="1">
        <f t="array" ref="BW39">_xlfn.NUMBERVALUE(INDEX('C215'!$P:$P,7+(COLUMN()-54)*21))</f>
        <v>3.6400000000000002E-2</v>
      </c>
      <c r="BX39" s="136" cm="1">
        <f t="array" ref="BX39">_xlfn.NUMBERVALUE(INDEX('C215'!$P:$P,7+(COLUMN()-54)*21))</f>
        <v>0.47210000000000002</v>
      </c>
      <c r="BY39" s="136" cm="1">
        <f t="array" ref="BY39">_xlfn.NUMBERVALUE(INDEX('C215'!$P:$P,7+(COLUMN()-54)*21))</f>
        <v>0</v>
      </c>
      <c r="BZ39" s="136" cm="1">
        <f t="array" ref="BZ39">_xlfn.NUMBERVALUE(INDEX('C215'!$P:$P,7+(COLUMN()-54)*21))</f>
        <v>0</v>
      </c>
      <c r="CA39" s="136" cm="1">
        <f t="array" ref="CA39">_xlfn.NUMBERVALUE(INDEX('C215'!$P:$P,7+(COLUMN()-54)*21))</f>
        <v>0</v>
      </c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87"/>
      <c r="CV39" s="87"/>
      <c r="CW39" s="87"/>
      <c r="CX39" s="87"/>
      <c r="CY39" s="87"/>
      <c r="CZ39" s="87"/>
      <c r="DA39" s="87"/>
      <c r="DB39" s="87"/>
      <c r="DC39" s="87"/>
      <c r="DD39" s="87"/>
      <c r="DE39" s="87"/>
      <c r="DF39" s="87"/>
      <c r="DG39" s="87"/>
      <c r="DH39" s="87"/>
      <c r="DI39" s="87"/>
      <c r="DJ39" s="87"/>
      <c r="DK39" s="87"/>
      <c r="DL39" s="87"/>
      <c r="DM39" s="87"/>
      <c r="DN39" s="22"/>
      <c r="DO39" s="93" t="s">
        <v>1419</v>
      </c>
      <c r="DP39" s="96" cm="1">
        <f t="array" ref="DP39">INDEX('C215'!$I:$I,15+4*21)+INDEX('C215'!$I:$I,15+5*21)+INDEX('C215'!$I:$I,15+6*21)+INDEX('C215'!$I:$I,15+7*21)+INDEX('C215'!$I:$I,15+8*21)+INDEX('C215'!$I:$I,15+9*21)</f>
        <v>65</v>
      </c>
      <c r="DQ39" s="74" cm="1">
        <f t="array" ref="DQ39">INDEX('C215'!$I:$I,15+10*21)+INDEX('C215'!$I:$I,15+11*21)+INDEX('C215'!$I:$I,15+12*21)+INDEX('C215'!$I:$I,15+13*21)+INDEX('C215'!$I:$I,15+14*21)+INDEX('C215'!$I:$I,15+15*21)</f>
        <v>154</v>
      </c>
      <c r="DR39" s="74" cm="1">
        <f t="array" ref="DR39">INDEX('C215'!$I:$I,15+16*21)+INDEX('C215'!$I:$I,15+17*21)+INDEX('C215'!$I:$I,15+18*21)+INDEX('C215'!$I:$I,15+19*21)+INDEX('C215'!$I:$I,15+20*21)+INDEX('C215'!$I:$I,15+21*21)</f>
        <v>107</v>
      </c>
      <c r="DS39" s="22"/>
    </row>
    <row r="40" spans="1:123" x14ac:dyDescent="0.3">
      <c r="A40" s="38" t="s">
        <v>22</v>
      </c>
      <c r="B40" s="32">
        <v>1.1000000000000001E-3</v>
      </c>
      <c r="C40" s="32">
        <v>8.9999999999999998E-4</v>
      </c>
      <c r="D40" s="32">
        <v>1E-3</v>
      </c>
      <c r="E40" s="32">
        <v>1.1999999999999999E-3</v>
      </c>
      <c r="F40" s="32">
        <v>1.6999999999999999E-3</v>
      </c>
      <c r="G40" s="28"/>
      <c r="H40" s="32">
        <v>2.2000000000000001E-3</v>
      </c>
      <c r="I40" s="32">
        <v>1.1999999999999999E-3</v>
      </c>
      <c r="J40" s="32">
        <v>6.3E-3</v>
      </c>
      <c r="K40" s="32">
        <v>4.4999999999999997E-3</v>
      </c>
      <c r="L40" s="32">
        <v>4.8999999999999998E-3</v>
      </c>
      <c r="M40" s="28"/>
      <c r="N40" s="32">
        <v>4.0000000000000001E-3</v>
      </c>
      <c r="O40" s="32">
        <v>3.3E-3</v>
      </c>
      <c r="P40" s="32">
        <v>4.4999999999999997E-3</v>
      </c>
      <c r="Q40" s="32">
        <v>1.72E-2</v>
      </c>
      <c r="R40" s="32">
        <v>3.5999999999999999E-3</v>
      </c>
      <c r="S40" s="28"/>
      <c r="T40" s="32">
        <v>9.7999999999999997E-3</v>
      </c>
      <c r="U40" s="32">
        <v>4.7999999999999996E-3</v>
      </c>
      <c r="V40" s="61" t="s">
        <v>122</v>
      </c>
      <c r="W40" s="61" t="str">
        <f>'C215'!$B386</f>
        <v>0.17%</v>
      </c>
      <c r="X40" s="61" t="s">
        <v>47</v>
      </c>
      <c r="Y40" s="61" t="s">
        <v>347</v>
      </c>
      <c r="Z40" s="28" t="str">
        <f>'C215'!$B449</f>
        <v>0.00%</v>
      </c>
      <c r="AA40" s="31" t="str">
        <f>'C215'!$B470</f>
        <v>0.16%</v>
      </c>
      <c r="AB40" s="81" t="str" cm="1">
        <f t="array" ref="AB40">INDEX('C215'!$I:$I,8+(COLUMN()-28)*21)</f>
        <v>0.31%</v>
      </c>
      <c r="AC40" s="81" t="str" cm="1">
        <f t="array" ref="AC40">INDEX('C215'!$I:$I,8+(COLUMN()-28)*21)</f>
        <v>0.25%</v>
      </c>
      <c r="AD40" s="81" t="str" cm="1">
        <f t="array" ref="AD40">INDEX('C215'!$I:$I,8+(COLUMN()-28)*21)</f>
        <v>0.23%</v>
      </c>
      <c r="AE40" s="81" t="str" cm="1">
        <f t="array" ref="AE40">INDEX('C215'!$I:$I,8+(COLUMN()-28)*21)</f>
        <v>0.13%</v>
      </c>
      <c r="AF40" s="81" t="str" cm="1">
        <f t="array" ref="AF40">INDEX('C215'!$I:$I,8+(COLUMN()-28)*21)</f>
        <v>0.07%</v>
      </c>
      <c r="AG40" s="81" t="str" cm="1">
        <f t="array" ref="AG40">INDEX('C215'!$I:$I,8+(COLUMN()-28)*21)</f>
        <v>0.10%</v>
      </c>
      <c r="AH40" s="81" t="str" cm="1">
        <f t="array" ref="AH40">INDEX('C215'!$I:$I,8+(COLUMN()-28)*21)</f>
        <v>0.09%</v>
      </c>
      <c r="AI40" s="81" t="str" cm="1">
        <f t="array" ref="AI40">INDEX('C215'!$I:$I,8+(COLUMN()-28)*21)</f>
        <v>0.06%</v>
      </c>
      <c r="AJ40" s="81" t="str" cm="1">
        <f t="array" ref="AJ40">INDEX('C215'!$I:$I,8+(COLUMN()-28)*21)</f>
        <v>0.10%</v>
      </c>
      <c r="AK40" s="81" t="str" cm="1">
        <f t="array" ref="AK40">INDEX('C215'!$I:$I,8+(COLUMN()-28)*21)</f>
        <v>0.40%</v>
      </c>
      <c r="AL40" s="81" t="str" cm="1">
        <f t="array" ref="AL40">INDEX('C215'!$I:$I,8+(COLUMN()-28)*21)</f>
        <v>0.54%</v>
      </c>
      <c r="AM40" s="81" t="str" cm="1">
        <f t="array" ref="AM40">INDEX('C215'!$I:$I,8+(COLUMN()-28)*21)</f>
        <v>0.33%</v>
      </c>
      <c r="AN40" s="81" t="str" cm="1">
        <f t="array" ref="AN40">INDEX('C215'!$I:$I,8+(COLUMN()-28)*21)</f>
        <v>0.24%</v>
      </c>
      <c r="AO40" s="81" t="str" cm="1">
        <f t="array" ref="AO40">INDEX('C215'!$I:$I,8+(COLUMN()-28)*21)</f>
        <v>0.95%</v>
      </c>
      <c r="AP40" s="81" t="str" cm="1">
        <f t="array" ref="AP40">INDEX('C215'!$I:$I,8+(COLUMN()-28)*21)</f>
        <v>0.43%</v>
      </c>
      <c r="AQ40" s="81" t="str" cm="1">
        <f t="array" ref="AQ40">INDEX('C215'!$I:$I,8+(COLUMN()-28)*21)</f>
        <v>0.07%</v>
      </c>
      <c r="AR40" s="81" t="str" cm="1">
        <f t="array" ref="AR40">INDEX('C215'!$I:$I,8+(COLUMN()-28)*21)</f>
        <v>0.28%</v>
      </c>
      <c r="AS40" s="81" t="str" cm="1">
        <f t="array" ref="AS40">INDEX('C215'!$I:$I,8+(COLUMN()-28)*21)</f>
        <v>0.09%</v>
      </c>
      <c r="AT40" s="81" t="str" cm="1">
        <f t="array" ref="AT40">INDEX('C215'!$I:$I,8+(COLUMN()-28)*21)</f>
        <v>0.19%</v>
      </c>
      <c r="AU40" s="81" t="str" cm="1">
        <f t="array" ref="AU40">INDEX('C215'!$I:$I,8+(COLUMN()-28)*21)</f>
        <v>0.28%</v>
      </c>
      <c r="AV40" s="87" t="str" cm="1">
        <f t="array" ref="AV40">INDEX('C215'!$I:$I,8+(COLUMN()-28)*21)</f>
        <v>0.24%</v>
      </c>
      <c r="AW40" s="81" t="str" cm="1">
        <f t="array" ref="AW40">INDEX('C215'!$I:$I,8+(COLUMN()-28)*21)</f>
        <v>0.28%</v>
      </c>
      <c r="AX40" s="81" t="str" cm="1">
        <f t="array" ref="AX40">INDEX('C215'!$I:$I,8+(COLUMN()-28)*21)</f>
        <v>0.36%</v>
      </c>
      <c r="AY40" s="81" t="str" cm="1">
        <f t="array" ref="AY40">INDEX('C215'!$I:$I,8+(COLUMN()-28)*21)</f>
        <v>0.15%</v>
      </c>
      <c r="AZ40" s="81" t="str" cm="1">
        <f t="array" ref="AZ40">INDEX('C215'!$I:$I,8+(COLUMN()-28)*21)</f>
        <v>0.29%</v>
      </c>
      <c r="BA40" s="81" t="str" cm="1">
        <f t="array" ref="BA40">INDEX('C215'!$I:$I,8+(COLUMN()-28)*21)</f>
        <v>0.38%</v>
      </c>
      <c r="BB40" s="110" cm="1">
        <f t="array" ref="BB40">_xlfn.NUMBERVALUE(INDEX('C215'!$P:$P,8+(COLUMN()-54)*21))</f>
        <v>2E-3</v>
      </c>
      <c r="BC40" s="110" cm="1">
        <f t="array" ref="BC40">_xlfn.NUMBERVALUE(INDEX('C215'!$P:$P,8+(COLUMN()-54)*21))</f>
        <v>3.7000000000000002E-3</v>
      </c>
      <c r="BD40" s="110" cm="1">
        <f t="array" ref="BD40">_xlfn.NUMBERVALUE(INDEX('C215'!$P:$P,8+(COLUMN()-54)*21))</f>
        <v>1.2999999999999999E-3</v>
      </c>
      <c r="BE40" s="110" cm="1">
        <f t="array" ref="BE40">_xlfn.NUMBERVALUE(INDEX('C215'!$P:$P,8+(COLUMN()-54)*21))</f>
        <v>1.5E-3</v>
      </c>
      <c r="BF40" s="110" cm="1">
        <f t="array" ref="BF40">_xlfn.NUMBERVALUE(INDEX('C215'!$P:$P,8+(COLUMN()-54)*21))</f>
        <v>2.5999999999999999E-3</v>
      </c>
      <c r="BG40" s="110" cm="1">
        <f t="array" ref="BG40">_xlfn.NUMBERVALUE(INDEX('C215'!$P:$P,8+(COLUMN()-54)*21))</f>
        <v>5.4000000000000003E-3</v>
      </c>
      <c r="BH40" s="110" cm="1">
        <f t="array" ref="BH40">_xlfn.NUMBERVALUE(INDEX('C215'!$P:$P,8+(COLUMN()-54)*21))</f>
        <v>4.5999999999999999E-3</v>
      </c>
      <c r="BI40" s="110" cm="1">
        <f t="array" ref="BI40">_xlfn.NUMBERVALUE(INDEX('C215'!$P:$P,8+(COLUMN()-54)*21))</f>
        <v>1E-3</v>
      </c>
      <c r="BJ40" s="110" cm="1">
        <f t="array" ref="BJ40">_xlfn.NUMBERVALUE(INDEX('C215'!$P:$P,8+(COLUMN()-54)*21))</f>
        <v>5.0000000000000001E-4</v>
      </c>
      <c r="BK40" s="110" cm="1">
        <f t="array" ref="BK40">_xlfn.NUMBERVALUE(INDEX('C215'!$P:$P,8+(COLUMN()-54)*21))</f>
        <v>5.9999999999999995E-4</v>
      </c>
      <c r="BL40" s="110" cm="1">
        <f t="array" ref="BL40">_xlfn.NUMBERVALUE(INDEX('C215'!$P:$P,8+(COLUMN()-54)*21))</f>
        <v>4.0000000000000002E-4</v>
      </c>
      <c r="BM40" s="110" cm="1">
        <f t="array" ref="BM40">_xlfn.NUMBERVALUE(INDEX('C215'!$P:$P,8+(COLUMN()-54)*21))</f>
        <v>7.000000000000001E-4</v>
      </c>
      <c r="BN40" s="110" cm="1">
        <f t="array" ref="BN40">_xlfn.NUMBERVALUE(INDEX('C215'!$P:$P,8+(COLUMN()-54)*21))</f>
        <v>5.0000000000000001E-4</v>
      </c>
      <c r="BO40" s="110" cm="1">
        <f t="array" ref="BO40">_xlfn.NUMBERVALUE(INDEX('C215'!$P:$P,8+(COLUMN()-54)*21))</f>
        <v>1.7000000000000001E-3</v>
      </c>
      <c r="BP40" s="110" cm="1">
        <f t="array" ref="BP40">_xlfn.NUMBERVALUE(INDEX('C215'!$P:$P,8+(COLUMN()-54)*21))</f>
        <v>1.1999999999999999E-3</v>
      </c>
      <c r="BQ40" s="110" cm="1">
        <f t="array" ref="BQ40">_xlfn.NUMBERVALUE(INDEX('C215'!$P:$P,8+(COLUMN()-54)*21))</f>
        <v>2E-3</v>
      </c>
      <c r="BR40" s="110" cm="1">
        <f t="array" ref="BR40">_xlfn.NUMBERVALUE(INDEX('C215'!$P:$P,8+(COLUMN()-54)*21))</f>
        <v>3.0999999999999999E-3</v>
      </c>
      <c r="BS40" s="110" cm="1">
        <f t="array" ref="BS40">_xlfn.NUMBERVALUE(INDEX('C215'!$P:$P,8+(COLUMN()-54)*21))</f>
        <v>7.000000000000001E-4</v>
      </c>
      <c r="BT40" s="110" cm="1">
        <f t="array" ref="BT40">_xlfn.NUMBERVALUE(INDEX('C215'!$P:$P,8+(COLUMN()-54)*21))</f>
        <v>1.2999999999999999E-3</v>
      </c>
      <c r="BU40" s="110" cm="1">
        <f t="array" ref="BU40">_xlfn.NUMBERVALUE(INDEX('C215'!$P:$P,8+(COLUMN()-54)*21))</f>
        <v>1E-3</v>
      </c>
      <c r="BV40" s="110" cm="1">
        <f t="array" ref="BV40">_xlfn.NUMBERVALUE(INDEX('C215'!$P:$P,8+(COLUMN()-54)*21))</f>
        <v>0</v>
      </c>
      <c r="BW40" s="110" cm="1">
        <f t="array" ref="BW40">_xlfn.NUMBERVALUE(INDEX('C215'!$P:$P,8+(COLUMN()-54)*21))</f>
        <v>3.9000000000000003E-3</v>
      </c>
      <c r="BX40" s="110" cm="1">
        <f t="array" ref="BX40">_xlfn.NUMBERVALUE(INDEX('C215'!$P:$P,8+(COLUMN()-54)*21))</f>
        <v>1.7000000000000001E-3</v>
      </c>
      <c r="BY40" s="110" cm="1">
        <f t="array" ref="BY40">_xlfn.NUMBERVALUE(INDEX('C215'!$P:$P,8+(COLUMN()-54)*21))</f>
        <v>0</v>
      </c>
      <c r="BZ40" s="110" cm="1">
        <f t="array" ref="BZ40">_xlfn.NUMBERVALUE(INDEX('C215'!$P:$P,8+(COLUMN()-54)*21))</f>
        <v>0</v>
      </c>
      <c r="CA40" s="110" cm="1">
        <f t="array" ref="CA40">_xlfn.NUMBERVALUE(INDEX('C215'!$P:$P,8+(COLUMN()-54)*21))</f>
        <v>0</v>
      </c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22"/>
      <c r="DO40" s="93" t="s">
        <v>1420</v>
      </c>
      <c r="DP40" s="96" cm="1">
        <f t="array" ref="DP40">INDEX('C215'!$I:$I,18+4*21)+INDEX('C215'!$I:$I,18+5*21)+INDEX('C215'!$I:$I,18+6*21)+INDEX('C215'!$I:$I,18+7*21)+INDEX('C215'!$I:$I,18+8*21)+INDEX('C215'!$I:$I,18+9*21)</f>
        <v>22</v>
      </c>
      <c r="DQ40" s="74" cm="1">
        <f t="array" ref="DQ40">INDEX('C215'!$I:$I,18+10*21)+INDEX('C215'!$I:$I,18+11*21)+INDEX('C215'!$I:$I,18+12*21)+INDEX('C215'!$I:$I,18+13*21)+INDEX('C215'!$I:$I,18+14*21)+INDEX('C215'!$I:$I,18+15*21)</f>
        <v>106</v>
      </c>
      <c r="DR40" s="74" cm="1">
        <f t="array" ref="DR40">INDEX('C215'!$I:$I,18+16*21)+INDEX('C215'!$I:$I,18+17*21)+INDEX('C215'!$I:$I,18+18*21)+INDEX('C215'!$I:$I,18+19*21)+INDEX('C215'!$I:$I,18+20*21)+INDEX('C215'!$I:$I,18+21*21)</f>
        <v>52</v>
      </c>
      <c r="DS40" s="22"/>
    </row>
    <row r="41" spans="1:123" x14ac:dyDescent="0.3">
      <c r="A41" s="42" t="s">
        <v>929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82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22"/>
      <c r="DO41" s="93" t="s">
        <v>1415</v>
      </c>
      <c r="DP41" s="23"/>
      <c r="DQ41" s="92"/>
      <c r="DR41" s="92"/>
      <c r="DS41" s="22"/>
    </row>
    <row r="42" spans="1:123" ht="15.6" thickBot="1" x14ac:dyDescent="0.35">
      <c r="A42" s="39" t="s">
        <v>881</v>
      </c>
      <c r="B42" s="29">
        <f>COUNTIFS('C215'!$C$3:$F$3,"=0")</f>
        <v>0</v>
      </c>
      <c r="C42" s="29">
        <f>COUNTIFS('C215'!$C$24:$F$24,"=0")</f>
        <v>0</v>
      </c>
      <c r="D42" s="29">
        <f>COUNTIFS('C215'!$C$45:$F$45,"=0")</f>
        <v>0</v>
      </c>
      <c r="E42" s="29">
        <f>COUNTIFS('C215'!$C$66:$F$66,"=0")</f>
        <v>0</v>
      </c>
      <c r="F42" s="29">
        <f>COUNTIFS('C215'!$C$87:$F$87,"=0")</f>
        <v>0</v>
      </c>
      <c r="G42" s="29"/>
      <c r="H42" s="29">
        <f>COUNTIFS('C215'!$C$108:$F$108,"=0")</f>
        <v>0</v>
      </c>
      <c r="I42" s="29">
        <f>COUNTIFS('C215'!$C$129:$F$129,"=0")</f>
        <v>0</v>
      </c>
      <c r="J42" s="29">
        <f>COUNTIFS('C215'!$C$150:$F$150,"=0")</f>
        <v>0</v>
      </c>
      <c r="K42" s="29">
        <f>COUNTIFS('C215'!$C$171:$F$171,"=0")</f>
        <v>0</v>
      </c>
      <c r="L42" s="29">
        <f>COUNTIFS('C215'!$C$192:$F$192,"=0")</f>
        <v>0</v>
      </c>
      <c r="M42" s="29"/>
      <c r="N42" s="29">
        <f>COUNTIFS('C215'!$C$213:$F$213,"=0")</f>
        <v>0</v>
      </c>
      <c r="O42" s="29">
        <f>COUNTIFS('C215'!$C$234:$F$234,"=0")</f>
        <v>0</v>
      </c>
      <c r="P42" s="29">
        <f>COUNTIFS('C215'!$C$255:$F$255,"=0")</f>
        <v>2</v>
      </c>
      <c r="Q42" s="29">
        <f>COUNTIFS('C215'!$C$276:$F$276,"=0")</f>
        <v>2</v>
      </c>
      <c r="R42" s="29">
        <f>COUNTIFS('C215'!$C$297:$F$297,"=0")</f>
        <v>2</v>
      </c>
      <c r="S42" s="29"/>
      <c r="T42" s="29">
        <f>COUNTIFS('C215'!$C$318:$F$318,"=0")</f>
        <v>2</v>
      </c>
      <c r="U42" s="29">
        <f>COUNTIFS('C215'!$C$339:$F$339,"=0")</f>
        <v>2</v>
      </c>
      <c r="V42" s="29">
        <f>COUNTIFS('C215'!$C$360:$F$360,"=0")</f>
        <v>0</v>
      </c>
      <c r="W42" s="29">
        <f>COUNTIFS('C215'!$C$381:$F$381,"=0")</f>
        <v>0</v>
      </c>
      <c r="X42" s="29">
        <f>COUNTIFS('C215'!$C$402:$F$402,"=0")</f>
        <v>0</v>
      </c>
      <c r="Y42" s="29">
        <f>COUNTIFS('C215'!$C$423:$F$423,"=0")</f>
        <v>0</v>
      </c>
      <c r="Z42" s="29">
        <f>COUNTIFS('C215'!$C$444:$F$444,"=0")</f>
        <v>0</v>
      </c>
      <c r="AA42" s="30">
        <f>COUNTIFS('C215'!$C$465:$F$465,"=0")</f>
        <v>0</v>
      </c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3"/>
      <c r="CF42" s="83"/>
      <c r="CG42" s="83"/>
      <c r="CH42" s="83"/>
      <c r="CI42" s="83"/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83"/>
      <c r="DN42" s="22"/>
      <c r="DO42" s="22"/>
      <c r="DP42" s="22"/>
      <c r="DQ42" s="22"/>
      <c r="DR42" s="22"/>
      <c r="DS42" s="22"/>
    </row>
    <row r="43" spans="1:123" x14ac:dyDescent="0.3">
      <c r="A43" s="36" t="s">
        <v>879</v>
      </c>
      <c r="B43" s="24">
        <v>46083</v>
      </c>
      <c r="C43" s="24">
        <v>46084</v>
      </c>
      <c r="D43" s="53">
        <v>46085</v>
      </c>
      <c r="E43" s="24">
        <v>46086</v>
      </c>
      <c r="F43" s="24">
        <v>46087</v>
      </c>
      <c r="G43" s="24">
        <v>46088</v>
      </c>
      <c r="H43" s="53">
        <v>46090</v>
      </c>
      <c r="I43" s="24">
        <v>46091</v>
      </c>
      <c r="J43" s="53">
        <v>46092</v>
      </c>
      <c r="K43" s="24">
        <v>46093</v>
      </c>
      <c r="L43" s="24">
        <v>46094</v>
      </c>
      <c r="M43" s="24">
        <v>46095</v>
      </c>
      <c r="N43" s="24">
        <v>46097</v>
      </c>
      <c r="O43" s="53">
        <v>46098</v>
      </c>
      <c r="P43" s="24">
        <v>46099</v>
      </c>
      <c r="Q43" s="24">
        <v>46100</v>
      </c>
      <c r="R43" s="53">
        <v>46101</v>
      </c>
      <c r="S43" s="52">
        <v>46102</v>
      </c>
      <c r="T43" s="24">
        <v>46104</v>
      </c>
      <c r="U43" s="53">
        <v>46105</v>
      </c>
      <c r="V43" s="54">
        <v>46106</v>
      </c>
      <c r="W43" s="24">
        <v>46107</v>
      </c>
      <c r="X43" s="54">
        <v>46108</v>
      </c>
      <c r="Y43" s="24">
        <v>46109</v>
      </c>
      <c r="Z43" s="24">
        <v>46111</v>
      </c>
      <c r="AA43" s="25">
        <v>46112</v>
      </c>
      <c r="AB43" s="80">
        <v>46113</v>
      </c>
      <c r="AC43" s="90">
        <v>46114</v>
      </c>
      <c r="AD43" s="90">
        <v>46115</v>
      </c>
      <c r="AE43" s="90">
        <v>46116</v>
      </c>
      <c r="AF43" s="90">
        <v>46118</v>
      </c>
      <c r="AG43" s="90">
        <v>46119</v>
      </c>
      <c r="AH43" s="90">
        <v>46120</v>
      </c>
      <c r="AI43" s="90">
        <v>46121</v>
      </c>
      <c r="AJ43" s="90">
        <v>46122</v>
      </c>
      <c r="AK43" s="80">
        <v>46123</v>
      </c>
      <c r="AL43" s="80">
        <v>46125</v>
      </c>
      <c r="AM43" s="80">
        <v>46126</v>
      </c>
      <c r="AN43" s="90">
        <v>46127</v>
      </c>
      <c r="AO43" s="80">
        <v>46128</v>
      </c>
      <c r="AP43" s="90">
        <v>46129</v>
      </c>
      <c r="AQ43" s="80">
        <v>46130</v>
      </c>
      <c r="AR43" s="90">
        <v>46132</v>
      </c>
      <c r="AS43" s="80">
        <v>46133</v>
      </c>
      <c r="AT43" s="90">
        <v>46134</v>
      </c>
      <c r="AU43" s="90">
        <v>46135</v>
      </c>
      <c r="AV43" s="80">
        <v>46136</v>
      </c>
      <c r="AW43" s="90">
        <v>46137</v>
      </c>
      <c r="AX43" s="90">
        <v>46139</v>
      </c>
      <c r="AY43" s="90">
        <v>46140</v>
      </c>
      <c r="AZ43" s="80">
        <v>46141</v>
      </c>
      <c r="BA43" s="80">
        <v>46142</v>
      </c>
      <c r="BB43" s="80">
        <v>46143</v>
      </c>
      <c r="BC43" s="80">
        <v>46146</v>
      </c>
      <c r="BD43" s="80">
        <v>46147</v>
      </c>
      <c r="BE43" s="80">
        <v>46148</v>
      </c>
      <c r="BF43" s="80">
        <v>46149</v>
      </c>
      <c r="BG43" s="137">
        <v>46150</v>
      </c>
      <c r="BH43" s="80">
        <v>46151</v>
      </c>
      <c r="BI43" s="80">
        <v>46153</v>
      </c>
      <c r="BJ43" s="80">
        <v>46154</v>
      </c>
      <c r="BK43" s="80">
        <v>46155</v>
      </c>
      <c r="BL43" s="80">
        <v>46156</v>
      </c>
      <c r="BM43" s="80">
        <v>46157</v>
      </c>
      <c r="BN43" s="80">
        <v>46158</v>
      </c>
      <c r="BO43" s="80">
        <v>46160</v>
      </c>
      <c r="BP43" s="80">
        <v>46161</v>
      </c>
      <c r="BQ43" s="80">
        <v>46162</v>
      </c>
      <c r="BR43" s="80">
        <v>46163</v>
      </c>
      <c r="BS43" s="80">
        <v>46164</v>
      </c>
      <c r="BT43" s="80">
        <v>46165</v>
      </c>
      <c r="BU43" s="80">
        <v>46167</v>
      </c>
      <c r="BV43" s="80">
        <v>46168</v>
      </c>
      <c r="BW43" s="80">
        <v>46169</v>
      </c>
      <c r="BX43" s="80">
        <v>46170</v>
      </c>
      <c r="BY43" s="80">
        <v>46171</v>
      </c>
      <c r="BZ43" s="80">
        <v>46172</v>
      </c>
      <c r="CA43" s="80">
        <v>46173</v>
      </c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22"/>
      <c r="DO43" s="93" t="s">
        <v>1422</v>
      </c>
      <c r="DP43" s="94" t="s">
        <v>1416</v>
      </c>
      <c r="DQ43" s="94" t="s">
        <v>1417</v>
      </c>
      <c r="DR43" s="94" t="s">
        <v>1672</v>
      </c>
      <c r="DS43" s="22"/>
    </row>
    <row r="44" spans="1:123" x14ac:dyDescent="0.3">
      <c r="A44" s="38" t="s">
        <v>873</v>
      </c>
      <c r="B44" s="32">
        <v>5.3400000000000003E-2</v>
      </c>
      <c r="C44" s="32">
        <v>7.51E-2</v>
      </c>
      <c r="D44" s="32">
        <v>7.5700000000000003E-2</v>
      </c>
      <c r="E44" s="32">
        <v>8.5099999999999995E-2</v>
      </c>
      <c r="F44" s="32">
        <v>8.2299999999999998E-2</v>
      </c>
      <c r="G44" s="32">
        <v>7.1300000000000002E-2</v>
      </c>
      <c r="H44" s="32">
        <v>8.0100000000000005E-2</v>
      </c>
      <c r="I44" s="32">
        <v>6.3899999999999998E-2</v>
      </c>
      <c r="J44" s="32">
        <v>0.16550000000000001</v>
      </c>
      <c r="K44" s="32">
        <v>4.2799999999999998E-2</v>
      </c>
      <c r="L44" s="32">
        <v>4.8800000000000003E-2</v>
      </c>
      <c r="M44" s="32">
        <v>3.0800000000000001E-2</v>
      </c>
      <c r="N44" s="32">
        <v>4.82E-2</v>
      </c>
      <c r="O44" s="32">
        <v>0.16320000000000001</v>
      </c>
      <c r="P44" s="32">
        <v>0.13519999999999999</v>
      </c>
      <c r="Q44" s="32">
        <v>0.14610000000000001</v>
      </c>
      <c r="R44" s="32">
        <v>0.14760000000000001</v>
      </c>
      <c r="S44" s="32">
        <v>4.5900000000000003E-2</v>
      </c>
      <c r="T44" s="32">
        <v>8.8999999999999996E-2</v>
      </c>
      <c r="U44" s="32">
        <v>9.8100000000000007E-2</v>
      </c>
      <c r="V44" s="61" t="s">
        <v>453</v>
      </c>
      <c r="W44" s="61" t="str">
        <f>'C216'!$B446</f>
        <v>2.82%</v>
      </c>
      <c r="X44" s="61" t="s">
        <v>92</v>
      </c>
      <c r="Y44" s="61" t="s">
        <v>1088</v>
      </c>
      <c r="Z44" s="28" t="str">
        <f>'C216'!$B509</f>
        <v>16.01%</v>
      </c>
      <c r="AA44" s="31" t="str">
        <f>'C216'!$B530</f>
        <v>15.22%</v>
      </c>
      <c r="AB44" s="81" t="str" cm="1">
        <f t="array" ref="AB44">INDEX('C216'!$I:$I,5+(COLUMN()-28)*21)</f>
        <v>9.67%</v>
      </c>
      <c r="AC44" s="81" t="str" cm="1">
        <f t="array" ref="AC44">INDEX('C216'!$I:$I,5+(COLUMN()-28)*21)</f>
        <v>12.03%</v>
      </c>
      <c r="AD44" s="81" t="str" cm="1">
        <f t="array" ref="AD44">INDEX('C216'!$I:$I,5+(COLUMN()-28)*21)</f>
        <v>15.58%</v>
      </c>
      <c r="AE44" s="81" t="str" cm="1">
        <f t="array" ref="AE44">INDEX('C216'!$I:$I,5+(COLUMN()-28)*21)</f>
        <v>9.80%</v>
      </c>
      <c r="AF44" s="81" t="str" cm="1">
        <f t="array" ref="AF44">INDEX('C216'!$I:$I,5+(COLUMN()-28)*21)</f>
        <v>10.64%</v>
      </c>
      <c r="AG44" s="81" t="str" cm="1">
        <f t="array" ref="AG44">INDEX('C216'!$I:$I,5+(COLUMN()-28)*21)</f>
        <v>9.92%</v>
      </c>
      <c r="AH44" s="81" t="str" cm="1">
        <f t="array" ref="AH44">INDEX('C216'!$I:$I,5+(COLUMN()-28)*21)</f>
        <v>13.04%</v>
      </c>
      <c r="AI44" s="81" t="str" cm="1">
        <f t="array" ref="AI44">INDEX('C216'!$I:$I,5+(COLUMN()-28)*21)</f>
        <v>10.58%</v>
      </c>
      <c r="AJ44" s="81" t="str" cm="1">
        <f t="array" ref="AJ44">INDEX('C216'!$I:$I,5+(COLUMN()-28)*21)</f>
        <v>4.51%</v>
      </c>
      <c r="AK44" s="81" t="str" cm="1">
        <f t="array" ref="AK44">INDEX('C216'!$I:$I,5+(COLUMN()-28)*21)</f>
        <v>2.37%</v>
      </c>
      <c r="AL44" s="81" t="str" cm="1">
        <f t="array" ref="AL44">INDEX('C216'!$I:$I,5+(COLUMN()-28)*21)</f>
        <v>3.58%</v>
      </c>
      <c r="AM44" s="81" t="str" cm="1">
        <f t="array" ref="AM44">INDEX('C216'!$I:$I,5+(COLUMN()-28)*21)</f>
        <v>5.22%</v>
      </c>
      <c r="AN44" s="81" t="str" cm="1">
        <f t="array" ref="AN44">INDEX('C216'!$I:$I,5+(COLUMN()-28)*21)</f>
        <v>8.11%</v>
      </c>
      <c r="AO44" s="81" t="str" cm="1">
        <f t="array" ref="AO44">INDEX('C216'!$I:$I,5+(COLUMN()-28)*21)</f>
        <v>6.87%</v>
      </c>
      <c r="AP44" s="81" t="str" cm="1">
        <f t="array" ref="AP44">INDEX('C216'!$I:$I,5+(COLUMN()-28)*21)</f>
        <v>6.34%</v>
      </c>
      <c r="AQ44" s="81" t="str" cm="1">
        <f t="array" ref="AQ44">INDEX('C216'!$I:$I,5+(COLUMN()-28)*21)</f>
        <v>3.23%</v>
      </c>
      <c r="AR44" s="81" t="str" cm="1">
        <f t="array" ref="AR44">INDEX('C216'!$I:$I,5+(COLUMN()-28)*21)</f>
        <v>12.13%</v>
      </c>
      <c r="AS44" s="81" t="str" cm="1">
        <f t="array" ref="AS44">INDEX('C216'!$I:$I,5+(COLUMN()-28)*21)</f>
        <v>8.21%</v>
      </c>
      <c r="AT44" s="81" t="str" cm="1">
        <f t="array" ref="AT44">INDEX('C216'!$I:$I,5+(COLUMN()-28)*21)</f>
        <v>6.77%</v>
      </c>
      <c r="AU44" s="81" t="str" cm="1">
        <f t="array" ref="AU44">INDEX('C216'!$I:$I,5+(COLUMN()-28)*21)</f>
        <v>4.26%</v>
      </c>
      <c r="AV44" s="87" t="str" cm="1">
        <f t="array" ref="AV44">INDEX('C216'!$I:$I,5+(COLUMN()-28)*21)</f>
        <v>7.98%</v>
      </c>
      <c r="AW44" s="81" t="str" cm="1">
        <f t="array" ref="AW44">INDEX('C216'!$I:$I,5+(COLUMN()-28)*21)</f>
        <v>13.57%</v>
      </c>
      <c r="AX44" s="81" t="str" cm="1">
        <f t="array" ref="AX44">INDEX('C216'!$I:$I,5+(COLUMN()-28)*21)</f>
        <v>7.31%</v>
      </c>
      <c r="AY44" s="87" cm="1">
        <f t="array" ref="AY44">INDEX('C216'!$I:$I,5+(COLUMN()-28)*21)</f>
        <v>0.14578154700979676</v>
      </c>
      <c r="AZ44" s="81" t="str" cm="1">
        <f t="array" ref="AZ44">INDEX('C216'!$I:$I,5+(COLUMN()-28)*21)</f>
        <v>13.98%</v>
      </c>
      <c r="BA44" s="81" t="str" cm="1">
        <f t="array" ref="BA44">INDEX('C216'!$I:$I,5+(COLUMN()-28)*21)</f>
        <v>16.94%</v>
      </c>
      <c r="BB44" s="110" cm="1">
        <f t="array" ref="BB44">_xlfn.NUMBERVALUE(INDEX('C216'!$P:$P,5+(COLUMN()-54)*21))</f>
        <v>0.1439</v>
      </c>
      <c r="BC44" s="110" cm="1">
        <f t="array" ref="BC44">_xlfn.NUMBERVALUE(INDEX('C216'!$P:$P,5+(COLUMN()-54)*21))</f>
        <v>2.3799999999999998E-2</v>
      </c>
      <c r="BD44" s="110" cm="1">
        <f t="array" ref="BD44">_xlfn.NUMBERVALUE(INDEX('C216'!$P:$P,5+(COLUMN()-54)*21))</f>
        <v>5.0300000000000004E-2</v>
      </c>
      <c r="BE44" s="110" cm="1">
        <f t="array" ref="BE44">_xlfn.NUMBERVALUE(INDEX('C216'!$P:$P,5+(COLUMN()-54)*21))</f>
        <v>0.11310000000000001</v>
      </c>
      <c r="BF44" s="110" cm="1">
        <f t="array" ref="BF44">_xlfn.NUMBERVALUE(INDEX('C216'!$P:$P,5+(COLUMN()-54)*21))</f>
        <v>9.9700000000000011E-2</v>
      </c>
      <c r="BG44" s="110" cm="1">
        <f t="array" ref="BG44">_xlfn.NUMBERVALUE(INDEX('C216'!$P:$P,5+(COLUMN()-54)*21))</f>
        <v>7.5899999999999995E-2</v>
      </c>
      <c r="BH44" s="110" cm="1">
        <f t="array" ref="BH44">_xlfn.NUMBERVALUE(INDEX('C216'!$P:$P,5+(COLUMN()-54)*21))</f>
        <v>0.1042</v>
      </c>
      <c r="BI44" s="110" cm="1">
        <f t="array" ref="BI44">_xlfn.NUMBERVALUE(INDEX('C216'!$P:$P,5+(COLUMN()-54)*21))</f>
        <v>0.124</v>
      </c>
      <c r="BJ44" s="110" cm="1">
        <f t="array" ref="BJ44">_xlfn.NUMBERVALUE(INDEX('C216'!$P:$P,5+(COLUMN()-54)*21))</f>
        <v>0.1065</v>
      </c>
      <c r="BK44" s="110" cm="1">
        <f t="array" ref="BK44">_xlfn.NUMBERVALUE(INDEX('C216'!$P:$P,5+(COLUMN()-54)*21))</f>
        <v>6.08E-2</v>
      </c>
      <c r="BL44" s="110" cm="1">
        <f t="array" ref="BL44">_xlfn.NUMBERVALUE(INDEX('C216'!$P:$P,5+(COLUMN()-54)*21))</f>
        <v>2.4199999999999999E-2</v>
      </c>
      <c r="BM44" s="110" cm="1">
        <f t="array" ref="BM44">_xlfn.NUMBERVALUE(INDEX('C216'!$P:$P,5+(COLUMN()-54)*21))</f>
        <v>6.25E-2</v>
      </c>
      <c r="BN44" s="110" cm="1">
        <f t="array" ref="BN44">_xlfn.NUMBERVALUE(INDEX('C216'!$P:$P,5+(COLUMN()-54)*21))</f>
        <v>0.1492</v>
      </c>
      <c r="BO44" s="110" cm="1">
        <f t="array" ref="BO44">_xlfn.NUMBERVALUE(INDEX('C216'!$P:$P,5+(COLUMN()-54)*21))</f>
        <v>0.2218</v>
      </c>
      <c r="BP44" s="110" cm="1">
        <f t="array" ref="BP44">_xlfn.NUMBERVALUE(INDEX('C216'!$P:$P,5+(COLUMN()-54)*21))</f>
        <v>0.19339999999999999</v>
      </c>
      <c r="BQ44" s="110" cm="1">
        <f t="array" ref="BQ44">_xlfn.NUMBERVALUE(INDEX('C216'!$P:$P,5+(COLUMN()-54)*21))</f>
        <v>0.18530000000000002</v>
      </c>
      <c r="BR44" s="110" cm="1">
        <f t="array" ref="BR44">_xlfn.NUMBERVALUE(INDEX('C216'!$P:$P,5+(COLUMN()-54)*21))</f>
        <v>0.12509999999999999</v>
      </c>
      <c r="BS44" s="110" cm="1">
        <f t="array" ref="BS44">_xlfn.NUMBERVALUE(INDEX('C216'!$P:$P,5+(COLUMN()-54)*21))</f>
        <v>0.1414</v>
      </c>
      <c r="BT44" s="110" cm="1">
        <f t="array" ref="BT44">_xlfn.NUMBERVALUE(INDEX('C216'!$P:$P,5+(COLUMN()-54)*21))</f>
        <v>0.1313</v>
      </c>
      <c r="BU44" s="110" cm="1">
        <f t="array" ref="BU44">_xlfn.NUMBERVALUE(INDEX('C216'!$P:$P,5+(COLUMN()-54)*21))</f>
        <v>0.1202</v>
      </c>
      <c r="BV44" s="110" cm="1">
        <f t="array" ref="BV44">_xlfn.NUMBERVALUE(INDEX('C216'!$P:$P,5+(COLUMN()-54)*21))</f>
        <v>7.8899999999999998E-2</v>
      </c>
      <c r="BW44" s="110" cm="1">
        <f t="array" ref="BW44">_xlfn.NUMBERVALUE(INDEX('C216'!$P:$P,5+(COLUMN()-54)*21))</f>
        <v>0.16350000000000001</v>
      </c>
      <c r="BX44" s="110" cm="1">
        <f t="array" ref="BX44">_xlfn.NUMBERVALUE(INDEX('C216'!$P:$P,5+(COLUMN()-54)*21))</f>
        <v>6.7299999999999999E-2</v>
      </c>
      <c r="BY44" s="110" cm="1">
        <f t="array" ref="BY44">_xlfn.NUMBERVALUE(INDEX('C216'!$P:$P,5+(COLUMN()-54)*21))</f>
        <v>0</v>
      </c>
      <c r="BZ44" s="110" cm="1">
        <f t="array" ref="BZ44">_xlfn.NUMBERVALUE(INDEX('C216'!$P:$P,5+(COLUMN()-54)*21))</f>
        <v>0</v>
      </c>
      <c r="CA44" s="110" cm="1">
        <f t="array" ref="CA44">_xlfn.NUMBERVALUE(INDEX('C216'!$P:$P,5+(COLUMN()-54)*21))</f>
        <v>0</v>
      </c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22"/>
      <c r="DO44" s="93" t="s">
        <v>1414</v>
      </c>
      <c r="DP44" s="95" cm="1">
        <f t="array" ref="DP44">INDEX('C216'!$I:$I,3+4*21)+INDEX('C216'!$I:$I,3+5*21)+INDEX('C216'!$I:$I,3+6*21)+INDEX('C216'!$I:$I,3+7*21)+INDEX('C216'!$I:$I,3+8*21)+INDEX('C216'!$I:$I,3+9*21)</f>
        <v>30635</v>
      </c>
      <c r="DQ44" s="101" cm="1">
        <f t="array" ref="DQ44">INDEX('C216'!$I:$I,3+10*21)+INDEX('C216'!$I:$I,3+11*21)+INDEX('C216'!$I:$I,3+12*21)+INDEX('C216'!$I:$I,3+13*21)+INDEX('C216'!$I:$I,3+14*21)+INDEX('C216'!$I:$I,3+15*21)</f>
        <v>35798</v>
      </c>
      <c r="DR44" s="101" cm="1">
        <f t="array" ref="DR44">INDEX('C216'!$I:$I,3+16*21)+INDEX('C216'!$I:$I,3+17*21)+INDEX('C216'!$I:$I,3+18*21)+INDEX('C216'!$I:$I,3+19*21)+INDEX('C216'!$I:$I,3+20*21)+INDEX('C216'!$I:$I,3+21*21)</f>
        <v>39000</v>
      </c>
      <c r="DS44" s="22"/>
    </row>
    <row r="45" spans="1:123" x14ac:dyDescent="0.3">
      <c r="A45" s="38" t="s">
        <v>12</v>
      </c>
      <c r="B45" s="32">
        <v>4.9299999999999997E-2</v>
      </c>
      <c r="C45" s="32">
        <v>7.2499999999999995E-2</v>
      </c>
      <c r="D45" s="32">
        <v>5.6099999999999997E-2</v>
      </c>
      <c r="E45" s="32">
        <v>5.5199999999999999E-2</v>
      </c>
      <c r="F45" s="32">
        <v>6.6699999999999995E-2</v>
      </c>
      <c r="G45" s="32">
        <v>6.7799999999999999E-2</v>
      </c>
      <c r="H45" s="32">
        <v>6.9199999999999998E-2</v>
      </c>
      <c r="I45" s="32">
        <v>5.0799999999999998E-2</v>
      </c>
      <c r="J45" s="32">
        <v>2.7199999999999998E-2</v>
      </c>
      <c r="K45" s="32">
        <v>3.6299999999999999E-2</v>
      </c>
      <c r="L45" s="32">
        <v>3.5099999999999999E-2</v>
      </c>
      <c r="M45" s="32">
        <v>2.46E-2</v>
      </c>
      <c r="N45" s="32">
        <v>2.1999999999999999E-2</v>
      </c>
      <c r="O45" s="32">
        <v>4.3999999999999997E-2</v>
      </c>
      <c r="P45" s="32">
        <v>3.6499999999999998E-2</v>
      </c>
      <c r="Q45" s="32">
        <v>4.53E-2</v>
      </c>
      <c r="R45" s="32">
        <v>7.0800000000000002E-2</v>
      </c>
      <c r="S45" s="32">
        <v>4.19E-2</v>
      </c>
      <c r="T45" s="32">
        <v>4.8399999999999999E-2</v>
      </c>
      <c r="U45" s="32">
        <v>2.5499999999999998E-2</v>
      </c>
      <c r="V45" s="61" t="s">
        <v>453</v>
      </c>
      <c r="W45" s="61" t="str">
        <f>'C216'!$B447</f>
        <v>2.80%</v>
      </c>
      <c r="X45" s="61" t="s">
        <v>882</v>
      </c>
      <c r="Y45" s="61" t="s">
        <v>1092</v>
      </c>
      <c r="Z45" s="28" t="str">
        <f>'C216'!$B510</f>
        <v>6.21%</v>
      </c>
      <c r="AA45" s="31" t="str">
        <f>'C216'!$B531</f>
        <v>8.45%</v>
      </c>
      <c r="AB45" s="81" t="str" cm="1">
        <f t="array" ref="AB45">INDEX('C216'!$I:$I,6+(COLUMN()-28)*21)</f>
        <v>5.89%</v>
      </c>
      <c r="AC45" s="81" t="str" cm="1">
        <f t="array" ref="AC45">INDEX('C216'!$I:$I,6+(COLUMN()-28)*21)</f>
        <v>8.51%</v>
      </c>
      <c r="AD45" s="81" t="str" cm="1">
        <f t="array" ref="AD45">INDEX('C216'!$I:$I,6+(COLUMN()-28)*21)</f>
        <v>13.46%</v>
      </c>
      <c r="AE45" s="81" t="str" cm="1">
        <f t="array" ref="AE45">INDEX('C216'!$I:$I,6+(COLUMN()-28)*21)</f>
        <v>9.38%</v>
      </c>
      <c r="AF45" s="81" t="str" cm="1">
        <f t="array" ref="AF45">INDEX('C216'!$I:$I,6+(COLUMN()-28)*21)</f>
        <v>2.30%</v>
      </c>
      <c r="AG45" s="81" t="str" cm="1">
        <f t="array" ref="AG45">INDEX('C216'!$I:$I,6+(COLUMN()-28)*21)</f>
        <v>5.06%</v>
      </c>
      <c r="AH45" s="81" t="str" cm="1">
        <f t="array" ref="AH45">INDEX('C216'!$I:$I,6+(COLUMN()-28)*21)</f>
        <v>8.76%</v>
      </c>
      <c r="AI45" s="81" t="str" cm="1">
        <f t="array" ref="AI45">INDEX('C216'!$I:$I,6+(COLUMN()-28)*21)</f>
        <v>8.85%</v>
      </c>
      <c r="AJ45" s="81" t="str" cm="1">
        <f t="array" ref="AJ45">INDEX('C216'!$I:$I,6+(COLUMN()-28)*21)</f>
        <v>3.95%</v>
      </c>
      <c r="AK45" s="81" t="str" cm="1">
        <f t="array" ref="AK45">INDEX('C216'!$I:$I,6+(COLUMN()-28)*21)</f>
        <v>1.83%</v>
      </c>
      <c r="AL45" s="81" t="str" cm="1">
        <f t="array" ref="AL45">INDEX('C216'!$I:$I,6+(COLUMN()-28)*21)</f>
        <v>1.90%</v>
      </c>
      <c r="AM45" s="81" t="str" cm="1">
        <f t="array" ref="AM45">INDEX('C216'!$I:$I,6+(COLUMN()-28)*21)</f>
        <v>3.07%</v>
      </c>
      <c r="AN45" s="81" t="str" cm="1">
        <f t="array" ref="AN45">INDEX('C216'!$I:$I,6+(COLUMN()-28)*21)</f>
        <v>2.84%</v>
      </c>
      <c r="AO45" s="81" t="str" cm="1">
        <f t="array" ref="AO45">INDEX('C216'!$I:$I,6+(COLUMN()-28)*21)</f>
        <v>2.11%</v>
      </c>
      <c r="AP45" s="81" t="str" cm="1">
        <f t="array" ref="AP45">INDEX('C216'!$I:$I,6+(COLUMN()-28)*21)</f>
        <v>2.27%</v>
      </c>
      <c r="AQ45" s="81" t="str" cm="1">
        <f t="array" ref="AQ45">INDEX('C216'!$I:$I,6+(COLUMN()-28)*21)</f>
        <v>2.28%</v>
      </c>
      <c r="AR45" s="81" t="str" cm="1">
        <f t="array" ref="AR45">INDEX('C216'!$I:$I,6+(COLUMN()-28)*21)</f>
        <v>9.71%</v>
      </c>
      <c r="AS45" s="81" t="str" cm="1">
        <f t="array" ref="AS45">INDEX('C216'!$I:$I,6+(COLUMN()-28)*21)</f>
        <v>7.37%</v>
      </c>
      <c r="AT45" s="81" t="str" cm="1">
        <f t="array" ref="AT45">INDEX('C216'!$I:$I,6+(COLUMN()-28)*21)</f>
        <v>4.48%</v>
      </c>
      <c r="AU45" s="81" t="str" cm="1">
        <f t="array" ref="AU45">INDEX('C216'!$I:$I,6+(COLUMN()-28)*21)</f>
        <v>3.50%</v>
      </c>
      <c r="AV45" s="87" t="str" cm="1">
        <f t="array" ref="AV45">INDEX('C216'!$I:$I,6+(COLUMN()-28)*21)</f>
        <v>6.55%</v>
      </c>
      <c r="AW45" s="81" t="str" cm="1">
        <f t="array" ref="AW45">INDEX('C216'!$I:$I,6+(COLUMN()-28)*21)</f>
        <v>6.89%</v>
      </c>
      <c r="AX45" s="81" t="str" cm="1">
        <f t="array" ref="AX45">INDEX('C216'!$I:$I,6+(COLUMN()-28)*21)</f>
        <v>3.40%</v>
      </c>
      <c r="AY45" s="87" cm="1">
        <f t="array" ref="AY45">INDEX('C216'!$I:$I,6+(COLUMN()-28)*21)</f>
        <v>5.2346834332504755E-2</v>
      </c>
      <c r="AZ45" s="81" t="str" cm="1">
        <f t="array" ref="AZ45">INDEX('C216'!$I:$I,6+(COLUMN()-28)*21)</f>
        <v>10.08%</v>
      </c>
      <c r="BA45" s="81" t="str" cm="1">
        <f t="array" ref="BA45">INDEX('C216'!$I:$I,6+(COLUMN()-28)*21)</f>
        <v>9.21%</v>
      </c>
      <c r="BB45" s="110" cm="1">
        <f t="array" ref="BB45">_xlfn.NUMBERVALUE(INDEX('C216'!$P:$P,6+(COLUMN()-54)*21))</f>
        <v>2.5399999999999999E-2</v>
      </c>
      <c r="BC45" s="110" cm="1">
        <f t="array" ref="BC45">_xlfn.NUMBERVALUE(INDEX('C216'!$P:$P,6+(COLUMN()-54)*21))</f>
        <v>2.3799999999999998E-2</v>
      </c>
      <c r="BD45" s="110" cm="1">
        <f t="array" ref="BD45">_xlfn.NUMBERVALUE(INDEX('C216'!$P:$P,6+(COLUMN()-54)*21))</f>
        <v>4.9500000000000002E-2</v>
      </c>
      <c r="BE45" s="110" cm="1">
        <f t="array" ref="BE45">_xlfn.NUMBERVALUE(INDEX('C216'!$P:$P,6+(COLUMN()-54)*21))</f>
        <v>0.1101</v>
      </c>
      <c r="BF45" s="110" cm="1">
        <f t="array" ref="BF45">_xlfn.NUMBERVALUE(INDEX('C216'!$P:$P,6+(COLUMN()-54)*21))</f>
        <v>9.9000000000000005E-2</v>
      </c>
      <c r="BG45" s="110" cm="1">
        <f t="array" ref="BG45">_xlfn.NUMBERVALUE(INDEX('C216'!$P:$P,6+(COLUMN()-54)*21))</f>
        <v>6.1600000000000002E-2</v>
      </c>
      <c r="BH45" s="110" cm="1">
        <f t="array" ref="BH45">_xlfn.NUMBERVALUE(INDEX('C216'!$P:$P,6+(COLUMN()-54)*21))</f>
        <v>4.8399999999999999E-2</v>
      </c>
      <c r="BI45" s="110" cm="1">
        <f t="array" ref="BI45">_xlfn.NUMBERVALUE(INDEX('C216'!$P:$P,6+(COLUMN()-54)*21))</f>
        <v>0.1201</v>
      </c>
      <c r="BJ45" s="110" cm="1">
        <f t="array" ref="BJ45">_xlfn.NUMBERVALUE(INDEX('C216'!$P:$P,6+(COLUMN()-54)*21))</f>
        <v>0.1052</v>
      </c>
      <c r="BK45" s="110" cm="1">
        <f t="array" ref="BK45">_xlfn.NUMBERVALUE(INDEX('C216'!$P:$P,6+(COLUMN()-54)*21))</f>
        <v>5.9500000000000004E-2</v>
      </c>
      <c r="BL45" s="110" cm="1">
        <f t="array" ref="BL45">_xlfn.NUMBERVALUE(INDEX('C216'!$P:$P,6+(COLUMN()-54)*21))</f>
        <v>2.12E-2</v>
      </c>
      <c r="BM45" s="110" cm="1">
        <f t="array" ref="BM45">_xlfn.NUMBERVALUE(INDEX('C216'!$P:$P,6+(COLUMN()-54)*21))</f>
        <v>2.5699999999999997E-2</v>
      </c>
      <c r="BN45" s="110" cm="1">
        <f t="array" ref="BN45">_xlfn.NUMBERVALUE(INDEX('C216'!$P:$P,6+(COLUMN()-54)*21))</f>
        <v>4.7E-2</v>
      </c>
      <c r="BO45" s="110" cm="1">
        <f t="array" ref="BO45">_xlfn.NUMBERVALUE(INDEX('C216'!$P:$P,6+(COLUMN()-54)*21))</f>
        <v>0.14480000000000001</v>
      </c>
      <c r="BP45" s="110" cm="1">
        <f t="array" ref="BP45">_xlfn.NUMBERVALUE(INDEX('C216'!$P:$P,6+(COLUMN()-54)*21))</f>
        <v>0.1043</v>
      </c>
      <c r="BQ45" s="110" cm="1">
        <f t="array" ref="BQ45">_xlfn.NUMBERVALUE(INDEX('C216'!$P:$P,6+(COLUMN()-54)*21))</f>
        <v>9.8800000000000013E-2</v>
      </c>
      <c r="BR45" s="110" cm="1">
        <f t="array" ref="BR45">_xlfn.NUMBERVALUE(INDEX('C216'!$P:$P,6+(COLUMN()-54)*21))</f>
        <v>8.8300000000000003E-2</v>
      </c>
      <c r="BS45" s="110" cm="1">
        <f t="array" ref="BS45">_xlfn.NUMBERVALUE(INDEX('C216'!$P:$P,6+(COLUMN()-54)*21))</f>
        <v>5.9400000000000001E-2</v>
      </c>
      <c r="BT45" s="110" cm="1">
        <f t="array" ref="BT45">_xlfn.NUMBERVALUE(INDEX('C216'!$P:$P,6+(COLUMN()-54)*21))</f>
        <v>4.6500000000000007E-2</v>
      </c>
      <c r="BU45" s="110" cm="1">
        <f t="array" ref="BU45">_xlfn.NUMBERVALUE(INDEX('C216'!$P:$P,6+(COLUMN()-54)*21))</f>
        <v>7.6100000000000001E-2</v>
      </c>
      <c r="BV45" s="110" cm="1">
        <f t="array" ref="BV45">_xlfn.NUMBERVALUE(INDEX('C216'!$P:$P,6+(COLUMN()-54)*21))</f>
        <v>5.7000000000000002E-2</v>
      </c>
      <c r="BW45" s="110" cm="1">
        <f t="array" ref="BW45">_xlfn.NUMBERVALUE(INDEX('C216'!$P:$P,6+(COLUMN()-54)*21))</f>
        <v>0.1011</v>
      </c>
      <c r="BX45" s="110" cm="1">
        <f t="array" ref="BX45">_xlfn.NUMBERVALUE(INDEX('C216'!$P:$P,6+(COLUMN()-54)*21))</f>
        <v>6.5500000000000003E-2</v>
      </c>
      <c r="BY45" s="110" cm="1">
        <f t="array" ref="BY45">_xlfn.NUMBERVALUE(INDEX('C216'!$P:$P,6+(COLUMN()-54)*21))</f>
        <v>0</v>
      </c>
      <c r="BZ45" s="110" cm="1">
        <f t="array" ref="BZ45">_xlfn.NUMBERVALUE(INDEX('C216'!$P:$P,6+(COLUMN()-54)*21))</f>
        <v>0</v>
      </c>
      <c r="CA45" s="110" cm="1">
        <f t="array" ref="CA45">_xlfn.NUMBERVALUE(INDEX('C216'!$P:$P,6+(COLUMN()-54)*21))</f>
        <v>0</v>
      </c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22"/>
      <c r="DO45" s="93" t="s">
        <v>1418</v>
      </c>
      <c r="DP45" s="96" cm="1">
        <f t="array" ref="DP45">INDEX('C216'!$I:$I,9+4*21)+INDEX('C216'!$I:$I,9+5*21)+INDEX('C216'!$I:$I,9+6*21)+INDEX('C216'!$I:$I,9+7*21)+INDEX('C216'!$I:$I,9+8*21)+INDEX('C216'!$I:$I,9+9*21)</f>
        <v>1697</v>
      </c>
      <c r="DQ45" s="74" cm="1">
        <f t="array" ref="DQ45">INDEX('C216'!$I:$I,9+10*21)+INDEX('C216'!$I:$I,9+11*21)+INDEX('C216'!$I:$I,9+12*21)+INDEX('C216'!$I:$I,9+13*21)+INDEX('C216'!$I:$I,9+14*21)+INDEX('C216'!$I:$I,9+15*21)</f>
        <v>873</v>
      </c>
      <c r="DR45" s="74" cm="1">
        <f t="array" ref="DR45">INDEX('C216'!$I:$I,9+16*21)+INDEX('C216'!$I:$I,9+17*21)+INDEX('C216'!$I:$I,9+18*21)+INDEX('C216'!$I:$I,9+19*21)+INDEX('C216'!$I:$I,9+20*21)+INDEX('C216'!$I:$I,9+21*21)</f>
        <v>2400</v>
      </c>
      <c r="DS45" s="22"/>
    </row>
    <row r="46" spans="1:123" x14ac:dyDescent="0.3">
      <c r="A46" s="38" t="s">
        <v>17</v>
      </c>
      <c r="B46" s="32">
        <v>7.1000000000000004E-3</v>
      </c>
      <c r="C46" s="32">
        <v>3.5999999999999999E-3</v>
      </c>
      <c r="D46" s="32">
        <v>1.77E-2</v>
      </c>
      <c r="E46" s="32">
        <v>3.3099999999999997E-2</v>
      </c>
      <c r="F46" s="32">
        <v>2.1600000000000001E-2</v>
      </c>
      <c r="G46" s="32">
        <v>4.1999999999999997E-3</v>
      </c>
      <c r="H46" s="32">
        <v>1.14E-2</v>
      </c>
      <c r="I46" s="32">
        <v>9.4999999999999998E-3</v>
      </c>
      <c r="J46" s="32">
        <v>0.13780000000000001</v>
      </c>
      <c r="K46" s="32">
        <v>6.4999999999999997E-3</v>
      </c>
      <c r="L46" s="32">
        <v>1.37E-2</v>
      </c>
      <c r="M46" s="32">
        <v>6.1999999999999998E-3</v>
      </c>
      <c r="N46" s="32">
        <v>2.6200000000000001E-2</v>
      </c>
      <c r="O46" s="32">
        <v>9.4899999999999998E-2</v>
      </c>
      <c r="P46" s="32">
        <v>7.7700000000000005E-2</v>
      </c>
      <c r="Q46" s="32">
        <v>7.5200000000000003E-2</v>
      </c>
      <c r="R46" s="32">
        <v>6.4399999999999999E-2</v>
      </c>
      <c r="S46" s="32">
        <v>4.0000000000000001E-3</v>
      </c>
      <c r="T46" s="32">
        <v>4.0599999999999997E-2</v>
      </c>
      <c r="U46" s="32">
        <v>7.5700000000000003E-2</v>
      </c>
      <c r="V46" s="61" t="s">
        <v>84</v>
      </c>
      <c r="W46" s="61" t="str">
        <f>'C216'!$B448</f>
        <v>0.30%</v>
      </c>
      <c r="X46" s="61" t="s">
        <v>314</v>
      </c>
      <c r="Y46" s="61" t="s">
        <v>695</v>
      </c>
      <c r="Z46" s="28" t="str">
        <f>'C216'!$B511</f>
        <v>6.81%</v>
      </c>
      <c r="AA46" s="31" t="str">
        <f>'C216'!$B532</f>
        <v>4.40%</v>
      </c>
      <c r="AB46" s="81" t="str" cm="1">
        <f t="array" ref="AB46">INDEX('C216'!$I:$I,7+(COLUMN()-28)*21)</f>
        <v>2.45%</v>
      </c>
      <c r="AC46" s="81" t="str" cm="1">
        <f t="array" ref="AC46">INDEX('C216'!$I:$I,7+(COLUMN()-28)*21)</f>
        <v>2.84%</v>
      </c>
      <c r="AD46" s="81" t="str" cm="1">
        <f t="array" ref="AD46">INDEX('C216'!$I:$I,7+(COLUMN()-28)*21)</f>
        <v>2.09%</v>
      </c>
      <c r="AE46" s="81" t="str" cm="1">
        <f t="array" ref="AE46">INDEX('C216'!$I:$I,7+(COLUMN()-28)*21)</f>
        <v>0.42%</v>
      </c>
      <c r="AF46" s="81" t="str" cm="1">
        <f t="array" ref="AF46">INDEX('C216'!$I:$I,7+(COLUMN()-28)*21)</f>
        <v>7.30%</v>
      </c>
      <c r="AG46" s="81" t="str" cm="1">
        <f t="array" ref="AG46">INDEX('C216'!$I:$I,7+(COLUMN()-28)*21)</f>
        <v>4.86%</v>
      </c>
      <c r="AH46" s="81" t="str" cm="1">
        <f t="array" ref="AH46">INDEX('C216'!$I:$I,7+(COLUMN()-28)*21)</f>
        <v>4.28%</v>
      </c>
      <c r="AI46" s="81" t="str" cm="1">
        <f t="array" ref="AI46">INDEX('C216'!$I:$I,7+(COLUMN()-28)*21)</f>
        <v>1.73%</v>
      </c>
      <c r="AJ46" s="81" t="str" cm="1">
        <f t="array" ref="AJ46">INDEX('C216'!$I:$I,7+(COLUMN()-28)*21)</f>
        <v>0.50%</v>
      </c>
      <c r="AK46" s="81" t="str" cm="1">
        <f t="array" ref="AK46">INDEX('C216'!$I:$I,7+(COLUMN()-28)*21)</f>
        <v>0.54%</v>
      </c>
      <c r="AL46" s="81" t="str" cm="1">
        <f t="array" ref="AL46">INDEX('C216'!$I:$I,7+(COLUMN()-28)*21)</f>
        <v>1.68%</v>
      </c>
      <c r="AM46" s="81" t="str" cm="1">
        <f t="array" ref="AM46">INDEX('C216'!$I:$I,7+(COLUMN()-28)*21)</f>
        <v>2.15%</v>
      </c>
      <c r="AN46" s="81" t="str" cm="1">
        <f t="array" ref="AN46">INDEX('C216'!$I:$I,7+(COLUMN()-28)*21)</f>
        <v>5.27%</v>
      </c>
      <c r="AO46" s="81" t="str" cm="1">
        <f t="array" ref="AO46">INDEX('C216'!$I:$I,7+(COLUMN()-28)*21)</f>
        <v>4.76%</v>
      </c>
      <c r="AP46" s="81" t="str" cm="1">
        <f t="array" ref="AP46">INDEX('C216'!$I:$I,7+(COLUMN()-28)*21)</f>
        <v>4.07%</v>
      </c>
      <c r="AQ46" s="81" t="str" cm="1">
        <f t="array" ref="AQ46">INDEX('C216'!$I:$I,7+(COLUMN()-28)*21)</f>
        <v>0.94%</v>
      </c>
      <c r="AR46" s="81" t="str" cm="1">
        <f t="array" ref="AR46">INDEX('C216'!$I:$I,7+(COLUMN()-28)*21)</f>
        <v>2.21%</v>
      </c>
      <c r="AS46" s="81" t="str" cm="1">
        <f t="array" ref="AS46">INDEX('C216'!$I:$I,7+(COLUMN()-28)*21)</f>
        <v>0.73%</v>
      </c>
      <c r="AT46" s="81" t="str" cm="1">
        <f t="array" ref="AT46">INDEX('C216'!$I:$I,7+(COLUMN()-28)*21)</f>
        <v>2.18%</v>
      </c>
      <c r="AU46" s="81" t="str" cm="1">
        <f t="array" ref="AU46">INDEX('C216'!$I:$I,7+(COLUMN()-28)*21)</f>
        <v>0.65%</v>
      </c>
      <c r="AV46" s="87" t="str" cm="1">
        <f t="array" ref="AV46">INDEX('C216'!$I:$I,7+(COLUMN()-28)*21)</f>
        <v>1.26%</v>
      </c>
      <c r="AW46" s="81" t="str" cm="1">
        <f t="array" ref="AW46">INDEX('C216'!$I:$I,7+(COLUMN()-28)*21)</f>
        <v>6.66%</v>
      </c>
      <c r="AX46" s="81" t="str" cm="1">
        <f t="array" ref="AX46">INDEX('C216'!$I:$I,7+(COLUMN()-28)*21)</f>
        <v>2.61%</v>
      </c>
      <c r="AY46" s="87" cm="1">
        <f t="array" ref="AY46">INDEX('C216'!$I:$I,7+(COLUMN()-28)*21)</f>
        <v>5.7464541599649074E-2</v>
      </c>
      <c r="AZ46" s="81" t="str" cm="1">
        <f t="array" ref="AZ46">INDEX('C216'!$I:$I,7+(COLUMN()-28)*21)</f>
        <v>3.88%</v>
      </c>
      <c r="BA46" s="81" t="str" cm="1">
        <f t="array" ref="BA46">INDEX('C216'!$I:$I,7+(COLUMN()-28)*21)</f>
        <v>6.85%</v>
      </c>
      <c r="BB46" s="110" cm="1">
        <f t="array" ref="BB46">_xlfn.NUMBERVALUE(INDEX('C216'!$P:$P,7+(COLUMN()-54)*21))</f>
        <v>0.1192</v>
      </c>
      <c r="BC46" s="110" cm="1">
        <f t="array" ref="BC46">_xlfn.NUMBERVALUE(INDEX('C216'!$P:$P,7+(COLUMN()-54)*21))</f>
        <v>2E-3</v>
      </c>
      <c r="BD46" s="110" cm="1">
        <f t="array" ref="BD46">_xlfn.NUMBERVALUE(INDEX('C216'!$P:$P,7+(COLUMN()-54)*21))</f>
        <v>2.3999999999999998E-3</v>
      </c>
      <c r="BE46" s="110" cm="1">
        <f t="array" ref="BE46">_xlfn.NUMBERVALUE(INDEX('C216'!$P:$P,7+(COLUMN()-54)*21))</f>
        <v>2.8999999999999998E-3</v>
      </c>
      <c r="BF46" s="110" cm="1">
        <f t="array" ref="BF46">_xlfn.NUMBERVALUE(INDEX('C216'!$P:$P,7+(COLUMN()-54)*21))</f>
        <v>7.000000000000001E-4</v>
      </c>
      <c r="BG46" s="110" cm="1">
        <f t="array" ref="BG46">_xlfn.NUMBERVALUE(INDEX('C216'!$P:$P,7+(COLUMN()-54)*21))</f>
        <v>1.4199999999999999E-2</v>
      </c>
      <c r="BH46" s="110" cm="1">
        <f t="array" ref="BH46">_xlfn.NUMBERVALUE(INDEX('C216'!$P:$P,7+(COLUMN()-54)*21))</f>
        <v>5.57E-2</v>
      </c>
      <c r="BI46" s="110" cm="1">
        <f t="array" ref="BI46">_xlfn.NUMBERVALUE(INDEX('C216'!$P:$P,7+(COLUMN()-54)*21))</f>
        <v>3.9000000000000003E-3</v>
      </c>
      <c r="BJ46" s="110" cm="1">
        <f t="array" ref="BJ46">_xlfn.NUMBERVALUE(INDEX('C216'!$P:$P,7+(COLUMN()-54)*21))</f>
        <v>1.1000000000000001E-3</v>
      </c>
      <c r="BK46" s="110" cm="1">
        <f t="array" ref="BK46">_xlfn.NUMBERVALUE(INDEX('C216'!$P:$P,7+(COLUMN()-54)*21))</f>
        <v>1.7000000000000001E-3</v>
      </c>
      <c r="BL46" s="110" cm="1">
        <f t="array" ref="BL46">_xlfn.NUMBERVALUE(INDEX('C216'!$P:$P,7+(COLUMN()-54)*21))</f>
        <v>2.8000000000000004E-3</v>
      </c>
      <c r="BM46" s="110" cm="1">
        <f t="array" ref="BM46">_xlfn.NUMBERVALUE(INDEX('C216'!$P:$P,7+(COLUMN()-54)*21))</f>
        <v>3.56E-2</v>
      </c>
      <c r="BN46" s="110" cm="1">
        <f t="array" ref="BN46">_xlfn.NUMBERVALUE(INDEX('C216'!$P:$P,7+(COLUMN()-54)*21))</f>
        <v>0.1017</v>
      </c>
      <c r="BO46" s="110" cm="1">
        <f t="array" ref="BO46">_xlfn.NUMBERVALUE(INDEX('C216'!$P:$P,7+(COLUMN()-54)*21))</f>
        <v>7.5899999999999995E-2</v>
      </c>
      <c r="BP46" s="110" cm="1">
        <f t="array" ref="BP46">_xlfn.NUMBERVALUE(INDEX('C216'!$P:$P,7+(COLUMN()-54)*21))</f>
        <v>8.9099999999999999E-2</v>
      </c>
      <c r="BQ46" s="110" cm="1">
        <f t="array" ref="BQ46">_xlfn.NUMBERVALUE(INDEX('C216'!$P:$P,7+(COLUMN()-54)*21))</f>
        <v>8.1099999999999992E-2</v>
      </c>
      <c r="BR46" s="110" cm="1">
        <f t="array" ref="BR46">_xlfn.NUMBERVALUE(INDEX('C216'!$P:$P,7+(COLUMN()-54)*21))</f>
        <v>3.5499999999999997E-2</v>
      </c>
      <c r="BS46" s="110" cm="1">
        <f t="array" ref="BS46">_xlfn.NUMBERVALUE(INDEX('C216'!$P:$P,7+(COLUMN()-54)*21))</f>
        <v>8.199999999999999E-2</v>
      </c>
      <c r="BT46" s="110" cm="1">
        <f t="array" ref="BT46">_xlfn.NUMBERVALUE(INDEX('C216'!$P:$P,7+(COLUMN()-54)*21))</f>
        <v>8.48E-2</v>
      </c>
      <c r="BU46" s="110" cm="1">
        <f t="array" ref="BU46">_xlfn.NUMBERVALUE(INDEX('C216'!$P:$P,7+(COLUMN()-54)*21))</f>
        <v>4.41E-2</v>
      </c>
      <c r="BV46" s="110" cm="1">
        <f t="array" ref="BV46">_xlfn.NUMBERVALUE(INDEX('C216'!$P:$P,7+(COLUMN()-54)*21))</f>
        <v>2.1899999999999999E-2</v>
      </c>
      <c r="BW46" s="110" cm="1">
        <f t="array" ref="BW46">_xlfn.NUMBERVALUE(INDEX('C216'!$P:$P,7+(COLUMN()-54)*21))</f>
        <v>6.25E-2</v>
      </c>
      <c r="BX46" s="110" cm="1">
        <f t="array" ref="BX46">_xlfn.NUMBERVALUE(INDEX('C216'!$P:$P,7+(COLUMN()-54)*21))</f>
        <v>1.6000000000000001E-3</v>
      </c>
      <c r="BY46" s="110" cm="1">
        <f t="array" ref="BY46">_xlfn.NUMBERVALUE(INDEX('C216'!$P:$P,7+(COLUMN()-54)*21))</f>
        <v>0</v>
      </c>
      <c r="BZ46" s="110" cm="1">
        <f t="array" ref="BZ46">_xlfn.NUMBERVALUE(INDEX('C216'!$P:$P,7+(COLUMN()-54)*21))</f>
        <v>0</v>
      </c>
      <c r="CA46" s="110" cm="1">
        <f t="array" ref="CA46">_xlfn.NUMBERVALUE(INDEX('C216'!$P:$P,7+(COLUMN()-54)*21))</f>
        <v>0</v>
      </c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22"/>
      <c r="DO46" s="93" t="s">
        <v>1419</v>
      </c>
      <c r="DP46" s="96" cm="1">
        <f t="array" ref="DP46">INDEX('C216'!$I:$I,15+4*21)+INDEX('C216'!$I:$I,15+5*21)+INDEX('C216'!$I:$I,15+6*21)+INDEX('C216'!$I:$I,15+7*21)+INDEX('C216'!$I:$I,15+8*21)+INDEX('C216'!$I:$I,15+9*21)</f>
        <v>1013</v>
      </c>
      <c r="DQ46" s="74" cm="1">
        <f t="array" ref="DQ46">INDEX('C216'!$I:$I,15+10*21)+INDEX('C216'!$I:$I,15+11*21)+INDEX('C216'!$I:$I,15+12*21)+INDEX('C216'!$I:$I,15+13*21)+INDEX('C216'!$I:$I,15+14*21)+INDEX('C216'!$I:$I,15+15*21)</f>
        <v>1179</v>
      </c>
      <c r="DR46" s="74" cm="1">
        <f t="array" ref="DR46">INDEX('C216'!$I:$I,15+16*21)+INDEX('C216'!$I:$I,15+17*21)+INDEX('C216'!$I:$I,15+18*21)+INDEX('C216'!$I:$I,15+19*21)+INDEX('C216'!$I:$I,15+20*21)+INDEX('C216'!$I:$I,15+21*21)</f>
        <v>815</v>
      </c>
      <c r="DS46" s="22"/>
    </row>
    <row r="47" spans="1:123" x14ac:dyDescent="0.3">
      <c r="A47" s="38" t="s">
        <v>22</v>
      </c>
      <c r="B47" s="32">
        <v>0</v>
      </c>
      <c r="C47" s="32">
        <v>8.9999999999999998E-4</v>
      </c>
      <c r="D47" s="32">
        <v>0</v>
      </c>
      <c r="E47" s="32">
        <v>8.9999999999999998E-4</v>
      </c>
      <c r="F47" s="32">
        <v>0</v>
      </c>
      <c r="G47" s="32">
        <v>0</v>
      </c>
      <c r="H47" s="32">
        <v>5.0000000000000001E-4</v>
      </c>
      <c r="I47" s="32">
        <v>8.0000000000000004E-4</v>
      </c>
      <c r="J47" s="32">
        <v>2.41E-2</v>
      </c>
      <c r="K47" s="32">
        <v>0</v>
      </c>
      <c r="L47" s="32">
        <v>1E-4</v>
      </c>
      <c r="M47" s="32">
        <v>0</v>
      </c>
      <c r="N47" s="32">
        <v>0</v>
      </c>
      <c r="O47" s="32">
        <v>2.9999999999999997E-4</v>
      </c>
      <c r="P47" s="32">
        <v>2.0000000000000001E-4</v>
      </c>
      <c r="Q47" s="32">
        <v>2.0000000000000001E-4</v>
      </c>
      <c r="R47" s="32">
        <v>0</v>
      </c>
      <c r="S47" s="32">
        <v>0</v>
      </c>
      <c r="T47" s="32">
        <v>1.2999999999999999E-3</v>
      </c>
      <c r="U47" s="32">
        <v>7.2300000000000003E-2</v>
      </c>
      <c r="V47" s="61" t="s">
        <v>25</v>
      </c>
      <c r="W47" s="61" t="str">
        <f>'C216'!$B449</f>
        <v>0.00%</v>
      </c>
      <c r="X47" s="61" t="s">
        <v>257</v>
      </c>
      <c r="Y47" s="61" t="s">
        <v>25</v>
      </c>
      <c r="Z47" s="28" t="str">
        <f>'C216'!$B512</f>
        <v>0.00%</v>
      </c>
      <c r="AA47" s="31" t="str">
        <f>'C216'!$B533</f>
        <v>0.02%</v>
      </c>
      <c r="AB47" s="81" t="str" cm="1">
        <f t="array" ref="AB47">INDEX('C216'!$I:$I,8+(COLUMN()-28)*21)</f>
        <v>0.00%</v>
      </c>
      <c r="AC47" s="81" t="str" cm="1">
        <f t="array" ref="AC47">INDEX('C216'!$I:$I,8+(COLUMN()-28)*21)</f>
        <v>0.00%</v>
      </c>
      <c r="AD47" s="81" t="str" cm="1">
        <f t="array" ref="AD47">INDEX('C216'!$I:$I,8+(COLUMN()-28)*21)</f>
        <v>0.02%</v>
      </c>
      <c r="AE47" s="81" t="str" cm="1">
        <f t="array" ref="AE47">INDEX('C216'!$I:$I,8+(COLUMN()-28)*21)</f>
        <v>0.00%</v>
      </c>
      <c r="AF47" s="81" t="str" cm="1">
        <f t="array" ref="AF47">INDEX('C216'!$I:$I,8+(COLUMN()-28)*21)</f>
        <v>0.00%</v>
      </c>
      <c r="AG47" s="81" t="str" cm="1">
        <f t="array" ref="AG47">INDEX('C216'!$I:$I,8+(COLUMN()-28)*21)</f>
        <v>0.00%</v>
      </c>
      <c r="AH47" s="81" t="str" cm="1">
        <f t="array" ref="AH47">INDEX('C216'!$I:$I,8+(COLUMN()-28)*21)</f>
        <v>0.04%</v>
      </c>
      <c r="AI47" s="81" t="str" cm="1">
        <f t="array" ref="AI47">INDEX('C216'!$I:$I,8+(COLUMN()-28)*21)</f>
        <v>0.00%</v>
      </c>
      <c r="AJ47" s="81" t="str" cm="1">
        <f t="array" ref="AJ47">INDEX('C216'!$I:$I,8+(COLUMN()-28)*21)</f>
        <v>0.02%</v>
      </c>
      <c r="AK47" s="81" t="str" cm="1">
        <f t="array" ref="AK47">INDEX('C216'!$I:$I,8+(COLUMN()-28)*21)</f>
        <v>0.26%</v>
      </c>
      <c r="AL47" s="81" t="str" cm="1">
        <f t="array" ref="AL47">INDEX('C216'!$I:$I,8+(COLUMN()-28)*21)</f>
        <v>0.07%</v>
      </c>
      <c r="AM47" s="81" t="str" cm="1">
        <f t="array" ref="AM47">INDEX('C216'!$I:$I,8+(COLUMN()-28)*21)</f>
        <v>0.00%</v>
      </c>
      <c r="AN47" s="81" t="str" cm="1">
        <f t="array" ref="AN47">INDEX('C216'!$I:$I,8+(COLUMN()-28)*21)</f>
        <v>0.00%</v>
      </c>
      <c r="AO47" s="81" t="str" cm="1">
        <f t="array" ref="AO47">INDEX('C216'!$I:$I,8+(COLUMN()-28)*21)</f>
        <v>0.01%</v>
      </c>
      <c r="AP47" s="81" t="str" cm="1">
        <f t="array" ref="AP47">INDEX('C216'!$I:$I,8+(COLUMN()-28)*21)</f>
        <v>0.00%</v>
      </c>
      <c r="AQ47" s="81" t="str" cm="1">
        <f t="array" ref="AQ47">INDEX('C216'!$I:$I,8+(COLUMN()-28)*21)</f>
        <v>0.00%</v>
      </c>
      <c r="AR47" s="81" t="str" cm="1">
        <f t="array" ref="AR47">INDEX('C216'!$I:$I,8+(COLUMN()-28)*21)</f>
        <v>0.00%</v>
      </c>
      <c r="AS47" s="81" t="str" cm="1">
        <f t="array" ref="AS47">INDEX('C216'!$I:$I,8+(COLUMN()-28)*21)</f>
        <v>0.00%</v>
      </c>
      <c r="AT47" s="81" t="str" cm="1">
        <f t="array" ref="AT47">INDEX('C216'!$I:$I,8+(COLUMN()-28)*21)</f>
        <v>0.00%</v>
      </c>
      <c r="AU47" s="81" t="str" cm="1">
        <f t="array" ref="AU47">INDEX('C216'!$I:$I,8+(COLUMN()-28)*21)</f>
        <v>0.00%</v>
      </c>
      <c r="AV47" s="87" t="str" cm="1">
        <f t="array" ref="AV47">INDEX('C216'!$I:$I,8+(COLUMN()-28)*21)</f>
        <v>0.00%</v>
      </c>
      <c r="AW47" s="81" t="str" cm="1">
        <f t="array" ref="AW47">INDEX('C216'!$I:$I,8+(COLUMN()-28)*21)</f>
        <v>0.00%</v>
      </c>
      <c r="AX47" s="81" t="str" cm="1">
        <f t="array" ref="AX47">INDEX('C216'!$I:$I,8+(COLUMN()-28)*21)</f>
        <v>0.00%</v>
      </c>
      <c r="AY47" s="81" t="str" cm="1">
        <f t="array" ref="AY47">INDEX('C216'!$I:$I,8+(COLUMN()-28)*21)</f>
        <v>0.00%</v>
      </c>
      <c r="AZ47" s="81" t="str" cm="1">
        <f t="array" ref="AZ47">INDEX('C216'!$I:$I,8+(COLUMN()-28)*21)</f>
        <v>0.00%</v>
      </c>
      <c r="BA47" s="81" t="str" cm="1">
        <f t="array" ref="BA47">INDEX('C216'!$I:$I,8+(COLUMN()-28)*21)</f>
        <v>0.00%</v>
      </c>
      <c r="BB47" s="110" cm="1">
        <f t="array" ref="BB47">_xlfn.NUMBERVALUE(INDEX('C216'!$P:$P,8+(COLUMN()-54)*21))</f>
        <v>2.0999999999999999E-3</v>
      </c>
      <c r="BC47" s="110" cm="1">
        <f t="array" ref="BC47">_xlfn.NUMBERVALUE(INDEX('C216'!$P:$P,8+(COLUMN()-54)*21))</f>
        <v>0</v>
      </c>
      <c r="BD47" s="110" cm="1">
        <f t="array" ref="BD47">_xlfn.NUMBERVALUE(INDEX('C216'!$P:$P,8+(COLUMN()-54)*21))</f>
        <v>0</v>
      </c>
      <c r="BE47" s="110" cm="1">
        <f t="array" ref="BE47">_xlfn.NUMBERVALUE(INDEX('C216'!$P:$P,8+(COLUMN()-54)*21))</f>
        <v>0</v>
      </c>
      <c r="BF47" s="110" cm="1">
        <f t="array" ref="BF47">_xlfn.NUMBERVALUE(INDEX('C216'!$P:$P,8+(COLUMN()-54)*21))</f>
        <v>0</v>
      </c>
      <c r="BG47" s="110" cm="1">
        <f t="array" ref="BG47">_xlfn.NUMBERVALUE(INDEX('C216'!$P:$P,8+(COLUMN()-54)*21))</f>
        <v>0</v>
      </c>
      <c r="BH47" s="110" cm="1">
        <f t="array" ref="BH47">_xlfn.NUMBERVALUE(INDEX('C216'!$P:$P,8+(COLUMN()-54)*21))</f>
        <v>0</v>
      </c>
      <c r="BI47" s="110" cm="1">
        <f t="array" ref="BI47">_xlfn.NUMBERVALUE(INDEX('C216'!$P:$P,8+(COLUMN()-54)*21))</f>
        <v>2.0000000000000001E-4</v>
      </c>
      <c r="BJ47" s="110" cm="1">
        <f t="array" ref="BJ47">_xlfn.NUMBERVALUE(INDEX('C216'!$P:$P,8+(COLUMN()-54)*21))</f>
        <v>0</v>
      </c>
      <c r="BK47" s="110" cm="1">
        <f t="array" ref="BK47">_xlfn.NUMBERVALUE(INDEX('C216'!$P:$P,8+(COLUMN()-54)*21))</f>
        <v>0</v>
      </c>
      <c r="BL47" s="110" cm="1">
        <f t="array" ref="BL47">_xlfn.NUMBERVALUE(INDEX('C216'!$P:$P,8+(COLUMN()-54)*21))</f>
        <v>0</v>
      </c>
      <c r="BM47" s="110" cm="1">
        <f t="array" ref="BM47">_xlfn.NUMBERVALUE(INDEX('C216'!$P:$P,8+(COLUMN()-54)*21))</f>
        <v>0</v>
      </c>
      <c r="BN47" s="110" cm="1">
        <f t="array" ref="BN47">_xlfn.NUMBERVALUE(INDEX('C216'!$P:$P,8+(COLUMN()-54)*21))</f>
        <v>2.0000000000000001E-4</v>
      </c>
      <c r="BO47" s="110" cm="1">
        <f t="array" ref="BO47">_xlfn.NUMBERVALUE(INDEX('C216'!$P:$P,8+(COLUMN()-54)*21))</f>
        <v>2.9999999999999997E-4</v>
      </c>
      <c r="BP47" s="110" cm="1">
        <f t="array" ref="BP47">_xlfn.NUMBERVALUE(INDEX('C216'!$P:$P,8+(COLUMN()-54)*21))</f>
        <v>0</v>
      </c>
      <c r="BQ47" s="110" cm="1">
        <f t="array" ref="BQ47">_xlfn.NUMBERVALUE(INDEX('C216'!$P:$P,8+(COLUMN()-54)*21))</f>
        <v>0</v>
      </c>
      <c r="BR47" s="110" cm="1">
        <f t="array" ref="BR47">_xlfn.NUMBERVALUE(INDEX('C216'!$P:$P,8+(COLUMN()-54)*21))</f>
        <v>0</v>
      </c>
      <c r="BS47" s="110" cm="1">
        <f t="array" ref="BS47">_xlfn.NUMBERVALUE(INDEX('C216'!$P:$P,8+(COLUMN()-54)*21))</f>
        <v>0</v>
      </c>
      <c r="BT47" s="110" cm="1">
        <f t="array" ref="BT47">_xlfn.NUMBERVALUE(INDEX('C216'!$P:$P,8+(COLUMN()-54)*21))</f>
        <v>0</v>
      </c>
      <c r="BU47" s="110" cm="1">
        <f t="array" ref="BU47">_xlfn.NUMBERVALUE(INDEX('C216'!$P:$P,8+(COLUMN()-54)*21))</f>
        <v>2.0000000000000001E-4</v>
      </c>
      <c r="BV47" s="110" cm="1">
        <f t="array" ref="BV47">_xlfn.NUMBERVALUE(INDEX('C216'!$P:$P,8+(COLUMN()-54)*21))</f>
        <v>0</v>
      </c>
      <c r="BW47" s="110" cm="1">
        <f t="array" ref="BW47">_xlfn.NUMBERVALUE(INDEX('C216'!$P:$P,8+(COLUMN()-54)*21))</f>
        <v>0</v>
      </c>
      <c r="BX47" s="110" cm="1">
        <f t="array" ref="BX47">_xlfn.NUMBERVALUE(INDEX('C216'!$P:$P,8+(COLUMN()-54)*21))</f>
        <v>0</v>
      </c>
      <c r="BY47" s="110" cm="1">
        <f t="array" ref="BY47">_xlfn.NUMBERVALUE(INDEX('C216'!$P:$P,8+(COLUMN()-54)*21))</f>
        <v>0</v>
      </c>
      <c r="BZ47" s="110" cm="1">
        <f t="array" ref="BZ47">_xlfn.NUMBERVALUE(INDEX('C216'!$P:$P,8+(COLUMN()-54)*21))</f>
        <v>0</v>
      </c>
      <c r="CA47" s="110" cm="1">
        <f t="array" ref="CA47">_xlfn.NUMBERVALUE(INDEX('C216'!$P:$P,8+(COLUMN()-54)*21))</f>
        <v>0</v>
      </c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22"/>
      <c r="DO47" s="93" t="s">
        <v>1420</v>
      </c>
      <c r="DP47" s="96" cm="1">
        <f t="array" ref="DP47">INDEX('C216'!$I:$I,18+4*21)+INDEX('C216'!$I:$I,18+5*21)+INDEX('C216'!$I:$I,18+6*21)+INDEX('C216'!$I:$I,18+7*21)+INDEX('C216'!$I:$I,18+8*21)+INDEX('C216'!$I:$I,18+9*21)</f>
        <v>12</v>
      </c>
      <c r="DQ47" s="74" cm="1">
        <f t="array" ref="DQ47">INDEX('C216'!$I:$I,18+10*21)+INDEX('C216'!$I:$I,18+11*21)+INDEX('C216'!$I:$I,18+12*21)+INDEX('C216'!$I:$I,18+13*21)+INDEX('C216'!$I:$I,18+14*21)+INDEX('C216'!$I:$I,18+15*21)</f>
        <v>4</v>
      </c>
      <c r="DR47" s="74" cm="1">
        <f t="array" ref="DR47">INDEX('C216'!$I:$I,18+16*21)+INDEX('C216'!$I:$I,18+17*21)+INDEX('C216'!$I:$I,18+18*21)+INDEX('C216'!$I:$I,18+19*21)+INDEX('C216'!$I:$I,18+20*21)+INDEX('C216'!$I:$I,18+21*21)</f>
        <v>0</v>
      </c>
      <c r="DS47" s="22"/>
    </row>
    <row r="48" spans="1:123" x14ac:dyDescent="0.3">
      <c r="A48" s="42" t="s">
        <v>929</v>
      </c>
      <c r="B48" s="43" t="s">
        <v>941</v>
      </c>
      <c r="C48" s="43" t="s">
        <v>941</v>
      </c>
      <c r="D48" s="43" t="s">
        <v>949</v>
      </c>
      <c r="E48" s="43" t="s">
        <v>949</v>
      </c>
      <c r="F48" s="43" t="s">
        <v>949</v>
      </c>
      <c r="G48" s="43" t="s">
        <v>934</v>
      </c>
      <c r="H48" s="43" t="s">
        <v>941</v>
      </c>
      <c r="I48" s="43" t="s">
        <v>941</v>
      </c>
      <c r="J48" s="43" t="s">
        <v>950</v>
      </c>
      <c r="K48" s="43" t="s">
        <v>955</v>
      </c>
      <c r="L48" s="43" t="s">
        <v>950</v>
      </c>
      <c r="M48" s="43" t="s">
        <v>941</v>
      </c>
      <c r="N48" s="43" t="s">
        <v>957</v>
      </c>
      <c r="O48" s="43" t="s">
        <v>949</v>
      </c>
      <c r="P48" s="43" t="s">
        <v>949</v>
      </c>
      <c r="Q48" s="43" t="s">
        <v>949</v>
      </c>
      <c r="R48" s="43" t="s">
        <v>949</v>
      </c>
      <c r="S48" s="43"/>
      <c r="T48" s="43" t="s">
        <v>935</v>
      </c>
      <c r="U48" s="43" t="s">
        <v>936</v>
      </c>
      <c r="V48" s="43"/>
      <c r="W48" s="43"/>
      <c r="X48" s="43"/>
      <c r="Y48" s="43"/>
      <c r="Z48" s="43" t="s">
        <v>1146</v>
      </c>
      <c r="AA48" s="44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2"/>
      <c r="BV48" s="82"/>
      <c r="BW48" s="82"/>
      <c r="BX48" s="82"/>
      <c r="BY48" s="82"/>
      <c r="BZ48" s="82"/>
      <c r="CA48" s="82"/>
      <c r="CB48" s="82"/>
      <c r="CC48" s="82"/>
      <c r="CD48" s="82"/>
      <c r="CE48" s="82"/>
      <c r="CF48" s="82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82"/>
      <c r="DI48" s="82"/>
      <c r="DJ48" s="82"/>
      <c r="DK48" s="82"/>
      <c r="DL48" s="82"/>
      <c r="DM48" s="82"/>
      <c r="DN48" s="22"/>
      <c r="DO48" s="93" t="s">
        <v>1415</v>
      </c>
      <c r="DP48" s="23" t="s">
        <v>1452</v>
      </c>
      <c r="DQ48" s="23" t="s">
        <v>1156</v>
      </c>
      <c r="DR48" s="23" t="s">
        <v>1156</v>
      </c>
      <c r="DS48" s="22"/>
    </row>
    <row r="49" spans="1:129" ht="15.6" thickBot="1" x14ac:dyDescent="0.35">
      <c r="A49" s="39" t="s">
        <v>881</v>
      </c>
      <c r="B49" s="29">
        <f>COUNTIFS('C216'!$C$3:$F$3,"=0")</f>
        <v>0</v>
      </c>
      <c r="C49" s="29">
        <f>COUNTIFS('C216'!$C$24:$F$24,"=0")</f>
        <v>0</v>
      </c>
      <c r="D49" s="29">
        <f>COUNTIFS('C216'!$C$45:$F$45,"=0")</f>
        <v>0</v>
      </c>
      <c r="E49" s="29">
        <f>COUNTIFS('C216'!$C$66:$F$66,"=0")</f>
        <v>0</v>
      </c>
      <c r="F49" s="29">
        <f>COUNTIFS('C216'!$C$87:$F$87,"=0")</f>
        <v>0</v>
      </c>
      <c r="G49" s="29">
        <f>COUNTIFS('C216'!$C$108:$F$108,"=0")</f>
        <v>0</v>
      </c>
      <c r="H49" s="29">
        <f>COUNTIFS('C216'!$C$129:$F$129,"=0")</f>
        <v>0</v>
      </c>
      <c r="I49" s="29">
        <f>COUNTIFS('C216'!$C$150:$F$150,"=0")</f>
        <v>0</v>
      </c>
      <c r="J49" s="29">
        <f>COUNTIFS('C216'!$C$171:$F$171,"=0")</f>
        <v>0</v>
      </c>
      <c r="K49" s="29">
        <f>COUNTIFS('C216'!$C$192:$F$192,"=0")</f>
        <v>0</v>
      </c>
      <c r="L49" s="29">
        <f>COUNTIFS('C216'!$C$213:$F$213,"=0")</f>
        <v>0</v>
      </c>
      <c r="M49" s="29">
        <f>COUNTIFS('C216'!$C$234:$F$234,"=0")</f>
        <v>0</v>
      </c>
      <c r="N49" s="29">
        <f>COUNTIFS('C216'!$C$255:$F$255,"=0")</f>
        <v>0</v>
      </c>
      <c r="O49" s="29">
        <f>COUNTIFS('C216'!$C$276:$F$276,"=0")</f>
        <v>0</v>
      </c>
      <c r="P49" s="29">
        <f>COUNTIFS('C216'!$C$297:$F$297,"=0")</f>
        <v>0</v>
      </c>
      <c r="Q49" s="29">
        <f>COUNTIFS('C216'!$C$318:$F$318,"=0")</f>
        <v>0</v>
      </c>
      <c r="R49" s="29">
        <f>COUNTIFS('C216'!$C$339:$F$339,"=0")</f>
        <v>0</v>
      </c>
      <c r="S49" s="29">
        <f>COUNTIFS('C216'!$C$360:$F$360,"=0")</f>
        <v>0</v>
      </c>
      <c r="T49" s="29">
        <f>COUNTIFS('C216'!$C$381:$F$381,"=0")</f>
        <v>0</v>
      </c>
      <c r="U49" s="29">
        <f>COUNTIFS('C216'!$C$402:$F$402,"=0")</f>
        <v>0</v>
      </c>
      <c r="V49" s="29">
        <f>COUNTIFS('C216'!$C$423:$F$423,"=0")</f>
        <v>0</v>
      </c>
      <c r="W49" s="29">
        <f>COUNTIFS('C216'!$C$444:$F$444,"=0")</f>
        <v>0</v>
      </c>
      <c r="X49" s="29">
        <f>COUNTIFS('C216'!$C$465:$F$465,"=0")</f>
        <v>0</v>
      </c>
      <c r="Y49" s="29">
        <f>COUNTIFS('C216'!$C$486:$F$486,"=0")</f>
        <v>0</v>
      </c>
      <c r="Z49" s="29">
        <f>COUNTIFS('C216'!$C$507:$F$507,"=0")</f>
        <v>0</v>
      </c>
      <c r="AA49" s="30">
        <f>COUNTIFS('C216'!$C$528:$F$528,"=0")</f>
        <v>0</v>
      </c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3"/>
      <c r="CF49" s="83"/>
      <c r="CG49" s="83"/>
      <c r="CH49" s="83"/>
      <c r="CI49" s="83"/>
      <c r="CJ49" s="83"/>
      <c r="CK49" s="83"/>
      <c r="CL49" s="83"/>
      <c r="CM49" s="83"/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3"/>
      <c r="DF49" s="83"/>
      <c r="DG49" s="83"/>
      <c r="DH49" s="83"/>
      <c r="DI49" s="83"/>
      <c r="DJ49" s="83"/>
      <c r="DK49" s="83"/>
      <c r="DL49" s="83"/>
      <c r="DM49" s="83"/>
      <c r="DN49" s="22"/>
      <c r="DO49" s="22"/>
      <c r="DP49" s="22" t="s">
        <v>1481</v>
      </c>
      <c r="DQ49" s="22"/>
      <c r="DR49" s="23" t="s">
        <v>1421</v>
      </c>
      <c r="DS49" s="22"/>
    </row>
    <row r="50" spans="1:129" x14ac:dyDescent="0.3">
      <c r="A50" s="36" t="s">
        <v>880</v>
      </c>
      <c r="B50" s="53">
        <v>46083</v>
      </c>
      <c r="C50" s="53">
        <v>46084</v>
      </c>
      <c r="D50" s="24">
        <v>46085</v>
      </c>
      <c r="E50" s="24">
        <v>46086</v>
      </c>
      <c r="F50" s="24">
        <v>46087</v>
      </c>
      <c r="G50" s="24">
        <v>46088</v>
      </c>
      <c r="H50" s="24">
        <v>46090</v>
      </c>
      <c r="I50" s="24">
        <v>46091</v>
      </c>
      <c r="J50" s="24">
        <v>46092</v>
      </c>
      <c r="K50" s="24">
        <v>46093</v>
      </c>
      <c r="L50" s="24">
        <v>46094</v>
      </c>
      <c r="M50" s="24">
        <v>46095</v>
      </c>
      <c r="N50" s="24">
        <v>46097</v>
      </c>
      <c r="O50" s="53">
        <v>46098</v>
      </c>
      <c r="P50" s="24">
        <v>46099</v>
      </c>
      <c r="Q50" s="24">
        <v>46100</v>
      </c>
      <c r="R50" s="24">
        <v>46101</v>
      </c>
      <c r="S50" s="24">
        <v>46102</v>
      </c>
      <c r="T50" s="24">
        <v>46104</v>
      </c>
      <c r="U50" s="53">
        <v>46105</v>
      </c>
      <c r="V50" s="24">
        <v>46106</v>
      </c>
      <c r="W50" s="54">
        <v>46107</v>
      </c>
      <c r="X50" s="54">
        <v>46108</v>
      </c>
      <c r="Y50" s="24">
        <v>46109</v>
      </c>
      <c r="Z50" s="24">
        <v>46111</v>
      </c>
      <c r="AA50" s="25">
        <v>46112</v>
      </c>
      <c r="AB50" s="80">
        <v>46113</v>
      </c>
      <c r="AC50" s="80">
        <v>46114</v>
      </c>
      <c r="AD50" s="80">
        <v>46115</v>
      </c>
      <c r="AE50" s="80">
        <v>46116</v>
      </c>
      <c r="AF50" s="80">
        <v>46118</v>
      </c>
      <c r="AG50" s="80">
        <v>46119</v>
      </c>
      <c r="AH50" s="80">
        <v>46120</v>
      </c>
      <c r="AI50" s="80">
        <v>46121</v>
      </c>
      <c r="AJ50" s="80">
        <v>46122</v>
      </c>
      <c r="AK50" s="90">
        <v>46123</v>
      </c>
      <c r="AL50" s="80">
        <v>46125</v>
      </c>
      <c r="AM50" s="90">
        <v>46126</v>
      </c>
      <c r="AN50" s="80">
        <v>46127</v>
      </c>
      <c r="AO50" s="80">
        <v>46128</v>
      </c>
      <c r="AP50" s="90">
        <v>46129</v>
      </c>
      <c r="AQ50" s="80">
        <v>46130</v>
      </c>
      <c r="AR50" s="80">
        <v>46132</v>
      </c>
      <c r="AS50" s="90">
        <v>46133</v>
      </c>
      <c r="AT50" s="80">
        <v>46134</v>
      </c>
      <c r="AU50" s="80">
        <v>46135</v>
      </c>
      <c r="AV50" s="80">
        <v>46136</v>
      </c>
      <c r="AW50" s="80">
        <v>46137</v>
      </c>
      <c r="AX50" s="80">
        <v>46139</v>
      </c>
      <c r="AY50" s="80">
        <v>46140</v>
      </c>
      <c r="AZ50" s="80">
        <v>46141</v>
      </c>
      <c r="BA50" s="80">
        <v>46142</v>
      </c>
      <c r="BB50" s="80">
        <v>46143</v>
      </c>
      <c r="BC50" s="80">
        <v>46146</v>
      </c>
      <c r="BD50" s="80">
        <v>46147</v>
      </c>
      <c r="BE50" s="80">
        <v>46148</v>
      </c>
      <c r="BF50" s="80">
        <v>46149</v>
      </c>
      <c r="BG50" s="137">
        <v>46150</v>
      </c>
      <c r="BH50" s="80">
        <v>46151</v>
      </c>
      <c r="BI50" s="80">
        <v>46153</v>
      </c>
      <c r="BJ50" s="80">
        <v>46154</v>
      </c>
      <c r="BK50" s="80">
        <v>46155</v>
      </c>
      <c r="BL50" s="80">
        <v>46156</v>
      </c>
      <c r="BM50" s="80">
        <v>46157</v>
      </c>
      <c r="BN50" s="80">
        <v>46158</v>
      </c>
      <c r="BO50" s="80">
        <v>46160</v>
      </c>
      <c r="BP50" s="80">
        <v>46161</v>
      </c>
      <c r="BQ50" s="80">
        <v>46162</v>
      </c>
      <c r="BR50" s="80">
        <v>46163</v>
      </c>
      <c r="BS50" s="80">
        <v>46164</v>
      </c>
      <c r="BT50" s="80">
        <v>46165</v>
      </c>
      <c r="BU50" s="80">
        <v>46167</v>
      </c>
      <c r="BV50" s="80">
        <v>46168</v>
      </c>
      <c r="BW50" s="80">
        <v>46169</v>
      </c>
      <c r="BX50" s="80">
        <v>46170</v>
      </c>
      <c r="BY50" s="80">
        <v>46171</v>
      </c>
      <c r="BZ50" s="80">
        <v>46172</v>
      </c>
      <c r="CA50" s="80">
        <v>46173</v>
      </c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22"/>
      <c r="DO50" s="93" t="s">
        <v>1423</v>
      </c>
      <c r="DP50" s="94" t="s">
        <v>1416</v>
      </c>
      <c r="DQ50" s="94" t="s">
        <v>1417</v>
      </c>
      <c r="DR50" s="94" t="s">
        <v>1672</v>
      </c>
      <c r="DS50" s="22"/>
    </row>
    <row r="51" spans="1:129" x14ac:dyDescent="0.3">
      <c r="A51" s="38" t="s">
        <v>873</v>
      </c>
      <c r="B51" s="32">
        <v>3.15E-2</v>
      </c>
      <c r="C51" s="32">
        <v>3.7900000000000003E-2</v>
      </c>
      <c r="D51" s="32">
        <v>3.6999999999999998E-2</v>
      </c>
      <c r="E51" s="32">
        <v>4.9599999999999998E-2</v>
      </c>
      <c r="F51" s="32">
        <v>7.3499999999999996E-2</v>
      </c>
      <c r="G51" s="32">
        <v>6.8000000000000005E-2</v>
      </c>
      <c r="H51" s="32">
        <v>8.0500000000000002E-2</v>
      </c>
      <c r="I51" s="32">
        <v>5.3800000000000001E-2</v>
      </c>
      <c r="J51" s="32">
        <v>1.83E-2</v>
      </c>
      <c r="K51" s="32">
        <v>4.4200000000000003E-2</v>
      </c>
      <c r="L51" s="32">
        <v>2.8299999999999999E-2</v>
      </c>
      <c r="M51" s="32">
        <v>1.9300000000000001E-2</v>
      </c>
      <c r="N51" s="32">
        <v>2.9100000000000001E-2</v>
      </c>
      <c r="O51" s="32">
        <v>6.2700000000000006E-2</v>
      </c>
      <c r="P51" s="28"/>
      <c r="Q51" s="28"/>
      <c r="R51" s="28"/>
      <c r="S51" s="28"/>
      <c r="T51" s="28"/>
      <c r="U51" s="32">
        <v>3.9300000000000002E-2</v>
      </c>
      <c r="V51" s="61" t="s">
        <v>975</v>
      </c>
      <c r="W51" s="61" t="str">
        <f>'C217'!$B341</f>
        <v>6.74%</v>
      </c>
      <c r="X51" s="61" t="s">
        <v>579</v>
      </c>
      <c r="Y51" s="61" t="s">
        <v>662</v>
      </c>
      <c r="Z51" s="28" t="str">
        <f>'C217'!$B404</f>
        <v>6.39%</v>
      </c>
      <c r="AA51" s="31" t="str">
        <f>'C217'!$B425</f>
        <v>6.36%</v>
      </c>
      <c r="AB51" s="81" t="str" cm="1">
        <f t="array" ref="AB51">INDEX('C217'!$I:$I,5+(COLUMN()-28)*21)</f>
        <v>7.59%</v>
      </c>
      <c r="AC51" s="81" t="str" cm="1">
        <f t="array" ref="AC51">INDEX('C217'!$I:$I,5+(COLUMN()-28)*21)</f>
        <v>7.34%</v>
      </c>
      <c r="AD51" s="81" t="str" cm="1">
        <f t="array" ref="AD51">INDEX('C217'!$I:$I,5+(COLUMN()-28)*21)</f>
        <v>10.23%</v>
      </c>
      <c r="AE51" s="87" cm="1">
        <f t="array" ref="AE51">INDEX('C217'!$I:$I,5+(COLUMN()-28)*21)</f>
        <v>0</v>
      </c>
      <c r="AF51" s="81" t="str" cm="1">
        <f t="array" ref="AF51">INDEX('C217'!$I:$I,5+(COLUMN()-28)*21)</f>
        <v>6.87%</v>
      </c>
      <c r="AG51" s="81" t="str" cm="1">
        <f t="array" ref="AG51">INDEX('C217'!$I:$I,5+(COLUMN()-28)*21)</f>
        <v>7.08%</v>
      </c>
      <c r="AH51" s="81" t="str" cm="1">
        <f t="array" ref="AH51">INDEX('C217'!$I:$I,5+(COLUMN()-28)*21)</f>
        <v>6.21%</v>
      </c>
      <c r="AI51" s="81" t="str" cm="1">
        <f t="array" ref="AI51">INDEX('C217'!$I:$I,5+(COLUMN()-28)*21)</f>
        <v>5.62%</v>
      </c>
      <c r="AJ51" s="81" t="str" cm="1">
        <f t="array" ref="AJ51">INDEX('C217'!$I:$I,5+(COLUMN()-28)*21)</f>
        <v>5.97%</v>
      </c>
      <c r="AK51" s="81" t="str" cm="1">
        <f t="array" ref="AK51">INDEX('C217'!$I:$I,5+(COLUMN()-28)*21)</f>
        <v>9.62%</v>
      </c>
      <c r="AL51" s="81" t="str" cm="1">
        <f t="array" ref="AL51">INDEX('C217'!$I:$I,5+(COLUMN()-28)*21)</f>
        <v>7.49%</v>
      </c>
      <c r="AM51" s="81" t="str" cm="1">
        <f t="array" ref="AM51">INDEX('C217'!$I:$I,5+(COLUMN()-28)*21)</f>
        <v>9.64%</v>
      </c>
      <c r="AN51" s="81" t="str" cm="1">
        <f t="array" ref="AN51">INDEX('C217'!$I:$I,5+(COLUMN()-28)*21)</f>
        <v>11.89%</v>
      </c>
      <c r="AO51" s="81" t="str" cm="1">
        <f t="array" ref="AO51">INDEX('C217'!$I:$I,5+(COLUMN()-28)*21)</f>
        <v>10.50%</v>
      </c>
      <c r="AP51" s="81" t="str" cm="1">
        <f t="array" ref="AP51">INDEX('C217'!$I:$I,5+(COLUMN()-28)*21)</f>
        <v>9.57%</v>
      </c>
      <c r="AQ51" s="87" cm="1">
        <f t="array" ref="AQ51">INDEX('C217'!$I:$I,5+(COLUMN()-28)*21)</f>
        <v>0</v>
      </c>
      <c r="AR51" s="87" cm="1">
        <f t="array" ref="AR51">INDEX('C217'!$I:$I,5+(COLUMN()-28)*21)</f>
        <v>0</v>
      </c>
      <c r="AS51" s="81" t="str" cm="1">
        <f t="array" ref="AS51">INDEX('C217'!$I:$I,5+(COLUMN()-28)*21)</f>
        <v>5.58%</v>
      </c>
      <c r="AT51" s="81" t="str" cm="1">
        <f t="array" ref="AT51">INDEX('C217'!$I:$I,5+(COLUMN()-28)*21)</f>
        <v>4.25%</v>
      </c>
      <c r="AU51" s="81" t="str" cm="1">
        <f t="array" ref="AU51">INDEX('C217'!$I:$I,5+(COLUMN()-28)*21)</f>
        <v>3.89%</v>
      </c>
      <c r="AV51" s="87" t="str" cm="1">
        <f t="array" ref="AV51">INDEX('C217'!$I:$I,5+(COLUMN()-28)*21)</f>
        <v>2.39%</v>
      </c>
      <c r="AW51" s="81" t="str" cm="1">
        <f t="array" ref="AW51">INDEX('C217'!$I:$I,5+(COLUMN()-28)*21)</f>
        <v>3.37%</v>
      </c>
      <c r="AX51" s="81" t="str" cm="1">
        <f t="array" ref="AX51">INDEX('C217'!$I:$I,5+(COLUMN()-28)*21)</f>
        <v>2.97%</v>
      </c>
      <c r="AY51" s="81" t="str" cm="1">
        <f t="array" ref="AY51">INDEX('C217'!$I:$I,5+(COLUMN()-28)*21)</f>
        <v>3.94%</v>
      </c>
      <c r="AZ51" s="81" t="str" cm="1">
        <f t="array" ref="AZ51">INDEX('C217'!$I:$I,5+(COLUMN()-28)*21)</f>
        <v>2.86%</v>
      </c>
      <c r="BA51" s="81" t="str" cm="1">
        <f t="array" ref="BA51">INDEX('C217'!$I:$I,5+(COLUMN()-28)*21)</f>
        <v>3.02%</v>
      </c>
      <c r="BB51" s="110" cm="1">
        <f t="array" ref="BB51">_xlfn.NUMBERVALUE(INDEX('C217'!$P:$P,5+(COLUMN()-54)*21))</f>
        <v>0</v>
      </c>
      <c r="BC51" s="110" cm="1">
        <f t="array" ref="BC51">_xlfn.NUMBERVALUE(INDEX('C217'!$P:$P,5+(COLUMN()-54)*21))</f>
        <v>3.2948224219084297E-2</v>
      </c>
      <c r="BD51" s="110" cm="1">
        <f t="array" ref="BD51">_xlfn.NUMBERVALUE(INDEX('C217'!$P:$P,5+(COLUMN()-54)*21))</f>
        <v>2.0899999999999998E-2</v>
      </c>
      <c r="BE51" s="110" cm="1">
        <f t="array" ref="BE51">_xlfn.NUMBERVALUE(INDEX('C217'!$P:$P,5+(COLUMN()-54)*21))</f>
        <v>3.1099999999999999E-2</v>
      </c>
      <c r="BF51" s="110" cm="1">
        <f t="array" ref="BF51">_xlfn.NUMBERVALUE(INDEX('C217'!$P:$P,5+(COLUMN()-54)*21))</f>
        <v>2.2499999999999999E-2</v>
      </c>
      <c r="BG51" s="110" cm="1">
        <f t="array" ref="BG51">_xlfn.NUMBERVALUE(INDEX('C217'!$P:$P,5+(COLUMN()-54)*21))</f>
        <v>2.53E-2</v>
      </c>
      <c r="BH51" s="110" cm="1">
        <f t="array" ref="BH51">_xlfn.NUMBERVALUE(INDEX('C217'!$P:$P,5+(COLUMN()-54)*21))</f>
        <v>0</v>
      </c>
      <c r="BI51" s="110" cm="1">
        <f t="array" ref="BI51">_xlfn.NUMBERVALUE(INDEX('C217'!$P:$P,5+(COLUMN()-54)*21))</f>
        <v>2.1899999999999999E-2</v>
      </c>
      <c r="BJ51" s="110" cm="1">
        <f t="array" ref="BJ51">_xlfn.NUMBERVALUE(INDEX('C217'!$P:$P,5+(COLUMN()-54)*21))</f>
        <v>0.51659999999999995</v>
      </c>
      <c r="BK51" s="110" cm="1">
        <f t="array" ref="BK51">_xlfn.NUMBERVALUE(INDEX('C217'!$P:$P,5+(COLUMN()-54)*21))</f>
        <v>5.6799999999999996E-2</v>
      </c>
      <c r="BL51" s="110" cm="1">
        <f t="array" ref="BL51">_xlfn.NUMBERVALUE(INDEX('C217'!$P:$P,5+(COLUMN()-54)*21))</f>
        <v>2.5699999999999997E-2</v>
      </c>
      <c r="BM51" s="110" cm="1">
        <f t="array" ref="BM51">_xlfn.NUMBERVALUE(INDEX('C217'!$P:$P,5+(COLUMN()-54)*21))</f>
        <v>2.63E-2</v>
      </c>
      <c r="BN51" s="110" cm="1">
        <f t="array" ref="BN51">_xlfn.NUMBERVALUE(INDEX('C217'!$P:$P,5+(COLUMN()-54)*21))</f>
        <v>0</v>
      </c>
      <c r="BO51" s="110" cm="1">
        <f t="array" ref="BO51">_xlfn.NUMBERVALUE(INDEX('C217'!$P:$P,5+(COLUMN()-54)*21))</f>
        <v>7.0999999999999995E-3</v>
      </c>
      <c r="BP51" s="110" cm="1">
        <f t="array" ref="BP51">_xlfn.NUMBERVALUE(INDEX('C217'!$P:$P,5+(COLUMN()-54)*21))</f>
        <v>8.8999999999999999E-3</v>
      </c>
      <c r="BQ51" s="110" cm="1">
        <f t="array" ref="BQ51">_xlfn.NUMBERVALUE(INDEX('C217'!$P:$P,5+(COLUMN()-54)*21))</f>
        <v>4.4000000000000003E-3</v>
      </c>
      <c r="BR51" s="110" cm="1">
        <f t="array" ref="BR51">_xlfn.NUMBERVALUE(INDEX('C217'!$P:$P,5+(COLUMN()-54)*21))</f>
        <v>2.8000000000000004E-3</v>
      </c>
      <c r="BS51" s="110" cm="1">
        <f t="array" ref="BS51">_xlfn.NUMBERVALUE(INDEX('C217'!$P:$P,5+(COLUMN()-54)*21))</f>
        <v>1.8E-3</v>
      </c>
      <c r="BT51" s="110" cm="1">
        <f t="array" ref="BT51">_xlfn.NUMBERVALUE(INDEX('C217'!$P:$P,5+(COLUMN()-54)*21))</f>
        <v>0</v>
      </c>
      <c r="BU51" s="110" cm="1">
        <f t="array" ref="BU51">_xlfn.NUMBERVALUE(INDEX('C217'!$P:$P,5+(COLUMN()-54)*21))</f>
        <v>5.9999999999999995E-4</v>
      </c>
      <c r="BV51" s="110" cm="1">
        <f t="array" ref="BV51">_xlfn.NUMBERVALUE(INDEX('C217'!$P:$P,5+(COLUMN()-54)*21))</f>
        <v>2.3E-3</v>
      </c>
      <c r="BW51" s="110" cm="1">
        <f t="array" ref="BW51">_xlfn.NUMBERVALUE(INDEX('C217'!$P:$P,5+(COLUMN()-54)*21))</f>
        <v>1.5E-3</v>
      </c>
      <c r="BX51" s="110" cm="1">
        <f t="array" ref="BX51">_xlfn.NUMBERVALUE(INDEX('C217'!$P:$P,5+(COLUMN()-54)*21))</f>
        <v>0</v>
      </c>
      <c r="BY51" s="110" cm="1">
        <f t="array" ref="BY51">_xlfn.NUMBERVALUE(INDEX('C217'!$P:$P,5+(COLUMN()-54)*21))</f>
        <v>0</v>
      </c>
      <c r="BZ51" s="110" cm="1">
        <f t="array" ref="BZ51">_xlfn.NUMBERVALUE(INDEX('C217'!$P:$P,5+(COLUMN()-54)*21))</f>
        <v>0</v>
      </c>
      <c r="CA51" s="110" cm="1">
        <f t="array" ref="CA51">_xlfn.NUMBERVALUE(INDEX('C217'!$P:$P,5+(COLUMN()-54)*21))</f>
        <v>0</v>
      </c>
      <c r="CB51" s="110"/>
      <c r="CC51" s="110"/>
      <c r="CD51" s="110"/>
      <c r="CE51" s="110"/>
      <c r="CF51" s="110"/>
      <c r="CG51" s="110"/>
      <c r="CH51" s="110"/>
      <c r="CI51" s="110"/>
      <c r="CJ51" s="110"/>
      <c r="CK51" s="110"/>
      <c r="CL51" s="110"/>
      <c r="CM51" s="110"/>
      <c r="CN51" s="110"/>
      <c r="CO51" s="110"/>
      <c r="CP51" s="110"/>
      <c r="CQ51" s="110"/>
      <c r="CR51" s="110"/>
      <c r="CS51" s="110"/>
      <c r="CT51" s="110"/>
      <c r="CU51" s="110"/>
      <c r="CV51" s="110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22"/>
      <c r="DO51" s="93" t="s">
        <v>1414</v>
      </c>
      <c r="DP51" s="95" cm="1">
        <f t="array" ref="DP51">INDEX('C217'!$I:$I,3+4*21)+INDEX('C217'!$I:$I,3+5*21)+INDEX('C217'!$I:$I,3+6*21)+INDEX('C217'!$I:$I,3+7*21)+INDEX('C217'!$I:$I,3+8*21)+INDEX('C217'!$I:$I,3+9*21)</f>
        <v>17426</v>
      </c>
      <c r="DQ51" s="101" cm="1">
        <f t="array" ref="DQ51">INDEX('C217'!$I:$I,3+10*21)+INDEX('C217'!$I:$I,3+11*21)+INDEX('C217'!$I:$I,3+12*21)+INDEX('C217'!$I:$I,3+13*21)+INDEX('C217'!$I:$I,3+14*21)+INDEX('C217'!$I:$I,3+15*21)</f>
        <v>16925</v>
      </c>
      <c r="DR51" s="101" cm="1">
        <f t="array" ref="DR51">INDEX('C217'!$I:$I,3+16*21)+INDEX('C217'!$I:$I,3+17*21)+INDEX('C217'!$I:$I,3+18*21)+INDEX('C217'!$I:$I,3+19*21)+INDEX('C217'!$I:$I,3+20*21)+INDEX('C217'!$I:$I,3+21*21)</f>
        <v>12761</v>
      </c>
      <c r="DS51" s="22"/>
    </row>
    <row r="52" spans="1:129" x14ac:dyDescent="0.3">
      <c r="A52" s="38" t="s">
        <v>12</v>
      </c>
      <c r="B52" s="32">
        <v>2.9100000000000001E-2</v>
      </c>
      <c r="C52" s="32">
        <v>3.6999999999999998E-2</v>
      </c>
      <c r="D52" s="32">
        <v>3.6499999999999998E-2</v>
      </c>
      <c r="E52" s="32">
        <v>4.9599999999999998E-2</v>
      </c>
      <c r="F52" s="32">
        <v>7.3200000000000001E-2</v>
      </c>
      <c r="G52" s="32">
        <v>6.7400000000000002E-2</v>
      </c>
      <c r="H52" s="32">
        <v>7.8299999999999995E-2</v>
      </c>
      <c r="I52" s="32">
        <v>5.0999999999999997E-2</v>
      </c>
      <c r="J52" s="32">
        <v>1.83E-2</v>
      </c>
      <c r="K52" s="32">
        <v>4.1700000000000001E-2</v>
      </c>
      <c r="L52" s="32">
        <v>2.6100000000000002E-2</v>
      </c>
      <c r="M52" s="32">
        <v>1.84E-2</v>
      </c>
      <c r="N52" s="32">
        <v>2.9100000000000001E-2</v>
      </c>
      <c r="O52" s="32">
        <v>3.8300000000000001E-2</v>
      </c>
      <c r="P52" s="28"/>
      <c r="Q52" s="28"/>
      <c r="R52" s="28"/>
      <c r="S52" s="28"/>
      <c r="T52" s="28"/>
      <c r="U52" s="32">
        <v>3.85E-2</v>
      </c>
      <c r="V52" s="61" t="s">
        <v>968</v>
      </c>
      <c r="W52" s="61" t="str">
        <f>'C217'!$B342</f>
        <v>6.43%</v>
      </c>
      <c r="X52" s="61" t="s">
        <v>415</v>
      </c>
      <c r="Y52" s="61" t="s">
        <v>539</v>
      </c>
      <c r="Z52" s="28" t="str">
        <f>'C217'!$B405</f>
        <v>6.23%</v>
      </c>
      <c r="AA52" s="31" t="str">
        <f>'C217'!$B426</f>
        <v>6.30%</v>
      </c>
      <c r="AB52" s="81" t="str" cm="1">
        <f t="array" ref="AB52">INDEX('C217'!$I:$I,6+(COLUMN()-28)*21)</f>
        <v>7.51%</v>
      </c>
      <c r="AC52" s="81" t="str" cm="1">
        <f t="array" ref="AC52">INDEX('C217'!$I:$I,6+(COLUMN()-28)*21)</f>
        <v>7.09%</v>
      </c>
      <c r="AD52" s="81" t="str" cm="1">
        <f t="array" ref="AD52">INDEX('C217'!$I:$I,6+(COLUMN()-28)*21)</f>
        <v>10.14%</v>
      </c>
      <c r="AE52" s="87" cm="1">
        <f t="array" ref="AE52">INDEX('C217'!$I:$I,6+(COLUMN()-28)*21)</f>
        <v>0</v>
      </c>
      <c r="AF52" s="81" t="str" cm="1">
        <f t="array" ref="AF52">INDEX('C217'!$I:$I,6+(COLUMN()-28)*21)</f>
        <v>6.80%</v>
      </c>
      <c r="AG52" s="81" t="str" cm="1">
        <f t="array" ref="AG52">INDEX('C217'!$I:$I,6+(COLUMN()-28)*21)</f>
        <v>6.96%</v>
      </c>
      <c r="AH52" s="81" t="str" cm="1">
        <f t="array" ref="AH52">INDEX('C217'!$I:$I,6+(COLUMN()-28)*21)</f>
        <v>5.95%</v>
      </c>
      <c r="AI52" s="81" t="str" cm="1">
        <f t="array" ref="AI52">INDEX('C217'!$I:$I,6+(COLUMN()-28)*21)</f>
        <v>5.48%</v>
      </c>
      <c r="AJ52" s="81" t="str" cm="1">
        <f t="array" ref="AJ52">INDEX('C217'!$I:$I,6+(COLUMN()-28)*21)</f>
        <v>5.86%</v>
      </c>
      <c r="AK52" s="81" t="str" cm="1">
        <f t="array" ref="AK52">INDEX('C217'!$I:$I,6+(COLUMN()-28)*21)</f>
        <v>9.62%</v>
      </c>
      <c r="AL52" s="81" t="str" cm="1">
        <f t="array" ref="AL52">INDEX('C217'!$I:$I,6+(COLUMN()-28)*21)</f>
        <v>7.17%</v>
      </c>
      <c r="AM52" s="81" t="str" cm="1">
        <f t="array" ref="AM52">INDEX('C217'!$I:$I,6+(COLUMN()-28)*21)</f>
        <v>9.14%</v>
      </c>
      <c r="AN52" s="81" t="str" cm="1">
        <f t="array" ref="AN52">INDEX('C217'!$I:$I,6+(COLUMN()-28)*21)</f>
        <v>11.85%</v>
      </c>
      <c r="AO52" s="81" t="str" cm="1">
        <f t="array" ref="AO52">INDEX('C217'!$I:$I,6+(COLUMN()-28)*21)</f>
        <v>10.42%</v>
      </c>
      <c r="AP52" s="81" t="str" cm="1">
        <f t="array" ref="AP52">INDEX('C217'!$I:$I,6+(COLUMN()-28)*21)</f>
        <v>9.49%</v>
      </c>
      <c r="AQ52" s="87" cm="1">
        <f t="array" ref="AQ52">INDEX('C217'!$I:$I,6+(COLUMN()-28)*21)</f>
        <v>0</v>
      </c>
      <c r="AR52" s="87" cm="1">
        <f t="array" ref="AR52">INDEX('C217'!$I:$I,6+(COLUMN()-28)*21)</f>
        <v>0</v>
      </c>
      <c r="AS52" s="81" t="str" cm="1">
        <f t="array" ref="AS52">INDEX('C217'!$I:$I,6+(COLUMN()-28)*21)</f>
        <v>4.02%</v>
      </c>
      <c r="AT52" s="81" t="str" cm="1">
        <f t="array" ref="AT52">INDEX('C217'!$I:$I,6+(COLUMN()-28)*21)</f>
        <v>3.83%</v>
      </c>
      <c r="AU52" s="81" t="str" cm="1">
        <f t="array" ref="AU52">INDEX('C217'!$I:$I,6+(COLUMN()-28)*21)</f>
        <v>3.33%</v>
      </c>
      <c r="AV52" s="87" t="str" cm="1">
        <f t="array" ref="AV52">INDEX('C217'!$I:$I,6+(COLUMN()-28)*21)</f>
        <v>2.02%</v>
      </c>
      <c r="AW52" s="81" t="str" cm="1">
        <f t="array" ref="AW52">INDEX('C217'!$I:$I,6+(COLUMN()-28)*21)</f>
        <v>3.07%</v>
      </c>
      <c r="AX52" s="81" t="str" cm="1">
        <f t="array" ref="AX52">INDEX('C217'!$I:$I,6+(COLUMN()-28)*21)</f>
        <v>2.78%</v>
      </c>
      <c r="AY52" s="81" t="str" cm="1">
        <f t="array" ref="AY52">INDEX('C217'!$I:$I,6+(COLUMN()-28)*21)</f>
        <v>3.77%</v>
      </c>
      <c r="AZ52" s="81" t="str" cm="1">
        <f t="array" ref="AZ52">INDEX('C217'!$I:$I,6+(COLUMN()-28)*21)</f>
        <v>2.77%</v>
      </c>
      <c r="BA52" s="81" t="str" cm="1">
        <f t="array" ref="BA52">INDEX('C217'!$I:$I,6+(COLUMN()-28)*21)</f>
        <v>2.93%</v>
      </c>
      <c r="BB52" s="110" cm="1">
        <f t="array" ref="BB52">_xlfn.NUMBERVALUE(INDEX('C217'!$P:$P,6+(COLUMN()-54)*21))</f>
        <v>0</v>
      </c>
      <c r="BC52" s="110" cm="1">
        <f t="array" ref="BC52">_xlfn.NUMBERVALUE(INDEX('C217'!$P:$P,6+(COLUMN()-54)*21))</f>
        <v>3.2092426187419802E-2</v>
      </c>
      <c r="BD52" s="110" cm="1">
        <f t="array" ref="BD52">_xlfn.NUMBERVALUE(INDEX('C217'!$P:$P,6+(COLUMN()-54)*21))</f>
        <v>2.0499999999999997E-2</v>
      </c>
      <c r="BE52" s="110" cm="1">
        <f t="array" ref="BE52">_xlfn.NUMBERVALUE(INDEX('C217'!$P:$P,6+(COLUMN()-54)*21))</f>
        <v>3.0499999999999999E-2</v>
      </c>
      <c r="BF52" s="110" cm="1">
        <f t="array" ref="BF52">_xlfn.NUMBERVALUE(INDEX('C217'!$P:$P,6+(COLUMN()-54)*21))</f>
        <v>2.18E-2</v>
      </c>
      <c r="BG52" s="110" cm="1">
        <f t="array" ref="BG52">_xlfn.NUMBERVALUE(INDEX('C217'!$P:$P,6+(COLUMN()-54)*21))</f>
        <v>2.3300000000000001E-2</v>
      </c>
      <c r="BH52" s="110" cm="1">
        <f t="array" ref="BH52">_xlfn.NUMBERVALUE(INDEX('C217'!$P:$P,6+(COLUMN()-54)*21))</f>
        <v>0</v>
      </c>
      <c r="BI52" s="110" cm="1">
        <f t="array" ref="BI52">_xlfn.NUMBERVALUE(INDEX('C217'!$P:$P,6+(COLUMN()-54)*21))</f>
        <v>1.67E-2</v>
      </c>
      <c r="BJ52" s="110" cm="1">
        <f t="array" ref="BJ52">_xlfn.NUMBERVALUE(INDEX('C217'!$P:$P,6+(COLUMN()-54)*21))</f>
        <v>0.1457</v>
      </c>
      <c r="BK52" s="110" cm="1">
        <f t="array" ref="BK52">_xlfn.NUMBERVALUE(INDEX('C217'!$P:$P,6+(COLUMN()-54)*21))</f>
        <v>4.8600000000000004E-2</v>
      </c>
      <c r="BL52" s="110" cm="1">
        <f t="array" ref="BL52">_xlfn.NUMBERVALUE(INDEX('C217'!$P:$P,6+(COLUMN()-54)*21))</f>
        <v>2.5699999999999997E-2</v>
      </c>
      <c r="BM52" s="110" cm="1">
        <f t="array" ref="BM52">_xlfn.NUMBERVALUE(INDEX('C217'!$P:$P,6+(COLUMN()-54)*21))</f>
        <v>2.63E-2</v>
      </c>
      <c r="BN52" s="110" cm="1">
        <f t="array" ref="BN52">_xlfn.NUMBERVALUE(INDEX('C217'!$P:$P,6+(COLUMN()-54)*21))</f>
        <v>0</v>
      </c>
      <c r="BO52" s="110" cm="1">
        <f t="array" ref="BO52">_xlfn.NUMBERVALUE(INDEX('C217'!$P:$P,6+(COLUMN()-54)*21))</f>
        <v>6.5000000000000006E-3</v>
      </c>
      <c r="BP52" s="110" cm="1">
        <f t="array" ref="BP52">_xlfn.NUMBERVALUE(INDEX('C217'!$P:$P,6+(COLUMN()-54)*21))</f>
        <v>8.8999999999999999E-3</v>
      </c>
      <c r="BQ52" s="110" cm="1">
        <f t="array" ref="BQ52">_xlfn.NUMBERVALUE(INDEX('C217'!$P:$P,6+(COLUMN()-54)*21))</f>
        <v>4.4000000000000003E-3</v>
      </c>
      <c r="BR52" s="110" cm="1">
        <f t="array" ref="BR52">_xlfn.NUMBERVALUE(INDEX('C217'!$P:$P,6+(COLUMN()-54)*21))</f>
        <v>2.8000000000000004E-3</v>
      </c>
      <c r="BS52" s="110" cm="1">
        <f t="array" ref="BS52">_xlfn.NUMBERVALUE(INDEX('C217'!$P:$P,6+(COLUMN()-54)*21))</f>
        <v>1.8E-3</v>
      </c>
      <c r="BT52" s="110" cm="1">
        <f t="array" ref="BT52">_xlfn.NUMBERVALUE(INDEX('C217'!$P:$P,6+(COLUMN()-54)*21))</f>
        <v>0</v>
      </c>
      <c r="BU52" s="110" cm="1">
        <f t="array" ref="BU52">_xlfn.NUMBERVALUE(INDEX('C217'!$P:$P,6+(COLUMN()-54)*21))</f>
        <v>5.9999999999999995E-4</v>
      </c>
      <c r="BV52" s="110" cm="1">
        <f t="array" ref="BV52">_xlfn.NUMBERVALUE(INDEX('C217'!$P:$P,6+(COLUMN()-54)*21))</f>
        <v>2.3E-3</v>
      </c>
      <c r="BW52" s="110" cm="1">
        <f t="array" ref="BW52">_xlfn.NUMBERVALUE(INDEX('C217'!$P:$P,6+(COLUMN()-54)*21))</f>
        <v>1.5E-3</v>
      </c>
      <c r="BX52" s="110" cm="1">
        <f t="array" ref="BX52">_xlfn.NUMBERVALUE(INDEX('C217'!$P:$P,6+(COLUMN()-54)*21))</f>
        <v>0</v>
      </c>
      <c r="BY52" s="110" cm="1">
        <f t="array" ref="BY52">_xlfn.NUMBERVALUE(INDEX('C217'!$P:$P,6+(COLUMN()-54)*21))</f>
        <v>0</v>
      </c>
      <c r="BZ52" s="110" cm="1">
        <f t="array" ref="BZ52">_xlfn.NUMBERVALUE(INDEX('C217'!$P:$P,6+(COLUMN()-54)*21))</f>
        <v>0</v>
      </c>
      <c r="CA52" s="110" cm="1">
        <f t="array" ref="CA52">_xlfn.NUMBERVALUE(INDEX('C217'!$P:$P,6+(COLUMN()-54)*21))</f>
        <v>0</v>
      </c>
      <c r="CB52" s="110"/>
      <c r="CC52" s="110"/>
      <c r="CD52" s="110"/>
      <c r="CE52" s="110"/>
      <c r="CF52" s="110"/>
      <c r="CG52" s="110"/>
      <c r="CH52" s="110"/>
      <c r="CI52" s="110"/>
      <c r="CJ52" s="110"/>
      <c r="CK52" s="110"/>
      <c r="CL52" s="110"/>
      <c r="CM52" s="110"/>
      <c r="CN52" s="110"/>
      <c r="CO52" s="110"/>
      <c r="CP52" s="110"/>
      <c r="CQ52" s="110"/>
      <c r="CR52" s="110"/>
      <c r="CS52" s="110"/>
      <c r="CT52" s="110"/>
      <c r="CU52" s="110"/>
      <c r="CV52" s="110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22"/>
      <c r="DO52" s="93" t="s">
        <v>1418</v>
      </c>
      <c r="DP52" s="96" cm="1">
        <f t="array" ref="DP52">INDEX('C217'!$I:$I,9+4*21)+INDEX('C217'!$I:$I,9+5*21)+INDEX('C217'!$I:$I,9+6*21)+INDEX('C217'!$I:$I,9+7*21)+INDEX('C217'!$I:$I,9+8*21)+INDEX('C217'!$I:$I,9+9*21)</f>
        <v>1102</v>
      </c>
      <c r="DQ52" s="74" cm="1">
        <f t="array" ref="DQ52">INDEX('C217'!$I:$I,9+10*21)+INDEX('C217'!$I:$I,9+11*21)+INDEX('C217'!$I:$I,9+12*21)+INDEX('C217'!$I:$I,9+13*21)+INDEX('C217'!$I:$I,9+14*21)+INDEX('C217'!$I:$I,9+15*21)</f>
        <v>1601</v>
      </c>
      <c r="DR52" s="74" cm="1">
        <f t="array" ref="DR52">INDEX('C217'!$I:$I,9+16*21)+INDEX('C217'!$I:$I,9+17*21)+INDEX('C217'!$I:$I,9+18*21)+INDEX('C217'!$I:$I,9+19*21)+INDEX('C217'!$I:$I,9+20*21)+INDEX('C217'!$I:$I,9+21*21)</f>
        <v>403</v>
      </c>
      <c r="DS52" s="22"/>
    </row>
    <row r="53" spans="1:129" x14ac:dyDescent="0.3">
      <c r="A53" s="38" t="s">
        <v>17</v>
      </c>
      <c r="B53" s="32">
        <v>3.0999999999999999E-3</v>
      </c>
      <c r="C53" s="32">
        <v>3.2000000000000002E-3</v>
      </c>
      <c r="D53" s="32">
        <v>1.1000000000000001E-3</v>
      </c>
      <c r="E53" s="32">
        <v>4.0000000000000002E-4</v>
      </c>
      <c r="F53" s="32">
        <v>5.0000000000000001E-4</v>
      </c>
      <c r="G53" s="32">
        <v>2.0999999999999999E-3</v>
      </c>
      <c r="H53" s="32">
        <v>1.9699999999999999E-2</v>
      </c>
      <c r="I53" s="32">
        <v>9.7000000000000003E-3</v>
      </c>
      <c r="J53" s="32">
        <v>8.0000000000000004E-4</v>
      </c>
      <c r="K53" s="32">
        <v>4.0000000000000001E-3</v>
      </c>
      <c r="L53" s="32">
        <v>2.8999999999999998E-3</v>
      </c>
      <c r="M53" s="32">
        <v>2.3999999999999998E-3</v>
      </c>
      <c r="N53" s="32">
        <v>5.0000000000000001E-4</v>
      </c>
      <c r="O53" s="32">
        <v>0</v>
      </c>
      <c r="P53" s="28"/>
      <c r="Q53" s="28"/>
      <c r="R53" s="28"/>
      <c r="S53" s="28"/>
      <c r="T53" s="28"/>
      <c r="U53" s="32">
        <v>5.0000000000000001E-3</v>
      </c>
      <c r="V53" s="61" t="s">
        <v>88</v>
      </c>
      <c r="W53" s="61" t="str">
        <f>'C217'!$B343</f>
        <v>0.95%</v>
      </c>
      <c r="X53" s="61" t="s">
        <v>467</v>
      </c>
      <c r="Y53" s="61" t="s">
        <v>99</v>
      </c>
      <c r="Z53" s="28" t="str">
        <f>'C217'!$B406</f>
        <v>0.77%</v>
      </c>
      <c r="AA53" s="31" t="str">
        <f>'C217'!$B427</f>
        <v>0.42%</v>
      </c>
      <c r="AB53" s="81" t="str" cm="1">
        <f t="array" ref="AB53">INDEX('C217'!$I:$I,7+(COLUMN()-28)*21)</f>
        <v>0.48%</v>
      </c>
      <c r="AC53" s="81" t="str" cm="1">
        <f t="array" ref="AC53">INDEX('C217'!$I:$I,7+(COLUMN()-28)*21)</f>
        <v>0.42%</v>
      </c>
      <c r="AD53" s="81" t="str" cm="1">
        <f t="array" ref="AD53">INDEX('C217'!$I:$I,7+(COLUMN()-28)*21)</f>
        <v>0.35%</v>
      </c>
      <c r="AE53" s="81" t="str" cm="1">
        <f t="array" ref="AE53">INDEX('C217'!$I:$I,7+(COLUMN()-28)*21)</f>
        <v>0.00%</v>
      </c>
      <c r="AF53" s="81" t="str" cm="1">
        <f t="array" ref="AF53">INDEX('C217'!$I:$I,7+(COLUMN()-28)*21)</f>
        <v>0.44%</v>
      </c>
      <c r="AG53" s="81" t="str" cm="1">
        <f t="array" ref="AG53">INDEX('C217'!$I:$I,7+(COLUMN()-28)*21)</f>
        <v>0.41%</v>
      </c>
      <c r="AH53" s="81" t="str" cm="1">
        <f t="array" ref="AH53">INDEX('C217'!$I:$I,7+(COLUMN()-28)*21)</f>
        <v>0.67%</v>
      </c>
      <c r="AI53" s="81" t="str" cm="1">
        <f t="array" ref="AI53">INDEX('C217'!$I:$I,7+(COLUMN()-28)*21)</f>
        <v>0.25%</v>
      </c>
      <c r="AJ53" s="81" t="str" cm="1">
        <f t="array" ref="AJ53">INDEX('C217'!$I:$I,7+(COLUMN()-28)*21)</f>
        <v>0.27%</v>
      </c>
      <c r="AK53" s="81" t="str" cm="1">
        <f t="array" ref="AK53">INDEX('C217'!$I:$I,7+(COLUMN()-28)*21)</f>
        <v>0.62%</v>
      </c>
      <c r="AL53" s="81" t="str" cm="1">
        <f t="array" ref="AL53">INDEX('C217'!$I:$I,7+(COLUMN()-28)*21)</f>
        <v>0.51%</v>
      </c>
      <c r="AM53" s="81" t="str" cm="1">
        <f t="array" ref="AM53">INDEX('C217'!$I:$I,7+(COLUMN()-28)*21)</f>
        <v>0.36%</v>
      </c>
      <c r="AN53" s="81" t="str" cm="1">
        <f t="array" ref="AN53">INDEX('C217'!$I:$I,7+(COLUMN()-28)*21)</f>
        <v>0.04%</v>
      </c>
      <c r="AO53" s="81" t="str" cm="1">
        <f t="array" ref="AO53">INDEX('C217'!$I:$I,7+(COLUMN()-28)*21)</f>
        <v>0.11%</v>
      </c>
      <c r="AP53" s="81" t="str" cm="1">
        <f t="array" ref="AP53">INDEX('C217'!$I:$I,7+(COLUMN()-28)*21)</f>
        <v>0.09%</v>
      </c>
      <c r="AQ53" s="81" t="str" cm="1">
        <f t="array" ref="AQ53">INDEX('C217'!$I:$I,7+(COLUMN()-28)*21)</f>
        <v>0.00%</v>
      </c>
      <c r="AR53" s="81" t="str" cm="1">
        <f t="array" ref="AR53">INDEX('C217'!$I:$I,7+(COLUMN()-28)*21)</f>
        <v>0.00%</v>
      </c>
      <c r="AS53" s="81" t="str" cm="1">
        <f t="array" ref="AS53">INDEX('C217'!$I:$I,7+(COLUMN()-28)*21)</f>
        <v>1.56%</v>
      </c>
      <c r="AT53" s="81" t="str" cm="1">
        <f t="array" ref="AT53">INDEX('C217'!$I:$I,7+(COLUMN()-28)*21)</f>
        <v>0.42%</v>
      </c>
      <c r="AU53" s="81" t="str" cm="1">
        <f t="array" ref="AU53">INDEX('C217'!$I:$I,7+(COLUMN()-28)*21)</f>
        <v>0.56%</v>
      </c>
      <c r="AV53" s="87" t="str" cm="1">
        <f t="array" ref="AV53">INDEX('C217'!$I:$I,7+(COLUMN()-28)*21)</f>
        <v>0.33%</v>
      </c>
      <c r="AW53" s="81" t="str" cm="1">
        <f t="array" ref="AW53">INDEX('C217'!$I:$I,7+(COLUMN()-28)*21)</f>
        <v>0.30%</v>
      </c>
      <c r="AX53" s="81" t="str" cm="1">
        <f t="array" ref="AX53">INDEX('C217'!$I:$I,7+(COLUMN()-28)*21)</f>
        <v>0.18%</v>
      </c>
      <c r="AY53" s="81" t="str" cm="1">
        <f t="array" ref="AY53">INDEX('C217'!$I:$I,7+(COLUMN()-28)*21)</f>
        <v>0.17%</v>
      </c>
      <c r="AZ53" s="81" t="str" cm="1">
        <f t="array" ref="AZ53">INDEX('C217'!$I:$I,7+(COLUMN()-28)*21)</f>
        <v>0.09%</v>
      </c>
      <c r="BA53" s="81" t="str" cm="1">
        <f t="array" ref="BA53">INDEX('C217'!$I:$I,7+(COLUMN()-28)*21)</f>
        <v>0.09%</v>
      </c>
      <c r="BB53" s="110" cm="1">
        <f t="array" ref="BB53">_xlfn.NUMBERVALUE(INDEX('C217'!$P:$P,7+(COLUMN()-54)*21))</f>
        <v>0</v>
      </c>
      <c r="BC53" s="110" cm="1">
        <f t="array" ref="BC53">_xlfn.NUMBERVALUE(INDEX('C217'!$P:$P,7+(COLUMN()-54)*21))</f>
        <v>8.5579803166452697E-4</v>
      </c>
      <c r="BD53" s="110" cm="1">
        <f t="array" ref="BD53">_xlfn.NUMBERVALUE(INDEX('C217'!$P:$P,7+(COLUMN()-54)*21))</f>
        <v>4.0000000000000002E-4</v>
      </c>
      <c r="BE53" s="110" cm="1">
        <f t="array" ref="BE53">_xlfn.NUMBERVALUE(INDEX('C217'!$P:$P,7+(COLUMN()-54)*21))</f>
        <v>5.9999999999999995E-4</v>
      </c>
      <c r="BF53" s="110" cm="1">
        <f t="array" ref="BF53">_xlfn.NUMBERVALUE(INDEX('C217'!$P:$P,7+(COLUMN()-54)*21))</f>
        <v>5.9999999999999995E-4</v>
      </c>
      <c r="BG53" s="110" cm="1">
        <f t="array" ref="BG53">_xlfn.NUMBERVALUE(INDEX('C217'!$P:$P,7+(COLUMN()-54)*21))</f>
        <v>2E-3</v>
      </c>
      <c r="BH53" s="110" cm="1">
        <f t="array" ref="BH53">_xlfn.NUMBERVALUE(INDEX('C217'!$P:$P,7+(COLUMN()-54)*21))</f>
        <v>0</v>
      </c>
      <c r="BI53" s="110" cm="1">
        <f t="array" ref="BI53">_xlfn.NUMBERVALUE(INDEX('C217'!$P:$P,7+(COLUMN()-54)*21))</f>
        <v>4.8999999999999998E-3</v>
      </c>
      <c r="BJ53" s="110" cm="1">
        <f t="array" ref="BJ53">_xlfn.NUMBERVALUE(INDEX('C217'!$P:$P,7+(COLUMN()-54)*21))</f>
        <v>0.27810000000000001</v>
      </c>
      <c r="BK53" s="110" cm="1">
        <f t="array" ref="BK53">_xlfn.NUMBERVALUE(INDEX('C217'!$P:$P,7+(COLUMN()-54)*21))</f>
        <v>8.1000000000000013E-3</v>
      </c>
      <c r="BL53" s="110" cm="1">
        <f t="array" ref="BL53">_xlfn.NUMBERVALUE(INDEX('C217'!$P:$P,7+(COLUMN()-54)*21))</f>
        <v>0</v>
      </c>
      <c r="BM53" s="110" cm="1">
        <f t="array" ref="BM53">_xlfn.NUMBERVALUE(INDEX('C217'!$P:$P,7+(COLUMN()-54)*21))</f>
        <v>7.4000000000000003E-3</v>
      </c>
      <c r="BN53" s="110" cm="1">
        <f t="array" ref="BN53">_xlfn.NUMBERVALUE(INDEX('C217'!$P:$P,7+(COLUMN()-54)*21))</f>
        <v>0</v>
      </c>
      <c r="BO53" s="110" cm="1">
        <f t="array" ref="BO53">_xlfn.NUMBERVALUE(INDEX('C217'!$P:$P,7+(COLUMN()-54)*21))</f>
        <v>5.9999999999999995E-4</v>
      </c>
      <c r="BP53" s="110" cm="1">
        <f t="array" ref="BP53">_xlfn.NUMBERVALUE(INDEX('C217'!$P:$P,7+(COLUMN()-54)*21))</f>
        <v>0</v>
      </c>
      <c r="BQ53" s="110" cm="1">
        <f t="array" ref="BQ53">_xlfn.NUMBERVALUE(INDEX('C217'!$P:$P,7+(COLUMN()-54)*21))</f>
        <v>0</v>
      </c>
      <c r="BR53" s="110" cm="1">
        <f t="array" ref="BR53">_xlfn.NUMBERVALUE(INDEX('C217'!$P:$P,7+(COLUMN()-54)*21))</f>
        <v>0</v>
      </c>
      <c r="BS53" s="110" cm="1">
        <f t="array" ref="BS53">_xlfn.NUMBERVALUE(INDEX('C217'!$P:$P,7+(COLUMN()-54)*21))</f>
        <v>0</v>
      </c>
      <c r="BT53" s="110" cm="1">
        <f t="array" ref="BT53">_xlfn.NUMBERVALUE(INDEX('C217'!$P:$P,7+(COLUMN()-54)*21))</f>
        <v>0</v>
      </c>
      <c r="BU53" s="110" cm="1">
        <f t="array" ref="BU53">_xlfn.NUMBERVALUE(INDEX('C217'!$P:$P,7+(COLUMN()-54)*21))</f>
        <v>0</v>
      </c>
      <c r="BV53" s="110" cm="1">
        <f t="array" ref="BV53">_xlfn.NUMBERVALUE(INDEX('C217'!$P:$P,7+(COLUMN()-54)*21))</f>
        <v>0</v>
      </c>
      <c r="BW53" s="110" cm="1">
        <f t="array" ref="BW53">_xlfn.NUMBERVALUE(INDEX('C217'!$P:$P,7+(COLUMN()-54)*21))</f>
        <v>0</v>
      </c>
      <c r="BX53" s="110" cm="1">
        <f t="array" ref="BX53">_xlfn.NUMBERVALUE(INDEX('C217'!$P:$P,7+(COLUMN()-54)*21))</f>
        <v>0</v>
      </c>
      <c r="BY53" s="110" cm="1">
        <f t="array" ref="BY53">_xlfn.NUMBERVALUE(INDEX('C217'!$P:$P,7+(COLUMN()-54)*21))</f>
        <v>0</v>
      </c>
      <c r="BZ53" s="110" cm="1">
        <f t="array" ref="BZ53">_xlfn.NUMBERVALUE(INDEX('C217'!$P:$P,7+(COLUMN()-54)*21))</f>
        <v>0</v>
      </c>
      <c r="CA53" s="110" cm="1">
        <f t="array" ref="CA53">_xlfn.NUMBERVALUE(INDEX('C217'!$P:$P,7+(COLUMN()-54)*21))</f>
        <v>0</v>
      </c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22"/>
      <c r="DO53" s="93" t="s">
        <v>1419</v>
      </c>
      <c r="DP53" s="96" cm="1">
        <f t="array" ref="DP53">INDEX('C217'!$I:$I,15+4*21)+INDEX('C217'!$I:$I,15+5*21)+INDEX('C217'!$I:$I,15+6*21)+INDEX('C217'!$I:$I,15+7*21)+INDEX('C217'!$I:$I,15+8*21)+INDEX('C217'!$I:$I,15+9*21)</f>
        <v>72</v>
      </c>
      <c r="DQ53" s="74" cm="1">
        <f t="array" ref="DQ53">INDEX('C217'!$I:$I,15+10*21)+INDEX('C217'!$I:$I,15+11*21)+INDEX('C217'!$I:$I,15+12*21)+INDEX('C217'!$I:$I,15+13*21)+INDEX('C217'!$I:$I,15+14*21)+INDEX('C217'!$I:$I,15+15*21)</f>
        <v>40</v>
      </c>
      <c r="DR53" s="74" cm="1">
        <f t="array" ref="DR53">INDEX('C217'!$I:$I,15+16*21)+INDEX('C217'!$I:$I,15+17*21)+INDEX('C217'!$I:$I,15+18*21)+INDEX('C217'!$I:$I,15+19*21)+INDEX('C217'!$I:$I,15+20*21)+INDEX('C217'!$I:$I,15+21*21)</f>
        <v>68</v>
      </c>
      <c r="DS53" s="22"/>
    </row>
    <row r="54" spans="1:129" x14ac:dyDescent="0.3">
      <c r="A54" s="38" t="s">
        <v>22</v>
      </c>
      <c r="B54" s="32">
        <v>2.0999999999999999E-3</v>
      </c>
      <c r="C54" s="32">
        <v>0</v>
      </c>
      <c r="D54" s="32">
        <v>0</v>
      </c>
      <c r="E54" s="32">
        <v>1E-4</v>
      </c>
      <c r="F54" s="32">
        <v>0</v>
      </c>
      <c r="G54" s="32">
        <v>0</v>
      </c>
      <c r="H54" s="32">
        <v>5.9999999999999995E-4</v>
      </c>
      <c r="I54" s="32">
        <v>0</v>
      </c>
      <c r="J54" s="32">
        <v>0</v>
      </c>
      <c r="K54" s="32">
        <v>0</v>
      </c>
      <c r="L54" s="32">
        <v>2.9999999999999997E-4</v>
      </c>
      <c r="M54" s="32">
        <v>0</v>
      </c>
      <c r="N54" s="32">
        <v>0</v>
      </c>
      <c r="O54" s="32">
        <v>0</v>
      </c>
      <c r="P54" s="28"/>
      <c r="Q54" s="28"/>
      <c r="R54" s="28"/>
      <c r="S54" s="28"/>
      <c r="T54" s="28"/>
      <c r="U54" s="32">
        <v>0</v>
      </c>
      <c r="V54" s="61" t="s">
        <v>25</v>
      </c>
      <c r="W54" s="61" t="str">
        <f>'C217'!$B344</f>
        <v>0.00%</v>
      </c>
      <c r="X54" s="61" t="s">
        <v>552</v>
      </c>
      <c r="Y54" s="61" t="s">
        <v>25</v>
      </c>
      <c r="Z54" s="28" t="str">
        <f>'C217'!$B407</f>
        <v>0.00%</v>
      </c>
      <c r="AA54" s="31" t="str">
        <f>'C217'!$B428</f>
        <v>0.02%</v>
      </c>
      <c r="AB54" s="81" t="str" cm="1">
        <f t="array" ref="AB54">INDEX('C217'!$I:$I,8+(COLUMN()-28)*21)</f>
        <v>0.07%</v>
      </c>
      <c r="AC54" s="81" t="str" cm="1">
        <f t="array" ref="AC54">INDEX('C217'!$I:$I,8+(COLUMN()-28)*21)</f>
        <v>0.00%</v>
      </c>
      <c r="AD54" s="81" t="str" cm="1">
        <f t="array" ref="AD54">INDEX('C217'!$I:$I,8+(COLUMN()-28)*21)</f>
        <v>0.03%</v>
      </c>
      <c r="AE54" s="81" t="str" cm="1">
        <f t="array" ref="AE54">INDEX('C217'!$I:$I,8+(COLUMN()-28)*21)</f>
        <v>0.00%</v>
      </c>
      <c r="AF54" s="81" t="str" cm="1">
        <f t="array" ref="AF54">INDEX('C217'!$I:$I,8+(COLUMN()-28)*21)</f>
        <v>0.04%</v>
      </c>
      <c r="AG54" s="81" t="str" cm="1">
        <f t="array" ref="AG54">INDEX('C217'!$I:$I,8+(COLUMN()-28)*21)</f>
        <v>0.00%</v>
      </c>
      <c r="AH54" s="81" t="str" cm="1">
        <f t="array" ref="AH54">INDEX('C217'!$I:$I,8+(COLUMN()-28)*21)</f>
        <v>0.00%</v>
      </c>
      <c r="AI54" s="81" t="str" cm="1">
        <f t="array" ref="AI54">INDEX('C217'!$I:$I,8+(COLUMN()-28)*21)</f>
        <v>0.00%</v>
      </c>
      <c r="AJ54" s="81" t="str" cm="1">
        <f t="array" ref="AJ54">INDEX('C217'!$I:$I,8+(COLUMN()-28)*21)</f>
        <v>0.00%</v>
      </c>
      <c r="AK54" s="81" t="str" cm="1">
        <f t="array" ref="AK54">INDEX('C217'!$I:$I,8+(COLUMN()-28)*21)</f>
        <v>0.00%</v>
      </c>
      <c r="AL54" s="81" t="str" cm="1">
        <f t="array" ref="AL54">INDEX('C217'!$I:$I,8+(COLUMN()-28)*21)</f>
        <v>0.00%</v>
      </c>
      <c r="AM54" s="81" t="str" cm="1">
        <f t="array" ref="AM54">INDEX('C217'!$I:$I,8+(COLUMN()-28)*21)</f>
        <v>0.00%</v>
      </c>
      <c r="AN54" s="81" t="str" cm="1">
        <f t="array" ref="AN54">INDEX('C217'!$I:$I,8+(COLUMN()-28)*21)</f>
        <v>0.00%</v>
      </c>
      <c r="AO54" s="81" t="str" cm="1">
        <f t="array" ref="AO54">INDEX('C217'!$I:$I,8+(COLUMN()-28)*21)</f>
        <v>0.06%</v>
      </c>
      <c r="AP54" s="81" t="str" cm="1">
        <f t="array" ref="AP54">INDEX('C217'!$I:$I,8+(COLUMN()-28)*21)</f>
        <v>0.00%</v>
      </c>
      <c r="AQ54" s="81" t="str" cm="1">
        <f t="array" ref="AQ54">INDEX('C217'!$I:$I,8+(COLUMN()-28)*21)</f>
        <v>0.00%</v>
      </c>
      <c r="AR54" s="81" t="str" cm="1">
        <f t="array" ref="AR54">INDEX('C217'!$I:$I,8+(COLUMN()-28)*21)</f>
        <v>0.00%</v>
      </c>
      <c r="AS54" s="81" t="str" cm="1">
        <f t="array" ref="AS54">INDEX('C217'!$I:$I,8+(COLUMN()-28)*21)</f>
        <v>0.15%</v>
      </c>
      <c r="AT54" s="81" t="str" cm="1">
        <f t="array" ref="AT54">INDEX('C217'!$I:$I,8+(COLUMN()-28)*21)</f>
        <v>0.04%</v>
      </c>
      <c r="AU54" s="81" t="str" cm="1">
        <f t="array" ref="AU54">INDEX('C217'!$I:$I,8+(COLUMN()-28)*21)</f>
        <v>0.03%</v>
      </c>
      <c r="AV54" s="87" t="str" cm="1">
        <f t="array" ref="AV54">INDEX('C217'!$I:$I,8+(COLUMN()-28)*21)</f>
        <v>0.13%</v>
      </c>
      <c r="AW54" s="81" t="str" cm="1">
        <f t="array" ref="AW54">INDEX('C217'!$I:$I,8+(COLUMN()-28)*21)</f>
        <v>0.09%</v>
      </c>
      <c r="AX54" s="81" t="str" cm="1">
        <f t="array" ref="AX54">INDEX('C217'!$I:$I,8+(COLUMN()-28)*21)</f>
        <v>0.09%</v>
      </c>
      <c r="AY54" s="81" t="str" cm="1">
        <f t="array" ref="AY54">INDEX('C217'!$I:$I,8+(COLUMN()-28)*21)</f>
        <v>0.03%</v>
      </c>
      <c r="AZ54" s="81" t="str" cm="1">
        <f t="array" ref="AZ54">INDEX('C217'!$I:$I,8+(COLUMN()-28)*21)</f>
        <v>0.00%</v>
      </c>
      <c r="BA54" s="81" t="str" cm="1">
        <f t="array" ref="BA54">INDEX('C217'!$I:$I,8+(COLUMN()-28)*21)</f>
        <v>0.00%</v>
      </c>
      <c r="BB54" s="110" cm="1">
        <f t="array" ref="BB54">_xlfn.NUMBERVALUE(INDEX('C217'!$P:$P,8+(COLUMN()-54)*21))</f>
        <v>0</v>
      </c>
      <c r="BC54" s="110" cm="1">
        <f t="array" ref="BC54">_xlfn.NUMBERVALUE(INDEX('C217'!$P:$P,8+(COLUMN()-54)*21))</f>
        <v>0</v>
      </c>
      <c r="BD54" s="110" cm="1">
        <f t="array" ref="BD54">_xlfn.NUMBERVALUE(INDEX('C217'!$P:$P,8+(COLUMN()-54)*21))</f>
        <v>0</v>
      </c>
      <c r="BE54" s="110" cm="1">
        <f t="array" ref="BE54">_xlfn.NUMBERVALUE(INDEX('C217'!$P:$P,8+(COLUMN()-54)*21))</f>
        <v>0</v>
      </c>
      <c r="BF54" s="110" cm="1">
        <f t="array" ref="BF54">_xlfn.NUMBERVALUE(INDEX('C217'!$P:$P,8+(COLUMN()-54)*21))</f>
        <v>0</v>
      </c>
      <c r="BG54" s="110" cm="1">
        <f t="array" ref="BG54">_xlfn.NUMBERVALUE(INDEX('C217'!$P:$P,8+(COLUMN()-54)*21))</f>
        <v>0</v>
      </c>
      <c r="BH54" s="110" cm="1">
        <f t="array" ref="BH54">_xlfn.NUMBERVALUE(INDEX('C217'!$P:$P,8+(COLUMN()-54)*21))</f>
        <v>0</v>
      </c>
      <c r="BI54" s="110" cm="1">
        <f t="array" ref="BI54">_xlfn.NUMBERVALUE(INDEX('C217'!$P:$P,8+(COLUMN()-54)*21))</f>
        <v>4.0000000000000002E-4</v>
      </c>
      <c r="BJ54" s="110" cm="1">
        <f t="array" ref="BJ54">_xlfn.NUMBERVALUE(INDEX('C217'!$P:$P,8+(COLUMN()-54)*21))</f>
        <v>0</v>
      </c>
      <c r="BK54" s="110" cm="1">
        <f t="array" ref="BK54">_xlfn.NUMBERVALUE(INDEX('C217'!$P:$P,8+(COLUMN()-54)*21))</f>
        <v>0</v>
      </c>
      <c r="BL54" s="110" cm="1">
        <f t="array" ref="BL54">_xlfn.NUMBERVALUE(INDEX('C217'!$P:$P,8+(COLUMN()-54)*21))</f>
        <v>0</v>
      </c>
      <c r="BM54" s="110" cm="1">
        <f t="array" ref="BM54">_xlfn.NUMBERVALUE(INDEX('C217'!$P:$P,8+(COLUMN()-54)*21))</f>
        <v>0</v>
      </c>
      <c r="BN54" s="110" cm="1">
        <f t="array" ref="BN54">_xlfn.NUMBERVALUE(INDEX('C217'!$P:$P,8+(COLUMN()-54)*21))</f>
        <v>0</v>
      </c>
      <c r="BO54" s="110" cm="1">
        <f t="array" ref="BO54">_xlfn.NUMBERVALUE(INDEX('C217'!$P:$P,8+(COLUMN()-54)*21))</f>
        <v>5.9999999999999995E-4</v>
      </c>
      <c r="BP54" s="110" cm="1">
        <f t="array" ref="BP54">_xlfn.NUMBERVALUE(INDEX('C217'!$P:$P,8+(COLUMN()-54)*21))</f>
        <v>0</v>
      </c>
      <c r="BQ54" s="110" cm="1">
        <f t="array" ref="BQ54">_xlfn.NUMBERVALUE(INDEX('C217'!$P:$P,8+(COLUMN()-54)*21))</f>
        <v>0</v>
      </c>
      <c r="BR54" s="110" cm="1">
        <f t="array" ref="BR54">_xlfn.NUMBERVALUE(INDEX('C217'!$P:$P,8+(COLUMN()-54)*21))</f>
        <v>0</v>
      </c>
      <c r="BS54" s="110" cm="1">
        <f t="array" ref="BS54">_xlfn.NUMBERVALUE(INDEX('C217'!$P:$P,8+(COLUMN()-54)*21))</f>
        <v>0</v>
      </c>
      <c r="BT54" s="110" cm="1">
        <f t="array" ref="BT54">_xlfn.NUMBERVALUE(INDEX('C217'!$P:$P,8+(COLUMN()-54)*21))</f>
        <v>0</v>
      </c>
      <c r="BU54" s="110" cm="1">
        <f t="array" ref="BU54">_xlfn.NUMBERVALUE(INDEX('C217'!$P:$P,8+(COLUMN()-54)*21))</f>
        <v>0</v>
      </c>
      <c r="BV54" s="110" cm="1">
        <f t="array" ref="BV54">_xlfn.NUMBERVALUE(INDEX('C217'!$P:$P,8+(COLUMN()-54)*21))</f>
        <v>0</v>
      </c>
      <c r="BW54" s="110" cm="1">
        <f t="array" ref="BW54">_xlfn.NUMBERVALUE(INDEX('C217'!$P:$P,8+(COLUMN()-54)*21))</f>
        <v>0</v>
      </c>
      <c r="BX54" s="110" cm="1">
        <f t="array" ref="BX54">_xlfn.NUMBERVALUE(INDEX('C217'!$P:$P,8+(COLUMN()-54)*21))</f>
        <v>0</v>
      </c>
      <c r="BY54" s="110" cm="1">
        <f t="array" ref="BY54">_xlfn.NUMBERVALUE(INDEX('C217'!$P:$P,8+(COLUMN()-54)*21))</f>
        <v>0</v>
      </c>
      <c r="BZ54" s="110" cm="1">
        <f t="array" ref="BZ54">_xlfn.NUMBERVALUE(INDEX('C217'!$P:$P,8+(COLUMN()-54)*21))</f>
        <v>0</v>
      </c>
      <c r="CA54" s="110" cm="1">
        <f t="array" ref="CA54">_xlfn.NUMBERVALUE(INDEX('C217'!$P:$P,8+(COLUMN()-54)*21))</f>
        <v>0</v>
      </c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22"/>
      <c r="DO54" s="93" t="s">
        <v>1420</v>
      </c>
      <c r="DP54" s="96" cm="1">
        <f t="array" ref="DP54">INDEX('C217'!$I:$I,18+4*21)+INDEX('C217'!$I:$I,18+5*21)+INDEX('C217'!$I:$I,18+6*21)+INDEX('C217'!$I:$I,18+7*21)+INDEX('C217'!$I:$I,18+8*21)+INDEX('C217'!$I:$I,18+9*21)</f>
        <v>1</v>
      </c>
      <c r="DQ54" s="74" cm="1">
        <f t="array" ref="DQ54">INDEX('C217'!$I:$I,18+10*21)+INDEX('C217'!$I:$I,18+11*21)+INDEX('C217'!$I:$I,18+12*21)+INDEX('C217'!$I:$I,18+13*21)+INDEX('C217'!$I:$I,18+14*21)+INDEX('C217'!$I:$I,18+15*21)</f>
        <v>2</v>
      </c>
      <c r="DR54" s="74" cm="1">
        <f t="array" ref="DR54">INDEX('C217'!$I:$I,18+16*21)+INDEX('C217'!$I:$I,18+17*21)+INDEX('C217'!$I:$I,18+18*21)+INDEX('C217'!$I:$I,18+19*21)+INDEX('C217'!$I:$I,18+20*21)+INDEX('C217'!$I:$I,18+21*21)</f>
        <v>10</v>
      </c>
      <c r="DS54" s="22"/>
    </row>
    <row r="55" spans="1:129" x14ac:dyDescent="0.3">
      <c r="A55" s="42" t="s">
        <v>929</v>
      </c>
      <c r="B55" s="43"/>
      <c r="C55" s="43"/>
      <c r="D55" s="43"/>
      <c r="E55" s="43"/>
      <c r="F55" s="43"/>
      <c r="G55" s="43"/>
      <c r="H55" s="43" t="s">
        <v>1144</v>
      </c>
      <c r="I55" s="43" t="s">
        <v>1144</v>
      </c>
      <c r="J55" s="43"/>
      <c r="K55" s="43" t="s">
        <v>1144</v>
      </c>
      <c r="L55" s="43"/>
      <c r="M55" s="43"/>
      <c r="N55" s="43"/>
      <c r="O55" s="43" t="s">
        <v>934</v>
      </c>
      <c r="P55" s="43"/>
      <c r="Q55" s="43"/>
      <c r="R55" s="43"/>
      <c r="S55" s="43"/>
      <c r="T55" s="43"/>
      <c r="U55" s="43" t="s">
        <v>1144</v>
      </c>
      <c r="V55" s="43" t="s">
        <v>1144</v>
      </c>
      <c r="W55" s="43" t="s">
        <v>1144</v>
      </c>
      <c r="X55" s="43" t="s">
        <v>1144</v>
      </c>
      <c r="Y55" s="43" t="s">
        <v>1144</v>
      </c>
      <c r="Z55" s="43" t="s">
        <v>1144</v>
      </c>
      <c r="AA55" s="44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22"/>
      <c r="DO55" s="93" t="s">
        <v>1415</v>
      </c>
      <c r="DP55" s="23" t="s">
        <v>1455</v>
      </c>
      <c r="DQ55" s="23" t="s">
        <v>1455</v>
      </c>
      <c r="DR55" s="117"/>
      <c r="DS55" s="22"/>
    </row>
    <row r="56" spans="1:129" ht="15.6" thickBot="1" x14ac:dyDescent="0.35">
      <c r="A56" s="39" t="s">
        <v>881</v>
      </c>
      <c r="B56" s="29">
        <f>COUNTIFS('C217'!$C$3:$F$3,"=0")</f>
        <v>2</v>
      </c>
      <c r="C56" s="29">
        <f>COUNTIFS('C217'!$C$24:$F$24,"=0")</f>
        <v>1</v>
      </c>
      <c r="D56" s="29">
        <f>COUNTIFS('C217'!$C$45:$F$45,"=0")</f>
        <v>1</v>
      </c>
      <c r="E56" s="29">
        <f>COUNTIFS('C217'!$C$66:$F$66,"=0")</f>
        <v>1</v>
      </c>
      <c r="F56" s="29">
        <f>COUNTIFS('C217'!$C$87:$F$87,"=0")</f>
        <v>1</v>
      </c>
      <c r="G56" s="29">
        <f>COUNTIFS('C217'!$C$108:$F$108,"=0")</f>
        <v>1</v>
      </c>
      <c r="H56" s="29">
        <f>COUNTIFS('C217'!$C$129:$F$129,"=0")</f>
        <v>1</v>
      </c>
      <c r="I56" s="29">
        <f>COUNTIFS('C217'!$C$150:$F$150,"=0")</f>
        <v>1</v>
      </c>
      <c r="J56" s="29">
        <f>COUNTIFS('C217'!$C$171:$F$171,"=0")</f>
        <v>1</v>
      </c>
      <c r="K56" s="29">
        <f>COUNTIFS('C217'!$C$192:$F$192,"=0")</f>
        <v>1</v>
      </c>
      <c r="L56" s="29">
        <f>COUNTIFS('C217'!$C$213:$F$213,"=0")</f>
        <v>1</v>
      </c>
      <c r="M56" s="29">
        <f>COUNTIFS('C217'!$C$234:$F$234,"=0")</f>
        <v>1</v>
      </c>
      <c r="N56" s="29">
        <f>COUNTIFS('C217'!$C$255:$F$255,"=0")</f>
        <v>1</v>
      </c>
      <c r="O56" s="29">
        <f>COUNTIFS('C217'!$C$276:$F$276,"=0")</f>
        <v>1</v>
      </c>
      <c r="P56" s="29"/>
      <c r="Q56" s="29"/>
      <c r="R56" s="29"/>
      <c r="S56" s="29"/>
      <c r="T56" s="29"/>
      <c r="U56" s="29">
        <f>COUNTIFS('C217'!$C$297:$G$297,"=0")</f>
        <v>1</v>
      </c>
      <c r="V56" s="29">
        <f>COUNTIFS('C217'!$C$318:$G$318,"=0")</f>
        <v>1</v>
      </c>
      <c r="W56" s="29">
        <f>COUNTIFS('C217'!$C$339:$G$339,"=0")</f>
        <v>1</v>
      </c>
      <c r="X56" s="29">
        <f>COUNTIFS('C217'!$C$360:$G$360,"=0")</f>
        <v>1</v>
      </c>
      <c r="Y56" s="29">
        <f>COUNTIFS('C217'!$C$381:$G$381,"=0")</f>
        <v>1</v>
      </c>
      <c r="Z56" s="29">
        <f>COUNTIFS('C217'!$C$402:$G$402,"=0")</f>
        <v>1</v>
      </c>
      <c r="AA56" s="30">
        <f>COUNTIFS('C217'!$C$423:$G$423,"=0")</f>
        <v>1</v>
      </c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22"/>
      <c r="DO56" s="22"/>
      <c r="DP56" s="22"/>
      <c r="DQ56" s="22"/>
      <c r="DR56" s="22"/>
      <c r="DS56" s="22"/>
    </row>
    <row r="57" spans="1:129" x14ac:dyDescent="0.3">
      <c r="A57" s="40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149" t="s">
        <v>980</v>
      </c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DO57" s="22"/>
    </row>
    <row r="58" spans="1:129" x14ac:dyDescent="0.3">
      <c r="W58" s="150"/>
      <c r="DO58" s="22"/>
    </row>
    <row r="59" spans="1:129" x14ac:dyDescent="0.3">
      <c r="W59" s="150"/>
    </row>
    <row r="60" spans="1:129" x14ac:dyDescent="0.3">
      <c r="W60" s="150"/>
    </row>
    <row r="61" spans="1:129" x14ac:dyDescent="0.3">
      <c r="W61" s="151"/>
      <c r="DT61" s="22"/>
      <c r="DU61" s="156" t="s">
        <v>1742</v>
      </c>
      <c r="DV61" s="157"/>
      <c r="DW61" s="70" t="s">
        <v>1483</v>
      </c>
      <c r="DX61" s="70" t="s">
        <v>1153</v>
      </c>
      <c r="DY61" s="70" t="s">
        <v>1154</v>
      </c>
    </row>
    <row r="62" spans="1:129" x14ac:dyDescent="0.3">
      <c r="DT62" s="22"/>
      <c r="DU62" s="152" t="s">
        <v>1477</v>
      </c>
      <c r="DV62" s="153"/>
      <c r="DW62" s="71">
        <v>65</v>
      </c>
      <c r="DX62" s="72">
        <f>DY62</f>
        <v>0.23131672597864769</v>
      </c>
      <c r="DY62" s="73">
        <f>DW62/DW68</f>
        <v>0.23131672597864769</v>
      </c>
    </row>
    <row r="63" spans="1:129" x14ac:dyDescent="0.3">
      <c r="DT63" s="22"/>
      <c r="DU63" s="152" t="s">
        <v>1478</v>
      </c>
      <c r="DV63" s="153"/>
      <c r="DW63" s="71">
        <v>55</v>
      </c>
      <c r="DX63" s="72">
        <f>DX62+DY63</f>
        <v>0.42704626334519574</v>
      </c>
      <c r="DY63" s="73">
        <f>DW63/DW68</f>
        <v>0.19572953736654805</v>
      </c>
    </row>
    <row r="64" spans="1:129" x14ac:dyDescent="0.3">
      <c r="DU64" s="152" t="s">
        <v>1485</v>
      </c>
      <c r="DV64" s="153"/>
      <c r="DW64" s="71">
        <v>49</v>
      </c>
      <c r="DX64" s="72">
        <f>DX63+DY64</f>
        <v>0.60142348754448394</v>
      </c>
      <c r="DY64" s="73">
        <f>DW64/DW68</f>
        <v>0.17437722419928825</v>
      </c>
    </row>
    <row r="65" spans="124:129" x14ac:dyDescent="0.3">
      <c r="DU65" s="152" t="s">
        <v>931</v>
      </c>
      <c r="DV65" s="153"/>
      <c r="DW65" s="71">
        <v>47</v>
      </c>
      <c r="DX65" s="72">
        <f>DX64+DY65</f>
        <v>0.76868327402135228</v>
      </c>
      <c r="DY65" s="73">
        <f>DW65/DW68</f>
        <v>0.16725978647686832</v>
      </c>
    </row>
    <row r="66" spans="124:129" x14ac:dyDescent="0.3">
      <c r="DU66" s="152" t="s">
        <v>1484</v>
      </c>
      <c r="DV66" s="153"/>
      <c r="DW66" s="71">
        <v>39</v>
      </c>
      <c r="DX66" s="72">
        <f>DX65+DY66</f>
        <v>0.90747330960854089</v>
      </c>
      <c r="DY66" s="73">
        <f>DW66/DW68</f>
        <v>0.13879003558718861</v>
      </c>
    </row>
    <row r="67" spans="124:129" x14ac:dyDescent="0.3">
      <c r="DU67" s="145" t="s">
        <v>1479</v>
      </c>
      <c r="DV67" s="145"/>
      <c r="DW67" s="71">
        <v>26</v>
      </c>
      <c r="DX67" s="72">
        <f>DX66+DY67</f>
        <v>1</v>
      </c>
      <c r="DY67" s="73">
        <f>DW67/DW68</f>
        <v>9.2526690391459068E-2</v>
      </c>
    </row>
    <row r="68" spans="124:129" x14ac:dyDescent="0.3">
      <c r="DU68" s="146" t="s">
        <v>1152</v>
      </c>
      <c r="DV68" s="146"/>
      <c r="DW68" s="71">
        <f>DW62+DW65+DW66+DW67+DW63+DW64</f>
        <v>281</v>
      </c>
      <c r="DX68" s="98">
        <v>1</v>
      </c>
      <c r="DY68" s="98">
        <v>1</v>
      </c>
    </row>
    <row r="70" spans="124:129" x14ac:dyDescent="0.3">
      <c r="DT70" s="22"/>
    </row>
    <row r="71" spans="124:129" x14ac:dyDescent="0.3">
      <c r="DT71" s="102">
        <f>DP2+DP9+DP16+DP23+DP30+DP37+DP44+DP51</f>
        <v>175856</v>
      </c>
      <c r="DU71" s="147" t="s">
        <v>1556</v>
      </c>
      <c r="DV71" s="147"/>
      <c r="DW71" s="70" t="s">
        <v>1480</v>
      </c>
      <c r="DX71" s="70" t="s">
        <v>1153</v>
      </c>
      <c r="DY71" s="70" t="s">
        <v>1154</v>
      </c>
    </row>
    <row r="72" spans="124:129" x14ac:dyDescent="0.3">
      <c r="DT72" s="22"/>
      <c r="DU72" s="145" t="s">
        <v>1477</v>
      </c>
      <c r="DV72" s="145"/>
      <c r="DW72" s="71">
        <f>DP3+DP10+DP24+DP31+DP52</f>
        <v>6708</v>
      </c>
      <c r="DX72" s="72">
        <f>DY72</f>
        <v>0.62744364418669907</v>
      </c>
      <c r="DY72" s="73">
        <f>DW72/DW77</f>
        <v>0.62744364418669907</v>
      </c>
    </row>
    <row r="73" spans="124:129" x14ac:dyDescent="0.3">
      <c r="DT73" s="22"/>
      <c r="DU73" s="145" t="s">
        <v>931</v>
      </c>
      <c r="DV73" s="145"/>
      <c r="DW73" s="71">
        <f>DP46+DP32+DP11</f>
        <v>2323</v>
      </c>
      <c r="DX73" s="72">
        <f>DY72+DY73</f>
        <v>0.84472921148629687</v>
      </c>
      <c r="DY73" s="73">
        <f>DW73/DW77</f>
        <v>0.2172855672995978</v>
      </c>
    </row>
    <row r="74" spans="124:129" x14ac:dyDescent="0.3">
      <c r="DT74" s="22"/>
      <c r="DU74" s="145" t="s">
        <v>1155</v>
      </c>
      <c r="DV74" s="145"/>
      <c r="DW74" s="71">
        <v>1444</v>
      </c>
      <c r="DX74" s="72">
        <f>DX73+DY74</f>
        <v>0.97979609016930125</v>
      </c>
      <c r="DY74" s="73">
        <f>DW74/DW77</f>
        <v>0.1350668786830044</v>
      </c>
    </row>
    <row r="75" spans="124:129" x14ac:dyDescent="0.3">
      <c r="DT75" s="22"/>
      <c r="DU75" s="145" t="s">
        <v>1479</v>
      </c>
      <c r="DV75" s="145"/>
      <c r="DW75" s="71">
        <v>216</v>
      </c>
      <c r="DX75" s="72">
        <f>DX74+DY75</f>
        <v>1</v>
      </c>
      <c r="DY75" s="73">
        <f>DW75/DW77</f>
        <v>2.0203909830698717E-2</v>
      </c>
    </row>
    <row r="76" spans="124:129" x14ac:dyDescent="0.3">
      <c r="DT76" s="22"/>
      <c r="DU76" s="145" t="s">
        <v>1478</v>
      </c>
      <c r="DV76" s="145"/>
      <c r="DW76" s="71">
        <v>0</v>
      </c>
      <c r="DX76" s="72">
        <f>DX75+DY76</f>
        <v>1</v>
      </c>
      <c r="DY76" s="73">
        <f>DW76/DW77</f>
        <v>0</v>
      </c>
    </row>
    <row r="77" spans="124:129" x14ac:dyDescent="0.3">
      <c r="DT77" s="22"/>
      <c r="DU77" s="146" t="s">
        <v>1152</v>
      </c>
      <c r="DV77" s="146"/>
      <c r="DW77" s="71">
        <f>DW72+DW73+DW74+DW75+DW76</f>
        <v>10691</v>
      </c>
      <c r="DX77" s="98">
        <v>1</v>
      </c>
      <c r="DY77" s="98">
        <v>1</v>
      </c>
    </row>
    <row r="78" spans="124:129" x14ac:dyDescent="0.3">
      <c r="DT78" s="22"/>
    </row>
    <row r="79" spans="124:129" x14ac:dyDescent="0.3">
      <c r="DT79" s="102">
        <f>DQ2+DQ9+DQ16+DQ23+DQ30+DQ37+DQ44+DQ51</f>
        <v>209405</v>
      </c>
      <c r="DU79" s="147" t="s">
        <v>1557</v>
      </c>
      <c r="DV79" s="147"/>
      <c r="DW79" s="70" t="s">
        <v>1480</v>
      </c>
      <c r="DX79" s="70" t="s">
        <v>1153</v>
      </c>
      <c r="DY79" s="70" t="s">
        <v>1154</v>
      </c>
    </row>
    <row r="80" spans="124:129" x14ac:dyDescent="0.3">
      <c r="DT80" s="22"/>
      <c r="DU80" s="145" t="s">
        <v>1477</v>
      </c>
      <c r="DV80" s="145"/>
      <c r="DW80" s="71">
        <f>DQ3+DQ10+DQ24+DQ31+DQ52</f>
        <v>9732</v>
      </c>
      <c r="DX80" s="72">
        <f>DY80</f>
        <v>0.73156430880252576</v>
      </c>
      <c r="DY80" s="73">
        <f>DW80/DW85</f>
        <v>0.73156430880252576</v>
      </c>
    </row>
    <row r="81" spans="124:129" x14ac:dyDescent="0.3">
      <c r="DT81" s="22"/>
      <c r="DU81" s="145" t="s">
        <v>931</v>
      </c>
      <c r="DV81" s="145"/>
      <c r="DW81" s="71">
        <f>DQ46+DQ32+DQ11+DQ4</f>
        <v>3571</v>
      </c>
      <c r="DX81" s="72">
        <f>DY80+DY81</f>
        <v>1</v>
      </c>
      <c r="DY81" s="73">
        <f>DW81/DW85</f>
        <v>0.26843569119747424</v>
      </c>
    </row>
    <row r="82" spans="124:129" x14ac:dyDescent="0.3">
      <c r="DT82" s="22"/>
      <c r="DU82" s="145" t="s">
        <v>930</v>
      </c>
      <c r="DV82" s="145"/>
      <c r="DW82" s="71">
        <v>0</v>
      </c>
      <c r="DX82" s="72">
        <f>DX81+DY82</f>
        <v>1</v>
      </c>
      <c r="DY82" s="73">
        <f>DW82/DW85</f>
        <v>0</v>
      </c>
    </row>
    <row r="83" spans="124:129" x14ac:dyDescent="0.3">
      <c r="DT83" s="22"/>
      <c r="DU83" s="145" t="s">
        <v>932</v>
      </c>
      <c r="DV83" s="145"/>
      <c r="DW83" s="71">
        <v>0</v>
      </c>
      <c r="DX83" s="72">
        <f>DX82+DY83</f>
        <v>1</v>
      </c>
      <c r="DY83" s="73">
        <f>DW83/DW85</f>
        <v>0</v>
      </c>
    </row>
    <row r="84" spans="124:129" x14ac:dyDescent="0.3">
      <c r="DT84" s="22"/>
      <c r="DU84" s="145" t="s">
        <v>938</v>
      </c>
      <c r="DV84" s="145"/>
      <c r="DW84" s="71">
        <v>0</v>
      </c>
      <c r="DX84" s="72">
        <f>DX83+DY84</f>
        <v>1</v>
      </c>
      <c r="DY84" s="73">
        <f>DW84/DW85</f>
        <v>0</v>
      </c>
    </row>
    <row r="85" spans="124:129" x14ac:dyDescent="0.3">
      <c r="DT85" s="22"/>
      <c r="DU85" s="146" t="s">
        <v>1152</v>
      </c>
      <c r="DV85" s="146"/>
      <c r="DW85" s="71">
        <f>DW80+DW81+DW82+DW83+DW84</f>
        <v>13303</v>
      </c>
      <c r="DX85" s="98">
        <v>1</v>
      </c>
      <c r="DY85" s="98">
        <v>1</v>
      </c>
    </row>
    <row r="86" spans="124:129" x14ac:dyDescent="0.3">
      <c r="DT86" s="22"/>
    </row>
    <row r="87" spans="124:129" x14ac:dyDescent="0.3">
      <c r="DT87" s="102">
        <f>DR51+DR44+DR37+DR30+DR23+DR16+DR9+DR2</f>
        <v>198409</v>
      </c>
      <c r="DU87" s="147" t="s">
        <v>1673</v>
      </c>
      <c r="DV87" s="147"/>
      <c r="DW87" s="70" t="s">
        <v>1480</v>
      </c>
      <c r="DX87" s="70" t="s">
        <v>1153</v>
      </c>
      <c r="DY87" s="70" t="s">
        <v>1154</v>
      </c>
    </row>
    <row r="88" spans="124:129" x14ac:dyDescent="0.3">
      <c r="DT88" s="22"/>
      <c r="DU88" s="145" t="s">
        <v>1477</v>
      </c>
      <c r="DV88" s="145"/>
      <c r="DW88" s="71">
        <f>DR3+DR10+DR17+DR24+DR31+DR45</f>
        <v>11316</v>
      </c>
      <c r="DX88" s="72">
        <f>DY88</f>
        <v>0.66994257296785276</v>
      </c>
      <c r="DY88" s="73">
        <f>DW88/DW93</f>
        <v>0.66994257296785276</v>
      </c>
    </row>
    <row r="89" spans="124:129" x14ac:dyDescent="0.3">
      <c r="DT89" s="22"/>
      <c r="DU89" s="145" t="s">
        <v>931</v>
      </c>
      <c r="DV89" s="145"/>
      <c r="DW89" s="71">
        <f>DR11+DR18+DR25+DR32+DR46</f>
        <v>4388</v>
      </c>
      <c r="DX89" s="72">
        <f>DY88+DY89</f>
        <v>0.92972588952696711</v>
      </c>
      <c r="DY89" s="73">
        <f>DW89/DW93</f>
        <v>0.2597833165591143</v>
      </c>
    </row>
    <row r="90" spans="124:129" x14ac:dyDescent="0.3">
      <c r="DT90" s="22"/>
      <c r="DU90" s="145" t="s">
        <v>930</v>
      </c>
      <c r="DV90" s="145"/>
      <c r="DW90" s="71">
        <v>0</v>
      </c>
      <c r="DX90" s="72">
        <f>DX89+DY90</f>
        <v>0.92972588952696711</v>
      </c>
      <c r="DY90" s="73">
        <f>DW90/DW93</f>
        <v>0</v>
      </c>
    </row>
    <row r="91" spans="124:129" x14ac:dyDescent="0.3">
      <c r="DT91" s="22"/>
      <c r="DU91" s="145" t="s">
        <v>932</v>
      </c>
      <c r="DV91" s="145"/>
      <c r="DW91" s="71">
        <v>0</v>
      </c>
      <c r="DX91" s="72">
        <f>DX90+DY91</f>
        <v>0.92972588952696711</v>
      </c>
      <c r="DY91" s="73">
        <f>DW91/DW93</f>
        <v>0</v>
      </c>
    </row>
    <row r="92" spans="124:129" x14ac:dyDescent="0.3">
      <c r="DT92" s="22"/>
      <c r="DU92" s="145" t="s">
        <v>938</v>
      </c>
      <c r="DV92" s="145"/>
      <c r="DW92" s="71">
        <v>0</v>
      </c>
      <c r="DX92" s="72">
        <f>DX91+DY92</f>
        <v>0.92972588952696711</v>
      </c>
      <c r="DY92" s="73">
        <f>DW92/DW93</f>
        <v>0</v>
      </c>
    </row>
    <row r="93" spans="124:129" x14ac:dyDescent="0.3">
      <c r="DU93" s="146" t="s">
        <v>1152</v>
      </c>
      <c r="DV93" s="146"/>
      <c r="DW93" s="71">
        <f>DR52+DR53+DR54+DR47+DR46+DR45+DR40+DR39+DR38+DR33+DR32+DR31+DR26+DR25+DR24+DR19+DR18+DR17+DR12+DR11+DR10+DR5+DR4+DR3</f>
        <v>16891</v>
      </c>
      <c r="DX93" s="98">
        <v>1</v>
      </c>
      <c r="DY93" s="98">
        <v>1</v>
      </c>
    </row>
    <row r="95" spans="124:129" x14ac:dyDescent="0.3">
      <c r="DT95" s="102">
        <f>DR59+DR52+DR45+DR38+DR31+DR24+DR17+DR10</f>
        <v>10501</v>
      </c>
      <c r="DU95" s="147" t="s">
        <v>1673</v>
      </c>
      <c r="DV95" s="147"/>
      <c r="DW95" s="70" t="s">
        <v>1480</v>
      </c>
      <c r="DX95" s="70" t="s">
        <v>1153</v>
      </c>
      <c r="DY95" s="70" t="s">
        <v>1154</v>
      </c>
    </row>
    <row r="96" spans="124:129" x14ac:dyDescent="0.3">
      <c r="DT96" s="22"/>
      <c r="DU96" s="145" t="s">
        <v>1477</v>
      </c>
      <c r="DV96" s="145"/>
      <c r="DW96" s="71">
        <f>DR11+DR18+DR25+DR32+DR39+DR53</f>
        <v>3748</v>
      </c>
      <c r="DX96" s="72" t="e">
        <f>DY96</f>
        <v>#VALUE!</v>
      </c>
      <c r="DY96" s="73" t="e">
        <f>DW96/DW101</f>
        <v>#VALUE!</v>
      </c>
    </row>
    <row r="97" spans="124:129" x14ac:dyDescent="0.3">
      <c r="DT97" s="22"/>
      <c r="DU97" s="145" t="s">
        <v>931</v>
      </c>
      <c r="DV97" s="145"/>
      <c r="DW97" s="71">
        <f>DR19+DR26+DR33+DR40+DR54</f>
        <v>92</v>
      </c>
      <c r="DX97" s="72" t="e">
        <f>DY96+DY97</f>
        <v>#VALUE!</v>
      </c>
      <c r="DY97" s="73" t="e">
        <f>DW97/DW101</f>
        <v>#VALUE!</v>
      </c>
    </row>
    <row r="98" spans="124:129" x14ac:dyDescent="0.3">
      <c r="DT98" s="22"/>
      <c r="DU98" s="145" t="s">
        <v>930</v>
      </c>
      <c r="DV98" s="145"/>
      <c r="DW98" s="71">
        <v>0</v>
      </c>
      <c r="DX98" s="72" t="e">
        <f>DX97+DY98</f>
        <v>#VALUE!</v>
      </c>
      <c r="DY98" s="73" t="e">
        <f>DW98/DW101</f>
        <v>#VALUE!</v>
      </c>
    </row>
    <row r="99" spans="124:129" x14ac:dyDescent="0.3">
      <c r="DT99" s="22"/>
      <c r="DU99" s="145" t="s">
        <v>932</v>
      </c>
      <c r="DV99" s="145"/>
      <c r="DW99" s="71">
        <v>0</v>
      </c>
      <c r="DX99" s="72" t="e">
        <f>DX98+DY99</f>
        <v>#VALUE!</v>
      </c>
      <c r="DY99" s="73" t="e">
        <f>DW99/DW101</f>
        <v>#VALUE!</v>
      </c>
    </row>
    <row r="100" spans="124:129" x14ac:dyDescent="0.3">
      <c r="DT100" s="22"/>
      <c r="DU100" s="145" t="s">
        <v>938</v>
      </c>
      <c r="DV100" s="145"/>
      <c r="DW100" s="71">
        <v>0</v>
      </c>
      <c r="DX100" s="72" t="e">
        <f>DX99+DY100</f>
        <v>#VALUE!</v>
      </c>
      <c r="DY100" s="73" t="e">
        <f>DW100/DW101</f>
        <v>#VALUE!</v>
      </c>
    </row>
    <row r="101" spans="124:129" x14ac:dyDescent="0.3">
      <c r="DU101" s="146" t="s">
        <v>1152</v>
      </c>
      <c r="DV101" s="146"/>
      <c r="DW101" s="71" t="e">
        <f>DR60+DR61+DR62+DR55+DR54+DR53+DR48+DR47+DR46+DR41+DR40+DR39+DR34+DR33+DR32+DR27+DR26+DR25+DR20+DR19+DR18+DR13+DR12+DR11</f>
        <v>#VALUE!</v>
      </c>
      <c r="DX101" s="98">
        <v>1</v>
      </c>
      <c r="DY101" s="98">
        <v>1</v>
      </c>
    </row>
  </sheetData>
  <mergeCells count="61">
    <mergeCell ref="DU100:DV100"/>
    <mergeCell ref="DU101:DV101"/>
    <mergeCell ref="DU95:DV95"/>
    <mergeCell ref="DU96:DV96"/>
    <mergeCell ref="DU97:DV97"/>
    <mergeCell ref="DU98:DV98"/>
    <mergeCell ref="DU99:DV99"/>
    <mergeCell ref="DO13:DO14"/>
    <mergeCell ref="DO34:DO35"/>
    <mergeCell ref="DU61:DV61"/>
    <mergeCell ref="DW13:DZ13"/>
    <mergeCell ref="DW1:DZ1"/>
    <mergeCell ref="DU1:DV1"/>
    <mergeCell ref="DV4:DV5"/>
    <mergeCell ref="DW4:DZ5"/>
    <mergeCell ref="DW2:DZ3"/>
    <mergeCell ref="DW11:DZ12"/>
    <mergeCell ref="DU8:DU10"/>
    <mergeCell ref="DU6:DU7"/>
    <mergeCell ref="DU2:DU3"/>
    <mergeCell ref="DU4:DU5"/>
    <mergeCell ref="W57:W61"/>
    <mergeCell ref="DU71:DV71"/>
    <mergeCell ref="DU72:DV72"/>
    <mergeCell ref="DU73:DV73"/>
    <mergeCell ref="DU74:DV74"/>
    <mergeCell ref="DU62:DV62"/>
    <mergeCell ref="DU65:DV65"/>
    <mergeCell ref="DU66:DV66"/>
    <mergeCell ref="DU67:DV67"/>
    <mergeCell ref="DU63:DV63"/>
    <mergeCell ref="DU68:DV68"/>
    <mergeCell ref="DU64:DV64"/>
    <mergeCell ref="DU93:DV93"/>
    <mergeCell ref="DU80:DV80"/>
    <mergeCell ref="DU87:DV87"/>
    <mergeCell ref="DU88:DV88"/>
    <mergeCell ref="DU89:DV89"/>
    <mergeCell ref="DU90:DV90"/>
    <mergeCell ref="DU82:DV82"/>
    <mergeCell ref="DU83:DV83"/>
    <mergeCell ref="DU84:DV84"/>
    <mergeCell ref="DU85:DV85"/>
    <mergeCell ref="DU81:DV81"/>
    <mergeCell ref="DU91:DV91"/>
    <mergeCell ref="DU92:DV92"/>
    <mergeCell ref="DU75:DV75"/>
    <mergeCell ref="DU76:DV76"/>
    <mergeCell ref="DU77:DV77"/>
    <mergeCell ref="DU79:DV79"/>
    <mergeCell ref="DU11:DU12"/>
    <mergeCell ref="DV11:DV12"/>
    <mergeCell ref="EA11:EA12"/>
    <mergeCell ref="EC1:ED1"/>
    <mergeCell ref="EA8:EA10"/>
    <mergeCell ref="DW8:DZ10"/>
    <mergeCell ref="DV8:DV10"/>
    <mergeCell ref="DV6:DV7"/>
    <mergeCell ref="EA6:EA7"/>
    <mergeCell ref="DW6:DZ7"/>
    <mergeCell ref="DV2:DV3"/>
  </mergeCells>
  <phoneticPr fontId="1" type="noConversion"/>
  <conditionalFormatting sqref="B2:U5 B9:U12 B16:U19 B23:U26 B30:U33 B37:U40 B44:U47 B51:U54 BB2:CA5 BB9:CA12 BB16:CA19 BB23:CA26 BB30:CA33 BB37:CA40 BB44:CA47 BB51:CA54">
    <cfRule type="cellIs" dxfId="52" priority="74" operator="greaterThan">
      <formula>0.05</formula>
    </cfRule>
    <cfRule type="cellIs" dxfId="51" priority="75" operator="between">
      <formula>0.03</formula>
      <formula>0.05</formula>
    </cfRule>
  </conditionalFormatting>
  <conditionalFormatting sqref="V2:W2">
    <cfRule type="cellIs" dxfId="50" priority="65" operator="greaterThan">
      <formula>5</formula>
    </cfRule>
  </conditionalFormatting>
  <conditionalFormatting sqref="V11:W11 V18 V44:V45 X51:Y52">
    <cfRule type="cellIs" dxfId="49" priority="62" operator="greaterThan">
      <formula>0</formula>
    </cfRule>
  </conditionalFormatting>
  <conditionalFormatting sqref="V9:Z10">
    <cfRule type="cellIs" dxfId="48" priority="60" operator="greaterThan">
      <formula>5</formula>
    </cfRule>
  </conditionalFormatting>
  <conditionalFormatting sqref="V23:Z24">
    <cfRule type="cellIs" dxfId="47" priority="58" operator="greaterThan">
      <formula>5</formula>
    </cfRule>
  </conditionalFormatting>
  <conditionalFormatting sqref="W3">
    <cfRule type="cellIs" dxfId="46" priority="64" operator="greaterThan">
      <formula>5</formula>
    </cfRule>
  </conditionalFormatting>
  <conditionalFormatting sqref="X2:Y3">
    <cfRule type="cellIs" dxfId="45" priority="70" operator="greaterThan">
      <formula>0.05</formula>
    </cfRule>
    <cfRule type="cellIs" dxfId="44" priority="71" operator="between">
      <formula>0.03</formula>
      <formula>0.05</formula>
    </cfRule>
  </conditionalFormatting>
  <conditionalFormatting sqref="X11:Y11 X12 V16:W16 W18 V30:Y30 V31:W31 W32:Y32 X44:Y45 V51:W52">
    <cfRule type="cellIs" dxfId="43" priority="63" operator="greaterThan">
      <formula>5</formula>
    </cfRule>
  </conditionalFormatting>
  <conditionalFormatting sqref="Z2:Z3">
    <cfRule type="cellIs" dxfId="42" priority="61" operator="greaterThan">
      <formula>5</formula>
    </cfRule>
  </conditionalFormatting>
  <conditionalFormatting sqref="Z11">
    <cfRule type="cellIs" dxfId="41" priority="59" operator="greaterThan">
      <formula>3</formula>
    </cfRule>
  </conditionalFormatting>
  <conditionalFormatting sqref="Z30:Z32">
    <cfRule type="cellIs" dxfId="40" priority="57" operator="greaterThan">
      <formula>5</formula>
    </cfRule>
  </conditionalFormatting>
  <conditionalFormatting sqref="Z44:Z46">
    <cfRule type="cellIs" dxfId="39" priority="56" operator="greaterThan">
      <formula>4</formula>
    </cfRule>
  </conditionalFormatting>
  <conditionalFormatting sqref="Z51:Z52">
    <cfRule type="cellIs" dxfId="38" priority="55" operator="greaterThan">
      <formula>4</formula>
    </cfRule>
  </conditionalFormatting>
  <conditionalFormatting sqref="AA2:AA3 AA9:AA11 AA23:AA24 AA30 AA44:AA45 AA51:AA52">
    <cfRule type="cellIs" dxfId="37" priority="47" operator="greaterThan">
      <formula>3</formula>
    </cfRule>
  </conditionalFormatting>
  <conditionalFormatting sqref="AA31 AA46">
    <cfRule type="cellIs" dxfId="36" priority="46" operator="greaterThan">
      <formula>2</formula>
    </cfRule>
  </conditionalFormatting>
  <conditionalFormatting sqref="AB16 AD16 AE16:AE18 AD18">
    <cfRule type="cellIs" dxfId="35" priority="38" operator="greaterThan">
      <formula>0.01</formula>
    </cfRule>
  </conditionalFormatting>
  <conditionalFormatting sqref="AB23:AK24">
    <cfRule type="cellIs" dxfId="34" priority="40" operator="greaterThan">
      <formula>1</formula>
    </cfRule>
  </conditionalFormatting>
  <conditionalFormatting sqref="AB51:AK52">
    <cfRule type="cellIs" dxfId="33" priority="43" operator="greaterThan">
      <formula>1</formula>
    </cfRule>
  </conditionalFormatting>
  <conditionalFormatting sqref="AD23:AE24 AK23:AL24">
    <cfRule type="cellIs" dxfId="32" priority="42" operator="greaterThan">
      <formula>0.095</formula>
    </cfRule>
  </conditionalFormatting>
  <conditionalFormatting sqref="AD23:AE24">
    <cfRule type="cellIs" dxfId="31" priority="39" operator="greaterThan">
      <formula>0.01</formula>
    </cfRule>
    <cfRule type="cellIs" dxfId="30" priority="41" operator="greaterThan">
      <formula>0.0602</formula>
    </cfRule>
  </conditionalFormatting>
  <conditionalFormatting sqref="AH30 AE30:AG32 AF46:AH46 AB2:AC3 AB9:AE9 AB10:AD10 AB11:AH11 AC16:AD16 AB16:AB17 AE16:AE17 AC18:AE18 AD30 AB30:AC32 AB37 AF44:AI44 AB44:AE45 AG45:AI45">
    <cfRule type="cellIs" dxfId="29" priority="45" operator="greaterThan">
      <formula>1</formula>
    </cfRule>
  </conditionalFormatting>
  <conditionalFormatting sqref="AH30 AK31:AM31 AO31 AQ31 AS31 AF32:AG32 AL32 AN32 AK37 AO37 AH37:AI38 AJ38 AL38 AL44 AQ44 AJ44:AJ45 AM45 AG46:AH46 AO46:AP46 AS52">
    <cfRule type="cellIs" dxfId="28" priority="27" operator="greaterThan">
      <formula>1</formula>
    </cfRule>
  </conditionalFormatting>
  <conditionalFormatting sqref="AK31:AK32 AK37 AH37:AJ38 AJ44:AJ45 AE2:AK3 AF9:AK10 AJ30:AK30">
    <cfRule type="cellIs" dxfId="27" priority="44" operator="greaterThan">
      <formula>1</formula>
    </cfRule>
  </conditionalFormatting>
  <conditionalFormatting sqref="AL30:AL32 AL37:AL39 AL44 AL2:AL3 AL6:AL7 AL9:AL11 AL13:AL14 AL16:AL18 AL20:AL21 AL23:AL28 AL34:AL35 AL41:AL42 AL48:AL49 AL51:AL52 AL55:AL1048576">
    <cfRule type="cellIs" dxfId="26" priority="35" operator="greaterThan">
      <formula>0.01</formula>
    </cfRule>
  </conditionalFormatting>
  <conditionalFormatting sqref="AM9:AM11">
    <cfRule type="cellIs" dxfId="25" priority="34" operator="greaterThan">
      <formula>1</formula>
    </cfRule>
  </conditionalFormatting>
  <conditionalFormatting sqref="AM16:AM17">
    <cfRule type="cellIs" dxfId="24" priority="32" operator="greaterThan">
      <formula>0.03</formula>
    </cfRule>
  </conditionalFormatting>
  <conditionalFormatting sqref="AM37:AM38">
    <cfRule type="cellIs" dxfId="23" priority="31" operator="greaterThan">
      <formula>0.03</formula>
    </cfRule>
  </conditionalFormatting>
  <conditionalFormatting sqref="AM44:AM45 AM51:AM52">
    <cfRule type="cellIs" dxfId="22" priority="30" operator="greaterThan">
      <formula>0.03</formula>
    </cfRule>
  </conditionalFormatting>
  <conditionalFormatting sqref="AM30:AQ31 AN32:AO32 AO37 AN44:AQ44 AN46:AP46 AM23:AQ24 AN51:AP52">
    <cfRule type="cellIs" dxfId="21" priority="29" operator="greaterThan">
      <formula>1</formula>
    </cfRule>
  </conditionalFormatting>
  <conditionalFormatting sqref="AR23:AR24">
    <cfRule type="cellIs" dxfId="20" priority="21" operator="greaterThan">
      <formula>0.01</formula>
    </cfRule>
  </conditionalFormatting>
  <conditionalFormatting sqref="AS51:AS52 AM2:AS3 AN9:AS10 AP11:AR11 AS16:AS17 AS23:AS24 AR30:AS30 AR32 AR37:AR38 AR44:AS45">
    <cfRule type="cellIs" dxfId="19" priority="28" operator="greaterThan">
      <formula>1</formula>
    </cfRule>
  </conditionalFormatting>
  <conditionalFormatting sqref="AT2:AT3 AT9:AT10 AT23:AT24 AT30 AT44">
    <cfRule type="cellIs" dxfId="18" priority="26" operator="greaterThan">
      <formula>5</formula>
    </cfRule>
  </conditionalFormatting>
  <conditionalFormatting sqref="AT16">
    <cfRule type="cellIs" dxfId="17" priority="23" operator="greaterThan">
      <formula>0.01</formula>
    </cfRule>
  </conditionalFormatting>
  <conditionalFormatting sqref="AT17:AT18 AT31:AT32 AT45 AT51:AT52">
    <cfRule type="cellIs" dxfId="16" priority="22" operator="greaterThan">
      <formula>0.03</formula>
    </cfRule>
  </conditionalFormatting>
  <conditionalFormatting sqref="AU2:AU3 AU9:AU10 AU16:AU17 AU23:AU24">
    <cfRule type="cellIs" dxfId="15" priority="20" operator="greaterThan">
      <formula>0.01</formula>
    </cfRule>
  </conditionalFormatting>
  <conditionalFormatting sqref="AU30 AU32">
    <cfRule type="cellIs" dxfId="14" priority="19" operator="greaterThan">
      <formula>0.03</formula>
    </cfRule>
  </conditionalFormatting>
  <conditionalFormatting sqref="AU31 AU44:AU45 AU51:AU52">
    <cfRule type="cellIs" dxfId="13" priority="18" operator="greaterThan">
      <formula>0.001</formula>
    </cfRule>
  </conditionalFormatting>
  <conditionalFormatting sqref="AV2:AV3 AV9:AV10 AV16:AV18 AV20 AV23:AV24 AV30:AV32 AV39 AV44:AV45">
    <cfRule type="cellIs" dxfId="12" priority="16" operator="greaterThan">
      <formula>0.05</formula>
    </cfRule>
    <cfRule type="cellIs" dxfId="11" priority="17" operator="between">
      <formula>0.03</formula>
      <formula>0.05</formula>
    </cfRule>
  </conditionalFormatting>
  <conditionalFormatting sqref="AV25 AV37:AV38">
    <cfRule type="cellIs" dxfId="10" priority="15" operator="greaterThan">
      <formula>0</formula>
    </cfRule>
  </conditionalFormatting>
  <conditionalFormatting sqref="AW9:AW10 AW23:AW25">
    <cfRule type="cellIs" dxfId="9" priority="14" operator="greaterThan">
      <formula>0</formula>
    </cfRule>
  </conditionalFormatting>
  <conditionalFormatting sqref="AW44:AW46">
    <cfRule type="cellIs" dxfId="8" priority="13" operator="greaterThan">
      <formula>0</formula>
    </cfRule>
  </conditionalFormatting>
  <conditionalFormatting sqref="AW51:AW52">
    <cfRule type="cellIs" dxfId="7" priority="11" operator="greaterThan">
      <formula>0</formula>
    </cfRule>
  </conditionalFormatting>
  <conditionalFormatting sqref="AW2:AY3">
    <cfRule type="cellIs" dxfId="6" priority="10" operator="greaterThan">
      <formula>0</formula>
    </cfRule>
  </conditionalFormatting>
  <conditionalFormatting sqref="AX31 AY32 AX44">
    <cfRule type="cellIs" dxfId="5" priority="9" operator="greaterThan">
      <formula>0</formula>
    </cfRule>
  </conditionalFormatting>
  <conditionalFormatting sqref="AX9:AZ11 AY44:AZ45 AY46">
    <cfRule type="cellIs" dxfId="4" priority="5" operator="greaterThan">
      <formula>0</formula>
    </cfRule>
  </conditionalFormatting>
  <conditionalFormatting sqref="AZ2:AZ5">
    <cfRule type="cellIs" dxfId="3" priority="6" operator="greaterThan">
      <formula>0.05</formula>
    </cfRule>
  </conditionalFormatting>
  <conditionalFormatting sqref="BA2:BA3 BA9:BA10 AW16:BA17 AW30:BA30 BA44:BA46">
    <cfRule type="cellIs" dxfId="2" priority="4" operator="greaterThan">
      <formula>0</formula>
    </cfRule>
  </conditionalFormatting>
  <conditionalFormatting sqref="BA11 AY31 AZ31:AZ32 AW32:AX32 AX45 AZ46 BA51 AY51:AY52">
    <cfRule type="cellIs" dxfId="1" priority="3" operator="greaterThan">
      <formula>0</formula>
    </cfRule>
  </conditionalFormatting>
  <conditionalFormatting sqref="CB2:CV5 CB9:CV12 CB16:CV19 CB23:CV26 CB30:CV33 CB37:CV40 CB44:CV47 CB51:CV54">
    <cfRule type="cellIs" dxfId="0" priority="7" operator="greaterThan">
      <formula>0.03</formula>
    </cfRule>
  </conditionalFormatting>
  <pageMargins left="0.7" right="0.7" top="0.75" bottom="0.75" header="0.3" footer="0.3"/>
  <pageSetup paperSize="9" orientation="portrait" r:id="rId1"/>
  <ignoredErrors>
    <ignoredError sqref="N20 I27:J27 V2:Y4 N27:U28 W35:Y36 S48:U48 O55 V21:Y22 W16:Y19 V28:Y29 W23:Y26 W30:Y33 W41:Y43 W37:Y38 W48:Y50 W44:Y47 W51:Y54 V48:V50 V41:V43 V35:V36 V30:V33 V37:V40 V44:V47 V51:V54 V24:V26 V16:V19 V7:V12 W5:Y5 W40:Y40 V14:Y15 W7:Y12 V27 X27:Z27 O20:Z20" numberStoredAsText="1"/>
    <ignoredError sqref="D48 E48:F48 K34:M34 H48:M48 N34:O34 P34:R34 T34:U34 O6:Q6 S6:U6 W6:Y6" twoDigitTextYear="1"/>
    <ignoredError sqref="G48 S34 N48:R48 V34" twoDigitTextYear="1" numberStoredAsText="1"/>
    <ignoredError sqref="AZ2:AZ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6"/>
  <sheetViews>
    <sheetView topLeftCell="A458" workbookViewId="0">
      <selection activeCell="M464" sqref="M464"/>
    </sheetView>
  </sheetViews>
  <sheetFormatPr defaultRowHeight="15" x14ac:dyDescent="0.3"/>
  <sheetData>
    <row r="1" spans="1:17" ht="19.8" x14ac:dyDescent="0.3">
      <c r="A1" s="171">
        <v>46083</v>
      </c>
      <c r="B1" s="171"/>
      <c r="C1" s="171"/>
      <c r="D1" s="171"/>
      <c r="E1" s="171"/>
      <c r="G1" s="171">
        <v>46113</v>
      </c>
      <c r="H1" s="171"/>
      <c r="I1" s="171"/>
      <c r="J1" s="171"/>
      <c r="K1" s="171"/>
      <c r="M1" s="171">
        <v>46143</v>
      </c>
      <c r="N1" s="171"/>
      <c r="O1" s="171"/>
      <c r="P1" s="171"/>
      <c r="Q1" s="171"/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40</v>
      </c>
      <c r="M2" s="1" t="s">
        <v>0</v>
      </c>
      <c r="N2" s="1" t="s">
        <v>1</v>
      </c>
      <c r="O2" s="1" t="s">
        <v>2</v>
      </c>
      <c r="P2" s="179" t="s">
        <v>3</v>
      </c>
      <c r="Q2" s="1" t="s">
        <v>40</v>
      </c>
    </row>
    <row r="3" spans="1:17" x14ac:dyDescent="0.3">
      <c r="A3" s="2" t="s">
        <v>5</v>
      </c>
      <c r="B3" s="3">
        <v>1084</v>
      </c>
      <c r="C3" s="3">
        <v>1012</v>
      </c>
      <c r="D3" s="3">
        <v>72</v>
      </c>
      <c r="E3" s="3">
        <v>0</v>
      </c>
      <c r="G3" s="2" t="s">
        <v>5</v>
      </c>
      <c r="H3" s="3">
        <v>2147</v>
      </c>
      <c r="I3" s="3">
        <v>1215</v>
      </c>
      <c r="J3" s="3">
        <v>0</v>
      </c>
      <c r="K3" s="3">
        <v>932</v>
      </c>
      <c r="M3" s="2" t="s">
        <v>5</v>
      </c>
      <c r="N3" s="3">
        <v>3427</v>
      </c>
      <c r="O3" s="3">
        <v>1875</v>
      </c>
      <c r="P3" s="181">
        <v>0</v>
      </c>
      <c r="Q3" s="3">
        <v>1552</v>
      </c>
    </row>
    <row r="4" spans="1:17" x14ac:dyDescent="0.3">
      <c r="A4" s="2" t="s">
        <v>6</v>
      </c>
      <c r="B4" s="3">
        <v>8</v>
      </c>
      <c r="C4" s="6">
        <v>1</v>
      </c>
      <c r="D4" s="5">
        <v>7</v>
      </c>
      <c r="E4" s="3">
        <v>0</v>
      </c>
      <c r="G4" s="2" t="s">
        <v>6</v>
      </c>
      <c r="H4" s="3">
        <v>96</v>
      </c>
      <c r="I4" s="5">
        <v>53</v>
      </c>
      <c r="J4" s="3">
        <v>0</v>
      </c>
      <c r="K4" s="6">
        <v>43</v>
      </c>
      <c r="M4" s="2" t="s">
        <v>6</v>
      </c>
      <c r="N4" s="3">
        <v>303</v>
      </c>
      <c r="O4" s="5">
        <v>167</v>
      </c>
      <c r="P4" s="181">
        <v>0</v>
      </c>
      <c r="Q4" s="6">
        <v>136</v>
      </c>
    </row>
    <row r="5" spans="1:17" x14ac:dyDescent="0.3">
      <c r="A5" s="2" t="s">
        <v>7</v>
      </c>
      <c r="B5" s="3" t="s">
        <v>80</v>
      </c>
      <c r="C5" s="6" t="s">
        <v>81</v>
      </c>
      <c r="D5" s="5" t="s">
        <v>82</v>
      </c>
      <c r="E5" s="3">
        <v>0</v>
      </c>
      <c r="G5" s="2" t="s">
        <v>7</v>
      </c>
      <c r="H5" s="3" t="s">
        <v>368</v>
      </c>
      <c r="I5" s="6" t="s">
        <v>106</v>
      </c>
      <c r="J5" s="3">
        <v>0</v>
      </c>
      <c r="K5" s="5" t="s">
        <v>1196</v>
      </c>
      <c r="M5" s="2" t="s">
        <v>7</v>
      </c>
      <c r="N5" s="3" t="s">
        <v>788</v>
      </c>
      <c r="O5" s="5" t="s">
        <v>1623</v>
      </c>
      <c r="P5" s="181">
        <v>0</v>
      </c>
      <c r="Q5" s="6" t="s">
        <v>1354</v>
      </c>
    </row>
    <row r="6" spans="1:17" x14ac:dyDescent="0.3">
      <c r="A6" s="2" t="s">
        <v>12</v>
      </c>
      <c r="B6" s="3" t="s">
        <v>83</v>
      </c>
      <c r="C6" s="3" t="s">
        <v>25</v>
      </c>
      <c r="D6" s="5" t="s">
        <v>82</v>
      </c>
      <c r="E6" s="3">
        <v>0</v>
      </c>
      <c r="G6" s="2" t="s">
        <v>12</v>
      </c>
      <c r="H6" s="3" t="s">
        <v>868</v>
      </c>
      <c r="I6" s="5" t="s">
        <v>1197</v>
      </c>
      <c r="J6" s="3">
        <v>0</v>
      </c>
      <c r="K6" s="6" t="s">
        <v>410</v>
      </c>
      <c r="M6" s="2" t="s">
        <v>12</v>
      </c>
      <c r="N6" s="3" t="s">
        <v>811</v>
      </c>
      <c r="O6" s="5" t="s">
        <v>1775</v>
      </c>
      <c r="P6" s="181">
        <v>0</v>
      </c>
      <c r="Q6" s="6" t="s">
        <v>1241</v>
      </c>
    </row>
    <row r="7" spans="1:17" x14ac:dyDescent="0.3">
      <c r="A7" s="2" t="s">
        <v>17</v>
      </c>
      <c r="B7" s="3" t="s">
        <v>84</v>
      </c>
      <c r="C7" s="5" t="s">
        <v>81</v>
      </c>
      <c r="D7" s="3" t="s">
        <v>25</v>
      </c>
      <c r="E7" s="3" t="s">
        <v>25</v>
      </c>
      <c r="G7" s="2" t="s">
        <v>17</v>
      </c>
      <c r="H7" s="3" t="s">
        <v>595</v>
      </c>
      <c r="I7" s="6" t="s">
        <v>154</v>
      </c>
      <c r="J7" s="3" t="s">
        <v>25</v>
      </c>
      <c r="K7" s="5" t="s">
        <v>157</v>
      </c>
      <c r="M7" s="2" t="s">
        <v>17</v>
      </c>
      <c r="N7" s="3" t="s">
        <v>23</v>
      </c>
      <c r="O7" s="5" t="s">
        <v>440</v>
      </c>
      <c r="P7" s="181" t="s">
        <v>25</v>
      </c>
      <c r="Q7" s="6" t="s">
        <v>23</v>
      </c>
    </row>
    <row r="8" spans="1:17" x14ac:dyDescent="0.3">
      <c r="A8" s="2" t="s">
        <v>22</v>
      </c>
      <c r="B8" s="3" t="s">
        <v>84</v>
      </c>
      <c r="C8" s="5" t="s">
        <v>81</v>
      </c>
      <c r="D8" s="3" t="s">
        <v>25</v>
      </c>
      <c r="E8" s="3" t="s">
        <v>25</v>
      </c>
      <c r="G8" s="2" t="s">
        <v>22</v>
      </c>
      <c r="H8" s="3" t="s">
        <v>158</v>
      </c>
      <c r="I8" s="3" t="s">
        <v>25</v>
      </c>
      <c r="J8" s="3" t="s">
        <v>25</v>
      </c>
      <c r="K8" s="5" t="s">
        <v>49</v>
      </c>
      <c r="M8" s="2" t="s">
        <v>22</v>
      </c>
      <c r="N8" s="3" t="s">
        <v>25</v>
      </c>
      <c r="O8" s="3" t="s">
        <v>25</v>
      </c>
      <c r="P8" s="181" t="s">
        <v>25</v>
      </c>
      <c r="Q8" s="3" t="s">
        <v>25</v>
      </c>
    </row>
    <row r="9" spans="1:17" x14ac:dyDescent="0.3">
      <c r="A9" s="7" t="s">
        <v>26</v>
      </c>
      <c r="B9" s="8">
        <v>7</v>
      </c>
      <c r="C9" s="8">
        <v>0</v>
      </c>
      <c r="D9" s="8">
        <v>7</v>
      </c>
      <c r="E9" s="8">
        <v>0</v>
      </c>
      <c r="G9" s="7" t="s">
        <v>26</v>
      </c>
      <c r="H9" s="8">
        <v>89</v>
      </c>
      <c r="I9" s="8">
        <v>51</v>
      </c>
      <c r="J9" s="8">
        <v>0</v>
      </c>
      <c r="K9" s="8">
        <v>38</v>
      </c>
      <c r="M9" s="7" t="s">
        <v>26</v>
      </c>
      <c r="N9" s="8">
        <v>211</v>
      </c>
      <c r="O9" s="8">
        <v>116</v>
      </c>
      <c r="P9" s="186">
        <v>0</v>
      </c>
      <c r="Q9" s="8">
        <v>95</v>
      </c>
    </row>
    <row r="10" spans="1:17" x14ac:dyDescent="0.3">
      <c r="A10" s="9" t="s">
        <v>27</v>
      </c>
      <c r="B10" s="10">
        <v>0</v>
      </c>
      <c r="C10" s="10">
        <v>0</v>
      </c>
      <c r="D10" s="10">
        <v>0</v>
      </c>
      <c r="E10" s="10">
        <v>0</v>
      </c>
      <c r="G10" s="9" t="s">
        <v>27</v>
      </c>
      <c r="H10" s="10">
        <v>35</v>
      </c>
      <c r="I10" s="10">
        <v>19</v>
      </c>
      <c r="J10" s="10">
        <v>0</v>
      </c>
      <c r="K10" s="10">
        <v>16</v>
      </c>
      <c r="M10" s="9" t="s">
        <v>27</v>
      </c>
      <c r="N10" s="10">
        <v>34</v>
      </c>
      <c r="O10" s="10">
        <v>10</v>
      </c>
      <c r="P10" s="188">
        <v>0</v>
      </c>
      <c r="Q10" s="10">
        <v>24</v>
      </c>
    </row>
    <row r="11" spans="1:17" x14ac:dyDescent="0.3">
      <c r="A11" s="9" t="s">
        <v>28</v>
      </c>
      <c r="B11" s="10">
        <v>1</v>
      </c>
      <c r="C11" s="10">
        <v>0</v>
      </c>
      <c r="D11" s="10">
        <v>1</v>
      </c>
      <c r="E11" s="10">
        <v>0</v>
      </c>
      <c r="G11" s="9" t="s">
        <v>28</v>
      </c>
      <c r="H11" s="10">
        <v>23</v>
      </c>
      <c r="I11" s="10">
        <v>13</v>
      </c>
      <c r="J11" s="10">
        <v>0</v>
      </c>
      <c r="K11" s="10">
        <v>10</v>
      </c>
      <c r="M11" s="9" t="s">
        <v>28</v>
      </c>
      <c r="N11" s="10">
        <v>61</v>
      </c>
      <c r="O11" s="10">
        <v>35</v>
      </c>
      <c r="P11" s="188">
        <v>0</v>
      </c>
      <c r="Q11" s="10">
        <v>26</v>
      </c>
    </row>
    <row r="12" spans="1:17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G12" s="9" t="s">
        <v>29</v>
      </c>
      <c r="H12" s="10">
        <v>2</v>
      </c>
      <c r="I12" s="10">
        <v>2</v>
      </c>
      <c r="J12" s="10">
        <v>0</v>
      </c>
      <c r="K12" s="10">
        <v>0</v>
      </c>
      <c r="M12" s="9" t="s">
        <v>29</v>
      </c>
      <c r="N12" s="10">
        <v>2</v>
      </c>
      <c r="O12" s="10">
        <v>2</v>
      </c>
      <c r="P12" s="188">
        <v>0</v>
      </c>
      <c r="Q12" s="10">
        <v>0</v>
      </c>
    </row>
    <row r="13" spans="1:17" x14ac:dyDescent="0.3">
      <c r="A13" s="9" t="s">
        <v>30</v>
      </c>
      <c r="B13" s="10">
        <v>6</v>
      </c>
      <c r="C13" s="10">
        <v>0</v>
      </c>
      <c r="D13" s="10">
        <v>6</v>
      </c>
      <c r="E13" s="10">
        <v>0</v>
      </c>
      <c r="G13" s="9" t="s">
        <v>30</v>
      </c>
      <c r="H13" s="10">
        <v>29</v>
      </c>
      <c r="I13" s="10">
        <v>17</v>
      </c>
      <c r="J13" s="10">
        <v>0</v>
      </c>
      <c r="K13" s="10">
        <v>12</v>
      </c>
      <c r="M13" s="9" t="s">
        <v>30</v>
      </c>
      <c r="N13" s="10">
        <v>114</v>
      </c>
      <c r="O13" s="10">
        <v>69</v>
      </c>
      <c r="P13" s="188">
        <v>0</v>
      </c>
      <c r="Q13" s="10">
        <v>45</v>
      </c>
    </row>
    <row r="14" spans="1:17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G14" s="9" t="s">
        <v>31</v>
      </c>
      <c r="H14" s="10">
        <v>0</v>
      </c>
      <c r="I14" s="10">
        <v>0</v>
      </c>
      <c r="J14" s="10">
        <v>0</v>
      </c>
      <c r="K14" s="10">
        <v>0</v>
      </c>
      <c r="M14" s="9" t="s">
        <v>31</v>
      </c>
      <c r="N14" s="10">
        <v>0</v>
      </c>
      <c r="O14" s="10">
        <v>0</v>
      </c>
      <c r="P14" s="188">
        <v>0</v>
      </c>
      <c r="Q14" s="10">
        <v>0</v>
      </c>
    </row>
    <row r="15" spans="1:17" x14ac:dyDescent="0.3">
      <c r="A15" s="11" t="s">
        <v>32</v>
      </c>
      <c r="B15" s="12">
        <v>1</v>
      </c>
      <c r="C15" s="12">
        <v>1</v>
      </c>
      <c r="D15" s="12">
        <v>0</v>
      </c>
      <c r="E15" s="12">
        <v>0</v>
      </c>
      <c r="G15" s="11" t="s">
        <v>32</v>
      </c>
      <c r="H15" s="12">
        <v>6</v>
      </c>
      <c r="I15" s="12">
        <v>2</v>
      </c>
      <c r="J15" s="12">
        <v>0</v>
      </c>
      <c r="K15" s="12">
        <v>4</v>
      </c>
      <c r="M15" s="11" t="s">
        <v>32</v>
      </c>
      <c r="N15" s="12">
        <v>93</v>
      </c>
      <c r="O15" s="12">
        <v>51</v>
      </c>
      <c r="P15" s="190">
        <v>0</v>
      </c>
      <c r="Q15" s="12">
        <v>42</v>
      </c>
    </row>
    <row r="16" spans="1:17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G16" s="13" t="s">
        <v>33</v>
      </c>
      <c r="H16" s="14">
        <v>1</v>
      </c>
      <c r="I16" s="14">
        <v>0</v>
      </c>
      <c r="J16" s="14">
        <v>0</v>
      </c>
      <c r="K16" s="14">
        <v>1</v>
      </c>
      <c r="M16" s="13" t="s">
        <v>33</v>
      </c>
      <c r="N16" s="14">
        <v>2</v>
      </c>
      <c r="O16" s="14">
        <v>0</v>
      </c>
      <c r="P16" s="192">
        <v>0</v>
      </c>
      <c r="Q16" s="14">
        <v>2</v>
      </c>
    </row>
    <row r="17" spans="1:17" x14ac:dyDescent="0.3">
      <c r="A17" s="13" t="s">
        <v>34</v>
      </c>
      <c r="B17" s="14">
        <v>1</v>
      </c>
      <c r="C17" s="14">
        <v>1</v>
      </c>
      <c r="D17" s="14">
        <v>0</v>
      </c>
      <c r="E17" s="14">
        <v>0</v>
      </c>
      <c r="G17" s="13" t="s">
        <v>34</v>
      </c>
      <c r="H17" s="14">
        <v>5</v>
      </c>
      <c r="I17" s="14">
        <v>2</v>
      </c>
      <c r="J17" s="14">
        <v>0</v>
      </c>
      <c r="K17" s="14">
        <v>3</v>
      </c>
      <c r="M17" s="13" t="s">
        <v>34</v>
      </c>
      <c r="N17" s="14">
        <v>91</v>
      </c>
      <c r="O17" s="14">
        <v>51</v>
      </c>
      <c r="P17" s="192">
        <v>0</v>
      </c>
      <c r="Q17" s="14">
        <v>40</v>
      </c>
    </row>
    <row r="18" spans="1:17" x14ac:dyDescent="0.3">
      <c r="A18" s="15" t="s">
        <v>35</v>
      </c>
      <c r="B18" s="16">
        <v>1</v>
      </c>
      <c r="C18" s="16">
        <v>1</v>
      </c>
      <c r="D18" s="16">
        <v>0</v>
      </c>
      <c r="E18" s="16">
        <v>0</v>
      </c>
      <c r="G18" s="15" t="s">
        <v>35</v>
      </c>
      <c r="H18" s="16">
        <v>1</v>
      </c>
      <c r="I18" s="16">
        <v>0</v>
      </c>
      <c r="J18" s="16">
        <v>0</v>
      </c>
      <c r="K18" s="16">
        <v>1</v>
      </c>
      <c r="M18" s="15" t="s">
        <v>35</v>
      </c>
      <c r="N18" s="16">
        <v>0</v>
      </c>
      <c r="O18" s="16">
        <v>0</v>
      </c>
      <c r="P18" s="194">
        <v>0</v>
      </c>
      <c r="Q18" s="16">
        <v>0</v>
      </c>
    </row>
    <row r="19" spans="1:17" x14ac:dyDescent="0.3">
      <c r="A19" s="17" t="s">
        <v>36</v>
      </c>
      <c r="B19" s="18">
        <v>1</v>
      </c>
      <c r="C19" s="18">
        <v>1</v>
      </c>
      <c r="D19" s="18">
        <v>0</v>
      </c>
      <c r="E19" s="18">
        <v>0</v>
      </c>
      <c r="G19" s="17" t="s">
        <v>36</v>
      </c>
      <c r="H19" s="56">
        <v>0</v>
      </c>
      <c r="I19" s="56">
        <v>0</v>
      </c>
      <c r="J19" s="78">
        <v>0</v>
      </c>
      <c r="K19" s="56">
        <v>0</v>
      </c>
      <c r="M19" s="17" t="s">
        <v>36</v>
      </c>
      <c r="N19" s="112">
        <v>0</v>
      </c>
      <c r="O19" s="112">
        <v>0</v>
      </c>
      <c r="P19" s="196">
        <v>0</v>
      </c>
      <c r="Q19" s="112">
        <v>0</v>
      </c>
    </row>
    <row r="20" spans="1:17" x14ac:dyDescent="0.3">
      <c r="A20" s="17" t="s">
        <v>37</v>
      </c>
      <c r="B20" s="18">
        <v>1</v>
      </c>
      <c r="C20" s="18">
        <v>1</v>
      </c>
      <c r="D20" s="18">
        <v>0</v>
      </c>
      <c r="E20" s="18">
        <v>0</v>
      </c>
      <c r="G20" s="17" t="s">
        <v>37</v>
      </c>
      <c r="H20" s="56">
        <v>1</v>
      </c>
      <c r="I20" s="56">
        <v>0</v>
      </c>
      <c r="J20" s="78">
        <v>0</v>
      </c>
      <c r="K20" s="56">
        <v>1</v>
      </c>
      <c r="M20" s="17" t="s">
        <v>37</v>
      </c>
      <c r="N20" s="112">
        <v>0</v>
      </c>
      <c r="O20" s="112">
        <v>0</v>
      </c>
      <c r="P20" s="196">
        <v>0</v>
      </c>
      <c r="Q20" s="112">
        <v>0</v>
      </c>
    </row>
    <row r="21" spans="1:17" x14ac:dyDescent="0.3">
      <c r="A21" s="17" t="s">
        <v>38</v>
      </c>
      <c r="B21" s="172" t="s">
        <v>85</v>
      </c>
      <c r="C21" s="173"/>
      <c r="D21" s="173"/>
      <c r="E21" s="173"/>
      <c r="G21" s="17" t="s">
        <v>38</v>
      </c>
      <c r="H21" s="172" t="s">
        <v>85</v>
      </c>
      <c r="I21" s="173"/>
      <c r="J21" s="173"/>
      <c r="K21" s="173"/>
      <c r="M21" s="17" t="s">
        <v>38</v>
      </c>
      <c r="N21" s="172" t="s">
        <v>209</v>
      </c>
      <c r="O21" s="173"/>
      <c r="P21" s="173"/>
      <c r="Q21" s="173"/>
    </row>
    <row r="22" spans="1:17" ht="19.8" x14ac:dyDescent="0.3">
      <c r="A22" s="171">
        <v>46084</v>
      </c>
      <c r="B22" s="171"/>
      <c r="C22" s="171"/>
      <c r="D22" s="171"/>
      <c r="E22" s="171"/>
      <c r="G22" s="171">
        <v>46114</v>
      </c>
      <c r="H22" s="171"/>
      <c r="I22" s="171"/>
      <c r="J22" s="171"/>
      <c r="K22" s="171"/>
      <c r="M22" s="171">
        <v>46146</v>
      </c>
      <c r="N22" s="171"/>
      <c r="O22" s="171"/>
      <c r="P22" s="171"/>
      <c r="Q22" s="171"/>
    </row>
    <row r="23" spans="1:17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870</v>
      </c>
      <c r="G23" s="1" t="s">
        <v>0</v>
      </c>
      <c r="H23" s="1" t="s">
        <v>1</v>
      </c>
      <c r="I23" s="1" t="s">
        <v>2</v>
      </c>
      <c r="J23" s="1" t="s">
        <v>3</v>
      </c>
      <c r="K23" s="1" t="s">
        <v>40</v>
      </c>
      <c r="M23" s="1" t="s">
        <v>0</v>
      </c>
      <c r="N23" s="1" t="s">
        <v>1</v>
      </c>
      <c r="O23" s="1" t="s">
        <v>2</v>
      </c>
      <c r="P23" s="179" t="s">
        <v>3</v>
      </c>
      <c r="Q23" s="1" t="s">
        <v>40</v>
      </c>
    </row>
    <row r="24" spans="1:17" x14ac:dyDescent="0.3">
      <c r="A24" s="2" t="s">
        <v>5</v>
      </c>
      <c r="B24" s="3">
        <v>1559</v>
      </c>
      <c r="C24" s="3">
        <v>1559</v>
      </c>
      <c r="D24" s="3">
        <v>0</v>
      </c>
      <c r="E24" s="3">
        <v>0</v>
      </c>
      <c r="G24" s="2" t="s">
        <v>5</v>
      </c>
      <c r="H24" s="3">
        <v>3659</v>
      </c>
      <c r="I24" s="3">
        <v>1939</v>
      </c>
      <c r="J24" s="3">
        <v>0</v>
      </c>
      <c r="K24" s="3">
        <v>1720</v>
      </c>
      <c r="M24" s="2" t="s">
        <v>5</v>
      </c>
      <c r="N24" s="3">
        <v>1430</v>
      </c>
      <c r="O24" s="3">
        <v>848</v>
      </c>
      <c r="P24" s="181">
        <v>0</v>
      </c>
      <c r="Q24" s="3">
        <v>582</v>
      </c>
    </row>
    <row r="25" spans="1:17" x14ac:dyDescent="0.3">
      <c r="A25" s="2" t="s">
        <v>6</v>
      </c>
      <c r="B25" s="3">
        <v>9</v>
      </c>
      <c r="C25" s="5">
        <v>9</v>
      </c>
      <c r="D25" s="3">
        <v>0</v>
      </c>
      <c r="E25" s="3">
        <v>0</v>
      </c>
      <c r="G25" s="2" t="s">
        <v>6</v>
      </c>
      <c r="H25" s="3">
        <v>143</v>
      </c>
      <c r="I25" s="5">
        <v>82</v>
      </c>
      <c r="J25" s="3">
        <v>0</v>
      </c>
      <c r="K25" s="6">
        <v>61</v>
      </c>
      <c r="M25" s="2" t="s">
        <v>6</v>
      </c>
      <c r="N25" s="3">
        <v>263</v>
      </c>
      <c r="O25" s="5">
        <v>150</v>
      </c>
      <c r="P25" s="181">
        <v>0</v>
      </c>
      <c r="Q25" s="6">
        <v>113</v>
      </c>
    </row>
    <row r="26" spans="1:17" x14ac:dyDescent="0.3">
      <c r="A26" s="2" t="s">
        <v>7</v>
      </c>
      <c r="B26" s="3" t="s">
        <v>137</v>
      </c>
      <c r="C26" s="5" t="s">
        <v>137</v>
      </c>
      <c r="D26" s="3">
        <v>0</v>
      </c>
      <c r="E26" s="3">
        <v>0</v>
      </c>
      <c r="G26" s="2" t="s">
        <v>7</v>
      </c>
      <c r="H26" s="3" t="s">
        <v>640</v>
      </c>
      <c r="I26" s="5" t="s">
        <v>270</v>
      </c>
      <c r="J26" s="3">
        <v>0</v>
      </c>
      <c r="K26" s="6" t="s">
        <v>1217</v>
      </c>
      <c r="M26" s="2" t="s">
        <v>7</v>
      </c>
      <c r="N26" s="3" t="s">
        <v>1787</v>
      </c>
      <c r="O26" s="6" t="s">
        <v>1788</v>
      </c>
      <c r="P26" s="181">
        <v>0</v>
      </c>
      <c r="Q26" s="5" t="s">
        <v>1789</v>
      </c>
    </row>
    <row r="27" spans="1:17" x14ac:dyDescent="0.3">
      <c r="A27" s="2" t="s">
        <v>12</v>
      </c>
      <c r="B27" s="3" t="s">
        <v>25</v>
      </c>
      <c r="C27" s="3" t="s">
        <v>25</v>
      </c>
      <c r="D27" s="3">
        <v>0</v>
      </c>
      <c r="E27" s="3">
        <v>0</v>
      </c>
      <c r="G27" s="2" t="s">
        <v>12</v>
      </c>
      <c r="H27" s="3" t="s">
        <v>770</v>
      </c>
      <c r="I27" s="5" t="s">
        <v>114</v>
      </c>
      <c r="J27" s="3">
        <v>0</v>
      </c>
      <c r="K27" s="6" t="s">
        <v>130</v>
      </c>
      <c r="M27" s="2" t="s">
        <v>12</v>
      </c>
      <c r="N27" s="3" t="s">
        <v>164</v>
      </c>
      <c r="O27" s="6" t="s">
        <v>1327</v>
      </c>
      <c r="P27" s="181">
        <v>0</v>
      </c>
      <c r="Q27" s="5" t="s">
        <v>1790</v>
      </c>
    </row>
    <row r="28" spans="1:17" x14ac:dyDescent="0.3">
      <c r="A28" s="2" t="s">
        <v>17</v>
      </c>
      <c r="B28" s="3" t="s">
        <v>150</v>
      </c>
      <c r="C28" s="5" t="s">
        <v>150</v>
      </c>
      <c r="D28" s="3" t="s">
        <v>25</v>
      </c>
      <c r="E28" s="3" t="s">
        <v>25</v>
      </c>
      <c r="G28" s="2" t="s">
        <v>17</v>
      </c>
      <c r="H28" s="3" t="s">
        <v>507</v>
      </c>
      <c r="I28" s="5" t="s">
        <v>337</v>
      </c>
      <c r="J28" s="3" t="s">
        <v>25</v>
      </c>
      <c r="K28" s="6" t="s">
        <v>102</v>
      </c>
      <c r="M28" s="2" t="s">
        <v>17</v>
      </c>
      <c r="N28" s="3" t="s">
        <v>892</v>
      </c>
      <c r="O28" s="6" t="s">
        <v>380</v>
      </c>
      <c r="P28" s="181" t="s">
        <v>25</v>
      </c>
      <c r="Q28" s="5" t="s">
        <v>1313</v>
      </c>
    </row>
    <row r="29" spans="1:17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G29" s="2" t="s">
        <v>22</v>
      </c>
      <c r="H29" s="3" t="s">
        <v>552</v>
      </c>
      <c r="I29" s="3" t="s">
        <v>25</v>
      </c>
      <c r="J29" s="3" t="s">
        <v>25</v>
      </c>
      <c r="K29" s="5" t="s">
        <v>268</v>
      </c>
      <c r="M29" s="2" t="s">
        <v>22</v>
      </c>
      <c r="N29" s="3" t="s">
        <v>138</v>
      </c>
      <c r="O29" s="3" t="s">
        <v>25</v>
      </c>
      <c r="P29" s="181" t="s">
        <v>25</v>
      </c>
      <c r="Q29" s="5" t="s">
        <v>108</v>
      </c>
    </row>
    <row r="30" spans="1:17" x14ac:dyDescent="0.3">
      <c r="A30" s="7" t="s">
        <v>26</v>
      </c>
      <c r="B30" s="8">
        <v>0</v>
      </c>
      <c r="C30" s="8">
        <v>0</v>
      </c>
      <c r="D30" s="8">
        <v>0</v>
      </c>
      <c r="E30" s="8">
        <v>0</v>
      </c>
      <c r="G30" s="7" t="s">
        <v>26</v>
      </c>
      <c r="H30" s="8">
        <v>127</v>
      </c>
      <c r="I30" s="8">
        <v>69</v>
      </c>
      <c r="J30" s="8">
        <v>0</v>
      </c>
      <c r="K30" s="8">
        <v>58</v>
      </c>
      <c r="M30" s="7" t="s">
        <v>26</v>
      </c>
      <c r="N30" s="8">
        <v>170</v>
      </c>
      <c r="O30" s="8">
        <v>97</v>
      </c>
      <c r="P30" s="186">
        <v>0</v>
      </c>
      <c r="Q30" s="8">
        <v>73</v>
      </c>
    </row>
    <row r="31" spans="1:17" x14ac:dyDescent="0.3">
      <c r="A31" s="9" t="s">
        <v>27</v>
      </c>
      <c r="B31" s="10">
        <v>0</v>
      </c>
      <c r="C31" s="10">
        <v>0</v>
      </c>
      <c r="D31" s="10">
        <v>0</v>
      </c>
      <c r="E31" s="10">
        <v>0</v>
      </c>
      <c r="G31" s="9" t="s">
        <v>27</v>
      </c>
      <c r="H31" s="10">
        <v>29</v>
      </c>
      <c r="I31" s="10">
        <v>16</v>
      </c>
      <c r="J31" s="10">
        <v>0</v>
      </c>
      <c r="K31" s="10">
        <v>13</v>
      </c>
      <c r="M31" s="9" t="s">
        <v>27</v>
      </c>
      <c r="N31" s="10">
        <v>28</v>
      </c>
      <c r="O31" s="10">
        <v>10</v>
      </c>
      <c r="P31" s="188">
        <v>0</v>
      </c>
      <c r="Q31" s="10">
        <v>18</v>
      </c>
    </row>
    <row r="32" spans="1:17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G32" s="9" t="s">
        <v>28</v>
      </c>
      <c r="H32" s="10">
        <v>49</v>
      </c>
      <c r="I32" s="10">
        <v>23</v>
      </c>
      <c r="J32" s="10">
        <v>0</v>
      </c>
      <c r="K32" s="10">
        <v>26</v>
      </c>
      <c r="M32" s="9" t="s">
        <v>28</v>
      </c>
      <c r="N32" s="10">
        <v>36</v>
      </c>
      <c r="O32" s="10">
        <v>17</v>
      </c>
      <c r="P32" s="188">
        <v>0</v>
      </c>
      <c r="Q32" s="10">
        <v>19</v>
      </c>
    </row>
    <row r="33" spans="1:17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G33" s="9" t="s">
        <v>29</v>
      </c>
      <c r="H33" s="10">
        <v>7</v>
      </c>
      <c r="I33" s="10">
        <v>7</v>
      </c>
      <c r="J33" s="10">
        <v>0</v>
      </c>
      <c r="K33" s="10">
        <v>0</v>
      </c>
      <c r="M33" s="9" t="s">
        <v>29</v>
      </c>
      <c r="N33" s="10">
        <v>0</v>
      </c>
      <c r="O33" s="10">
        <v>0</v>
      </c>
      <c r="P33" s="188">
        <v>0</v>
      </c>
      <c r="Q33" s="10">
        <v>0</v>
      </c>
    </row>
    <row r="34" spans="1:17" x14ac:dyDescent="0.3">
      <c r="A34" s="9" t="s">
        <v>30</v>
      </c>
      <c r="B34" s="10">
        <v>0</v>
      </c>
      <c r="C34" s="10">
        <v>0</v>
      </c>
      <c r="D34" s="10">
        <v>0</v>
      </c>
      <c r="E34" s="10">
        <v>0</v>
      </c>
      <c r="G34" s="9" t="s">
        <v>30</v>
      </c>
      <c r="H34" s="10">
        <v>42</v>
      </c>
      <c r="I34" s="10">
        <v>23</v>
      </c>
      <c r="J34" s="10">
        <v>0</v>
      </c>
      <c r="K34" s="10">
        <v>19</v>
      </c>
      <c r="M34" s="9" t="s">
        <v>30</v>
      </c>
      <c r="N34" s="10">
        <v>106</v>
      </c>
      <c r="O34" s="10">
        <v>70</v>
      </c>
      <c r="P34" s="188">
        <v>0</v>
      </c>
      <c r="Q34" s="10">
        <v>36</v>
      </c>
    </row>
    <row r="35" spans="1:17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G35" s="9" t="s">
        <v>31</v>
      </c>
      <c r="H35" s="10">
        <v>0</v>
      </c>
      <c r="I35" s="10">
        <v>0</v>
      </c>
      <c r="J35" s="10">
        <v>0</v>
      </c>
      <c r="K35" s="10">
        <v>0</v>
      </c>
      <c r="M35" s="9" t="s">
        <v>31</v>
      </c>
      <c r="N35" s="10">
        <v>0</v>
      </c>
      <c r="O35" s="10">
        <v>0</v>
      </c>
      <c r="P35" s="188">
        <v>0</v>
      </c>
      <c r="Q35" s="10">
        <v>0</v>
      </c>
    </row>
    <row r="36" spans="1:17" x14ac:dyDescent="0.3">
      <c r="A36" s="11" t="s">
        <v>32</v>
      </c>
      <c r="B36" s="12">
        <v>6</v>
      </c>
      <c r="C36" s="12">
        <v>6</v>
      </c>
      <c r="D36" s="12">
        <v>0</v>
      </c>
      <c r="E36" s="12">
        <v>0</v>
      </c>
      <c r="G36" s="11" t="s">
        <v>32</v>
      </c>
      <c r="H36" s="12">
        <v>15</v>
      </c>
      <c r="I36" s="12">
        <v>13</v>
      </c>
      <c r="J36" s="12">
        <v>0</v>
      </c>
      <c r="K36" s="12">
        <v>2</v>
      </c>
      <c r="M36" s="11" t="s">
        <v>32</v>
      </c>
      <c r="N36" s="12">
        <v>93</v>
      </c>
      <c r="O36" s="12">
        <v>53</v>
      </c>
      <c r="P36" s="190">
        <v>0</v>
      </c>
      <c r="Q36" s="12">
        <v>40</v>
      </c>
    </row>
    <row r="37" spans="1:17" x14ac:dyDescent="0.3">
      <c r="A37" s="13" t="s">
        <v>33</v>
      </c>
      <c r="B37" s="14">
        <v>3</v>
      </c>
      <c r="C37" s="14">
        <v>3</v>
      </c>
      <c r="D37" s="14">
        <v>0</v>
      </c>
      <c r="E37" s="14">
        <v>0</v>
      </c>
      <c r="G37" s="13" t="s">
        <v>33</v>
      </c>
      <c r="H37" s="14">
        <v>0</v>
      </c>
      <c r="I37" s="14">
        <v>0</v>
      </c>
      <c r="J37" s="14">
        <v>0</v>
      </c>
      <c r="K37" s="14">
        <v>0</v>
      </c>
      <c r="M37" s="13" t="s">
        <v>33</v>
      </c>
      <c r="N37" s="14">
        <v>3</v>
      </c>
      <c r="O37" s="14">
        <v>2</v>
      </c>
      <c r="P37" s="192">
        <v>0</v>
      </c>
      <c r="Q37" s="14">
        <v>1</v>
      </c>
    </row>
    <row r="38" spans="1:17" x14ac:dyDescent="0.3">
      <c r="A38" s="13" t="s">
        <v>34</v>
      </c>
      <c r="B38" s="14">
        <v>3</v>
      </c>
      <c r="C38" s="14">
        <v>3</v>
      </c>
      <c r="D38" s="14">
        <v>0</v>
      </c>
      <c r="E38" s="14">
        <v>0</v>
      </c>
      <c r="G38" s="13" t="s">
        <v>34</v>
      </c>
      <c r="H38" s="14">
        <v>15</v>
      </c>
      <c r="I38" s="14">
        <v>13</v>
      </c>
      <c r="J38" s="14">
        <v>0</v>
      </c>
      <c r="K38" s="14">
        <v>2</v>
      </c>
      <c r="M38" s="13" t="s">
        <v>34</v>
      </c>
      <c r="N38" s="14">
        <v>90</v>
      </c>
      <c r="O38" s="14">
        <v>51</v>
      </c>
      <c r="P38" s="192">
        <v>0</v>
      </c>
      <c r="Q38" s="14">
        <v>39</v>
      </c>
    </row>
    <row r="39" spans="1:17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G39" s="15" t="s">
        <v>35</v>
      </c>
      <c r="H39" s="16">
        <v>1</v>
      </c>
      <c r="I39" s="16">
        <v>0</v>
      </c>
      <c r="J39" s="16">
        <v>0</v>
      </c>
      <c r="K39" s="16">
        <v>1</v>
      </c>
      <c r="M39" s="15" t="s">
        <v>35</v>
      </c>
      <c r="N39" s="16">
        <v>1</v>
      </c>
      <c r="O39" s="16">
        <v>0</v>
      </c>
      <c r="P39" s="194">
        <v>0</v>
      </c>
      <c r="Q39" s="16">
        <v>1</v>
      </c>
    </row>
    <row r="40" spans="1:17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G40" s="17" t="s">
        <v>36</v>
      </c>
      <c r="H40" s="56">
        <v>0</v>
      </c>
      <c r="I40" s="56">
        <v>0</v>
      </c>
      <c r="J40" s="78">
        <v>0</v>
      </c>
      <c r="K40" s="56">
        <v>0</v>
      </c>
      <c r="M40" s="17" t="s">
        <v>36</v>
      </c>
      <c r="N40" s="112">
        <v>0</v>
      </c>
      <c r="O40" s="112">
        <v>0</v>
      </c>
      <c r="P40" s="196">
        <v>0</v>
      </c>
      <c r="Q40" s="112">
        <v>0</v>
      </c>
    </row>
    <row r="41" spans="1:17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G41" s="17" t="s">
        <v>37</v>
      </c>
      <c r="H41" s="56">
        <v>1</v>
      </c>
      <c r="I41" s="56">
        <v>0</v>
      </c>
      <c r="J41" s="78">
        <v>0</v>
      </c>
      <c r="K41" s="56">
        <v>1</v>
      </c>
      <c r="M41" s="17" t="s">
        <v>37</v>
      </c>
      <c r="N41" s="112">
        <v>1</v>
      </c>
      <c r="O41" s="112">
        <v>0</v>
      </c>
      <c r="P41" s="196">
        <v>0</v>
      </c>
      <c r="Q41" s="112">
        <v>1</v>
      </c>
    </row>
    <row r="42" spans="1:17" x14ac:dyDescent="0.3">
      <c r="A42" s="17" t="s">
        <v>38</v>
      </c>
      <c r="B42" s="172" t="s">
        <v>151</v>
      </c>
      <c r="C42" s="173"/>
      <c r="D42" s="173"/>
      <c r="E42" s="173"/>
      <c r="G42" s="17" t="s">
        <v>38</v>
      </c>
      <c r="H42" s="172" t="s">
        <v>151</v>
      </c>
      <c r="I42" s="173"/>
      <c r="J42" s="173"/>
      <c r="K42" s="173"/>
      <c r="M42" s="17" t="s">
        <v>38</v>
      </c>
      <c r="N42" s="172" t="s">
        <v>209</v>
      </c>
      <c r="O42" s="173"/>
      <c r="P42" s="173"/>
      <c r="Q42" s="173"/>
    </row>
    <row r="43" spans="1:17" ht="19.8" x14ac:dyDescent="0.3">
      <c r="A43" s="171">
        <v>46085</v>
      </c>
      <c r="B43" s="171"/>
      <c r="C43" s="171"/>
      <c r="D43" s="171"/>
      <c r="E43" s="171"/>
      <c r="G43" s="171">
        <v>46115</v>
      </c>
      <c r="H43" s="171"/>
      <c r="I43" s="171"/>
      <c r="J43" s="171"/>
      <c r="K43" s="171"/>
      <c r="M43" s="171">
        <v>46147</v>
      </c>
      <c r="N43" s="171"/>
      <c r="O43" s="171"/>
      <c r="P43" s="171"/>
      <c r="Q43" s="171"/>
    </row>
    <row r="44" spans="1:17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870</v>
      </c>
      <c r="G44" s="1" t="s">
        <v>0</v>
      </c>
      <c r="H44" s="1" t="s">
        <v>1</v>
      </c>
      <c r="I44" s="1" t="s">
        <v>2</v>
      </c>
      <c r="J44" s="1" t="s">
        <v>3</v>
      </c>
      <c r="K44" s="1" t="s">
        <v>40</v>
      </c>
      <c r="M44" s="1" t="s">
        <v>0</v>
      </c>
      <c r="N44" s="1" t="s">
        <v>1</v>
      </c>
      <c r="O44" s="1" t="s">
        <v>2</v>
      </c>
      <c r="P44" s="179" t="s">
        <v>3</v>
      </c>
      <c r="Q44" s="1" t="s">
        <v>40</v>
      </c>
    </row>
    <row r="45" spans="1:17" x14ac:dyDescent="0.3">
      <c r="A45" s="2" t="s">
        <v>5</v>
      </c>
      <c r="B45" s="3">
        <v>1802</v>
      </c>
      <c r="C45" s="3">
        <v>1802</v>
      </c>
      <c r="D45" s="3">
        <v>0</v>
      </c>
      <c r="E45" s="3">
        <v>0</v>
      </c>
      <c r="G45" s="2" t="s">
        <v>5</v>
      </c>
      <c r="H45" s="3">
        <v>2754</v>
      </c>
      <c r="I45" s="3">
        <v>1464</v>
      </c>
      <c r="J45" s="3">
        <v>0</v>
      </c>
      <c r="K45" s="3">
        <v>1290</v>
      </c>
      <c r="M45" s="2" t="s">
        <v>5</v>
      </c>
      <c r="N45" s="3">
        <v>2603</v>
      </c>
      <c r="O45" s="3">
        <v>1536</v>
      </c>
      <c r="P45" s="181">
        <v>0</v>
      </c>
      <c r="Q45" s="3">
        <v>1067</v>
      </c>
    </row>
    <row r="46" spans="1:17" x14ac:dyDescent="0.3">
      <c r="A46" s="2" t="s">
        <v>6</v>
      </c>
      <c r="B46" s="3">
        <v>8</v>
      </c>
      <c r="C46" s="5">
        <v>8</v>
      </c>
      <c r="D46" s="3">
        <v>0</v>
      </c>
      <c r="E46" s="3">
        <v>0</v>
      </c>
      <c r="G46" s="2" t="s">
        <v>6</v>
      </c>
      <c r="H46" s="3">
        <v>73</v>
      </c>
      <c r="I46" s="5">
        <v>40</v>
      </c>
      <c r="J46" s="3">
        <v>0</v>
      </c>
      <c r="K46" s="6">
        <v>33</v>
      </c>
      <c r="M46" s="2" t="s">
        <v>6</v>
      </c>
      <c r="N46" s="3">
        <v>212</v>
      </c>
      <c r="O46" s="5">
        <v>116</v>
      </c>
      <c r="P46" s="181">
        <v>0</v>
      </c>
      <c r="Q46" s="6">
        <v>96</v>
      </c>
    </row>
    <row r="47" spans="1:17" x14ac:dyDescent="0.3">
      <c r="A47" s="2" t="s">
        <v>7</v>
      </c>
      <c r="B47" s="3" t="s">
        <v>119</v>
      </c>
      <c r="C47" s="5" t="s">
        <v>119</v>
      </c>
      <c r="D47" s="3">
        <v>0</v>
      </c>
      <c r="E47" s="3">
        <v>0</v>
      </c>
      <c r="G47" s="2" t="s">
        <v>7</v>
      </c>
      <c r="H47" s="3" t="s">
        <v>441</v>
      </c>
      <c r="I47" s="5" t="s">
        <v>398</v>
      </c>
      <c r="J47" s="3">
        <v>0</v>
      </c>
      <c r="K47" s="6" t="s">
        <v>402</v>
      </c>
      <c r="M47" s="2" t="s">
        <v>7</v>
      </c>
      <c r="N47" s="3" t="s">
        <v>822</v>
      </c>
      <c r="O47" s="6" t="s">
        <v>891</v>
      </c>
      <c r="P47" s="181">
        <v>0</v>
      </c>
      <c r="Q47" s="5" t="s">
        <v>330</v>
      </c>
    </row>
    <row r="48" spans="1:17" x14ac:dyDescent="0.3">
      <c r="A48" s="2" t="s">
        <v>12</v>
      </c>
      <c r="B48" s="3" t="s">
        <v>25</v>
      </c>
      <c r="C48" s="3" t="s">
        <v>25</v>
      </c>
      <c r="D48" s="3">
        <v>0</v>
      </c>
      <c r="E48" s="3">
        <v>0</v>
      </c>
      <c r="G48" s="2" t="s">
        <v>12</v>
      </c>
      <c r="H48" s="3" t="s">
        <v>427</v>
      </c>
      <c r="I48" s="6" t="s">
        <v>1239</v>
      </c>
      <c r="J48" s="3">
        <v>0</v>
      </c>
      <c r="K48" s="5" t="s">
        <v>541</v>
      </c>
      <c r="M48" s="2" t="s">
        <v>12</v>
      </c>
      <c r="N48" s="3" t="s">
        <v>1801</v>
      </c>
      <c r="O48" s="6" t="s">
        <v>380</v>
      </c>
      <c r="P48" s="181">
        <v>0</v>
      </c>
      <c r="Q48" s="5" t="s">
        <v>262</v>
      </c>
    </row>
    <row r="49" spans="1:17" x14ac:dyDescent="0.3">
      <c r="A49" s="2" t="s">
        <v>17</v>
      </c>
      <c r="B49" s="3" t="s">
        <v>108</v>
      </c>
      <c r="C49" s="5" t="s">
        <v>108</v>
      </c>
      <c r="D49" s="3" t="s">
        <v>25</v>
      </c>
      <c r="E49" s="3" t="s">
        <v>25</v>
      </c>
      <c r="G49" s="2" t="s">
        <v>17</v>
      </c>
      <c r="H49" s="3" t="s">
        <v>122</v>
      </c>
      <c r="I49" s="5" t="s">
        <v>100</v>
      </c>
      <c r="J49" s="3" t="s">
        <v>25</v>
      </c>
      <c r="K49" s="6" t="s">
        <v>309</v>
      </c>
      <c r="M49" s="2" t="s">
        <v>17</v>
      </c>
      <c r="N49" s="3" t="s">
        <v>510</v>
      </c>
      <c r="O49" s="6" t="s">
        <v>240</v>
      </c>
      <c r="P49" s="181" t="s">
        <v>25</v>
      </c>
      <c r="Q49" s="5" t="s">
        <v>546</v>
      </c>
    </row>
    <row r="50" spans="1:17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G50" s="2" t="s">
        <v>22</v>
      </c>
      <c r="H50" s="3" t="s">
        <v>257</v>
      </c>
      <c r="I50" s="5" t="s">
        <v>138</v>
      </c>
      <c r="J50" s="3" t="s">
        <v>25</v>
      </c>
      <c r="K50" s="3" t="s">
        <v>25</v>
      </c>
      <c r="M50" s="2" t="s">
        <v>22</v>
      </c>
      <c r="N50" s="3" t="s">
        <v>257</v>
      </c>
      <c r="O50" s="3" t="s">
        <v>25</v>
      </c>
      <c r="P50" s="181" t="s">
        <v>25</v>
      </c>
      <c r="Q50" s="5" t="s">
        <v>84</v>
      </c>
    </row>
    <row r="51" spans="1:17" x14ac:dyDescent="0.3">
      <c r="A51" s="7" t="s">
        <v>26</v>
      </c>
      <c r="B51" s="8">
        <v>0</v>
      </c>
      <c r="C51" s="8">
        <v>0</v>
      </c>
      <c r="D51" s="8">
        <v>0</v>
      </c>
      <c r="E51" s="8">
        <v>0</v>
      </c>
      <c r="G51" s="7" t="s">
        <v>26</v>
      </c>
      <c r="H51" s="8">
        <v>67</v>
      </c>
      <c r="I51" s="8">
        <v>35</v>
      </c>
      <c r="J51" s="8">
        <v>0</v>
      </c>
      <c r="K51" s="8">
        <v>32</v>
      </c>
      <c r="M51" s="7" t="s">
        <v>26</v>
      </c>
      <c r="N51" s="8">
        <v>173</v>
      </c>
      <c r="O51" s="8">
        <v>96</v>
      </c>
      <c r="P51" s="186">
        <v>0</v>
      </c>
      <c r="Q51" s="8">
        <v>77</v>
      </c>
    </row>
    <row r="52" spans="1:17" x14ac:dyDescent="0.3">
      <c r="A52" s="9" t="s">
        <v>27</v>
      </c>
      <c r="B52" s="10">
        <v>0</v>
      </c>
      <c r="C52" s="10">
        <v>0</v>
      </c>
      <c r="D52" s="10">
        <v>0</v>
      </c>
      <c r="E52" s="10">
        <v>0</v>
      </c>
      <c r="G52" s="9" t="s">
        <v>27</v>
      </c>
      <c r="H52" s="10">
        <v>16</v>
      </c>
      <c r="I52" s="10">
        <v>9</v>
      </c>
      <c r="J52" s="10">
        <v>0</v>
      </c>
      <c r="K52" s="10">
        <v>7</v>
      </c>
      <c r="M52" s="9" t="s">
        <v>27</v>
      </c>
      <c r="N52" s="10">
        <v>33</v>
      </c>
      <c r="O52" s="10">
        <v>11</v>
      </c>
      <c r="P52" s="188">
        <v>0</v>
      </c>
      <c r="Q52" s="10">
        <v>22</v>
      </c>
    </row>
    <row r="53" spans="1:17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G53" s="9" t="s">
        <v>28</v>
      </c>
      <c r="H53" s="10">
        <v>32</v>
      </c>
      <c r="I53" s="10">
        <v>16</v>
      </c>
      <c r="J53" s="10">
        <v>0</v>
      </c>
      <c r="K53" s="10">
        <v>16</v>
      </c>
      <c r="M53" s="9" t="s">
        <v>28</v>
      </c>
      <c r="N53" s="10">
        <v>42</v>
      </c>
      <c r="O53" s="10">
        <v>24</v>
      </c>
      <c r="P53" s="188">
        <v>0</v>
      </c>
      <c r="Q53" s="10">
        <v>18</v>
      </c>
    </row>
    <row r="54" spans="1:17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G54" s="9" t="s">
        <v>29</v>
      </c>
      <c r="H54" s="10">
        <v>0</v>
      </c>
      <c r="I54" s="10">
        <v>0</v>
      </c>
      <c r="J54" s="10">
        <v>0</v>
      </c>
      <c r="K54" s="10">
        <v>0</v>
      </c>
      <c r="M54" s="9" t="s">
        <v>29</v>
      </c>
      <c r="N54" s="10">
        <v>0</v>
      </c>
      <c r="O54" s="10">
        <v>0</v>
      </c>
      <c r="P54" s="188">
        <v>0</v>
      </c>
      <c r="Q54" s="10">
        <v>0</v>
      </c>
    </row>
    <row r="55" spans="1:17" x14ac:dyDescent="0.3">
      <c r="A55" s="9" t="s">
        <v>30</v>
      </c>
      <c r="B55" s="10">
        <v>0</v>
      </c>
      <c r="C55" s="10">
        <v>0</v>
      </c>
      <c r="D55" s="10">
        <v>0</v>
      </c>
      <c r="E55" s="10">
        <v>0</v>
      </c>
      <c r="G55" s="9" t="s">
        <v>30</v>
      </c>
      <c r="H55" s="10">
        <v>19</v>
      </c>
      <c r="I55" s="10">
        <v>10</v>
      </c>
      <c r="J55" s="10">
        <v>0</v>
      </c>
      <c r="K55" s="10">
        <v>9</v>
      </c>
      <c r="M55" s="9" t="s">
        <v>30</v>
      </c>
      <c r="N55" s="10">
        <v>98</v>
      </c>
      <c r="O55" s="10">
        <v>61</v>
      </c>
      <c r="P55" s="188">
        <v>0</v>
      </c>
      <c r="Q55" s="10">
        <v>37</v>
      </c>
    </row>
    <row r="56" spans="1:17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G56" s="9" t="s">
        <v>31</v>
      </c>
      <c r="H56" s="10">
        <v>0</v>
      </c>
      <c r="I56" s="10">
        <v>0</v>
      </c>
      <c r="J56" s="10">
        <v>0</v>
      </c>
      <c r="K56" s="10">
        <v>0</v>
      </c>
      <c r="M56" s="9" t="s">
        <v>31</v>
      </c>
      <c r="N56" s="10">
        <v>0</v>
      </c>
      <c r="O56" s="10">
        <v>0</v>
      </c>
      <c r="P56" s="188">
        <v>0</v>
      </c>
      <c r="Q56" s="10">
        <v>0</v>
      </c>
    </row>
    <row r="57" spans="1:17" x14ac:dyDescent="0.3">
      <c r="A57" s="11" t="s">
        <v>32</v>
      </c>
      <c r="B57" s="12">
        <v>3</v>
      </c>
      <c r="C57" s="12">
        <v>3</v>
      </c>
      <c r="D57" s="12">
        <v>0</v>
      </c>
      <c r="E57" s="12">
        <v>0</v>
      </c>
      <c r="G57" s="11" t="s">
        <v>32</v>
      </c>
      <c r="H57" s="12">
        <v>6</v>
      </c>
      <c r="I57" s="12">
        <v>5</v>
      </c>
      <c r="J57" s="12">
        <v>0</v>
      </c>
      <c r="K57" s="12">
        <v>1</v>
      </c>
      <c r="M57" s="11" t="s">
        <v>32</v>
      </c>
      <c r="N57" s="12">
        <v>40</v>
      </c>
      <c r="O57" s="12">
        <v>21</v>
      </c>
      <c r="P57" s="190">
        <v>0</v>
      </c>
      <c r="Q57" s="12">
        <v>19</v>
      </c>
    </row>
    <row r="58" spans="1:17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G58" s="13" t="s">
        <v>33</v>
      </c>
      <c r="H58" s="14">
        <v>1</v>
      </c>
      <c r="I58" s="14">
        <v>1</v>
      </c>
      <c r="J58" s="14">
        <v>0</v>
      </c>
      <c r="K58" s="14">
        <v>0</v>
      </c>
      <c r="M58" s="13" t="s">
        <v>33</v>
      </c>
      <c r="N58" s="14">
        <v>2</v>
      </c>
      <c r="O58" s="14">
        <v>1</v>
      </c>
      <c r="P58" s="192">
        <v>0</v>
      </c>
      <c r="Q58" s="14">
        <v>1</v>
      </c>
    </row>
    <row r="59" spans="1:17" x14ac:dyDescent="0.3">
      <c r="A59" s="13" t="s">
        <v>34</v>
      </c>
      <c r="B59" s="14">
        <v>3</v>
      </c>
      <c r="C59" s="14">
        <v>3</v>
      </c>
      <c r="D59" s="14">
        <v>0</v>
      </c>
      <c r="E59" s="14">
        <v>0</v>
      </c>
      <c r="G59" s="13" t="s">
        <v>34</v>
      </c>
      <c r="H59" s="14">
        <v>5</v>
      </c>
      <c r="I59" s="14">
        <v>4</v>
      </c>
      <c r="J59" s="14">
        <v>0</v>
      </c>
      <c r="K59" s="14">
        <v>1</v>
      </c>
      <c r="M59" s="13" t="s">
        <v>34</v>
      </c>
      <c r="N59" s="14">
        <v>38</v>
      </c>
      <c r="O59" s="14">
        <v>20</v>
      </c>
      <c r="P59" s="192">
        <v>0</v>
      </c>
      <c r="Q59" s="14">
        <v>18</v>
      </c>
    </row>
    <row r="60" spans="1:17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G60" s="15" t="s">
        <v>35</v>
      </c>
      <c r="H60" s="16">
        <v>1</v>
      </c>
      <c r="I60" s="16">
        <v>1</v>
      </c>
      <c r="J60" s="16">
        <v>0</v>
      </c>
      <c r="K60" s="16">
        <v>0</v>
      </c>
      <c r="M60" s="15" t="s">
        <v>35</v>
      </c>
      <c r="N60" s="16">
        <v>1</v>
      </c>
      <c r="O60" s="16">
        <v>0</v>
      </c>
      <c r="P60" s="194">
        <v>0</v>
      </c>
      <c r="Q60" s="16">
        <v>1</v>
      </c>
    </row>
    <row r="61" spans="1:17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G61" s="17" t="s">
        <v>36</v>
      </c>
      <c r="H61" s="78">
        <v>0</v>
      </c>
      <c r="I61" s="78">
        <v>0</v>
      </c>
      <c r="J61" s="78">
        <v>0</v>
      </c>
      <c r="K61" s="78">
        <v>0</v>
      </c>
      <c r="M61" s="17" t="s">
        <v>36</v>
      </c>
      <c r="N61" s="112">
        <v>0</v>
      </c>
      <c r="O61" s="112">
        <v>0</v>
      </c>
      <c r="P61" s="196">
        <v>0</v>
      </c>
      <c r="Q61" s="112">
        <v>0</v>
      </c>
    </row>
    <row r="62" spans="1:17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G62" s="17" t="s">
        <v>37</v>
      </c>
      <c r="H62" s="78">
        <v>1</v>
      </c>
      <c r="I62" s="78">
        <v>1</v>
      </c>
      <c r="J62" s="78">
        <v>0</v>
      </c>
      <c r="K62" s="78">
        <v>0</v>
      </c>
      <c r="M62" s="17" t="s">
        <v>37</v>
      </c>
      <c r="N62" s="112">
        <v>1</v>
      </c>
      <c r="O62" s="112">
        <v>0</v>
      </c>
      <c r="P62" s="196">
        <v>0</v>
      </c>
      <c r="Q62" s="112">
        <v>1</v>
      </c>
    </row>
    <row r="63" spans="1:17" x14ac:dyDescent="0.3">
      <c r="A63" s="17" t="s">
        <v>38</v>
      </c>
      <c r="B63" s="172" t="s">
        <v>209</v>
      </c>
      <c r="C63" s="173"/>
      <c r="D63" s="173"/>
      <c r="E63" s="173"/>
      <c r="G63" s="17" t="s">
        <v>38</v>
      </c>
      <c r="H63" s="172" t="s">
        <v>209</v>
      </c>
      <c r="I63" s="173"/>
      <c r="J63" s="173"/>
      <c r="K63" s="173"/>
      <c r="M63" s="17" t="s">
        <v>38</v>
      </c>
      <c r="N63" s="172" t="s">
        <v>209</v>
      </c>
      <c r="O63" s="173"/>
      <c r="P63" s="173"/>
      <c r="Q63" s="173"/>
    </row>
    <row r="64" spans="1:17" ht="19.8" x14ac:dyDescent="0.3">
      <c r="A64" s="171">
        <v>46086</v>
      </c>
      <c r="B64" s="171"/>
      <c r="C64" s="171"/>
      <c r="D64" s="171"/>
      <c r="E64" s="171"/>
      <c r="G64" s="171">
        <v>46116</v>
      </c>
      <c r="H64" s="171"/>
      <c r="I64" s="171"/>
      <c r="J64" s="171"/>
      <c r="K64" s="171"/>
      <c r="M64" s="171">
        <v>46148</v>
      </c>
      <c r="N64" s="171"/>
      <c r="O64" s="171"/>
      <c r="P64" s="171"/>
      <c r="Q64" s="171"/>
    </row>
    <row r="65" spans="1:17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870</v>
      </c>
      <c r="G65" s="1" t="s">
        <v>0</v>
      </c>
      <c r="H65" s="1" t="s">
        <v>1</v>
      </c>
      <c r="I65" s="1" t="s">
        <v>2</v>
      </c>
      <c r="J65" s="1" t="s">
        <v>3</v>
      </c>
      <c r="K65" s="1" t="s">
        <v>40</v>
      </c>
      <c r="M65" s="1" t="s">
        <v>0</v>
      </c>
      <c r="N65" s="1" t="s">
        <v>1</v>
      </c>
      <c r="O65" s="1" t="s">
        <v>2</v>
      </c>
      <c r="P65" s="179" t="s">
        <v>3</v>
      </c>
      <c r="Q65" s="1" t="s">
        <v>40</v>
      </c>
    </row>
    <row r="66" spans="1:17" x14ac:dyDescent="0.3">
      <c r="A66" s="2" t="s">
        <v>5</v>
      </c>
      <c r="B66" s="3">
        <v>1880</v>
      </c>
      <c r="C66" s="3">
        <v>1880</v>
      </c>
      <c r="D66" s="3">
        <v>0</v>
      </c>
      <c r="E66" s="3">
        <v>0</v>
      </c>
      <c r="G66" s="2" t="s">
        <v>5</v>
      </c>
      <c r="H66" s="3">
        <v>2734</v>
      </c>
      <c r="I66" s="3">
        <v>1405</v>
      </c>
      <c r="J66" s="3">
        <v>0</v>
      </c>
      <c r="K66" s="3">
        <v>1329</v>
      </c>
      <c r="M66" s="2" t="s">
        <v>5</v>
      </c>
      <c r="N66" s="3">
        <v>2572</v>
      </c>
      <c r="O66" s="3">
        <v>1479</v>
      </c>
      <c r="P66" s="181">
        <v>0</v>
      </c>
      <c r="Q66" s="3">
        <v>1093</v>
      </c>
    </row>
    <row r="67" spans="1:17" x14ac:dyDescent="0.3">
      <c r="A67" s="2" t="s">
        <v>6</v>
      </c>
      <c r="B67" s="3">
        <v>5</v>
      </c>
      <c r="C67" s="5">
        <v>5</v>
      </c>
      <c r="D67" s="3">
        <v>0</v>
      </c>
      <c r="E67" s="3">
        <v>0</v>
      </c>
      <c r="G67" s="2" t="s">
        <v>6</v>
      </c>
      <c r="H67" s="3">
        <v>170</v>
      </c>
      <c r="I67" s="5">
        <v>86</v>
      </c>
      <c r="J67" s="3">
        <v>0</v>
      </c>
      <c r="K67" s="6">
        <v>84</v>
      </c>
      <c r="M67" s="2" t="s">
        <v>6</v>
      </c>
      <c r="N67" s="3">
        <v>322</v>
      </c>
      <c r="O67" s="5">
        <v>188</v>
      </c>
      <c r="P67" s="181">
        <v>0</v>
      </c>
      <c r="Q67" s="6">
        <v>134</v>
      </c>
    </row>
    <row r="68" spans="1:17" x14ac:dyDescent="0.3">
      <c r="A68" s="2" t="s">
        <v>7</v>
      </c>
      <c r="B68" s="3" t="s">
        <v>88</v>
      </c>
      <c r="C68" s="5" t="s">
        <v>88</v>
      </c>
      <c r="D68" s="3">
        <v>0</v>
      </c>
      <c r="E68" s="3">
        <v>0</v>
      </c>
      <c r="G68" s="2" t="s">
        <v>7</v>
      </c>
      <c r="H68" s="3" t="s">
        <v>1240</v>
      </c>
      <c r="I68" s="6" t="s">
        <v>1241</v>
      </c>
      <c r="J68" s="3">
        <v>0</v>
      </c>
      <c r="K68" s="5" t="s">
        <v>1092</v>
      </c>
      <c r="M68" s="2" t="s">
        <v>7</v>
      </c>
      <c r="N68" s="3" t="s">
        <v>1811</v>
      </c>
      <c r="O68" s="5" t="s">
        <v>584</v>
      </c>
      <c r="P68" s="181">
        <v>0</v>
      </c>
      <c r="Q68" s="6" t="s">
        <v>1812</v>
      </c>
    </row>
    <row r="69" spans="1:17" x14ac:dyDescent="0.3">
      <c r="A69" s="2" t="s">
        <v>12</v>
      </c>
      <c r="B69" s="3" t="s">
        <v>25</v>
      </c>
      <c r="C69" s="3" t="s">
        <v>25</v>
      </c>
      <c r="D69" s="3">
        <v>0</v>
      </c>
      <c r="E69" s="3">
        <v>0</v>
      </c>
      <c r="G69" s="2" t="s">
        <v>12</v>
      </c>
      <c r="H69" s="3" t="s">
        <v>1023</v>
      </c>
      <c r="I69" s="6" t="s">
        <v>1242</v>
      </c>
      <c r="J69" s="3">
        <v>0</v>
      </c>
      <c r="K69" s="5" t="s">
        <v>816</v>
      </c>
      <c r="M69" s="2" t="s">
        <v>12</v>
      </c>
      <c r="N69" s="3" t="s">
        <v>1598</v>
      </c>
      <c r="O69" s="5" t="s">
        <v>1760</v>
      </c>
      <c r="P69" s="181">
        <v>0</v>
      </c>
      <c r="Q69" s="6" t="s">
        <v>1234</v>
      </c>
    </row>
    <row r="70" spans="1:17" x14ac:dyDescent="0.3">
      <c r="A70" s="2" t="s">
        <v>17</v>
      </c>
      <c r="B70" s="3" t="s">
        <v>88</v>
      </c>
      <c r="C70" s="5" t="s">
        <v>88</v>
      </c>
      <c r="D70" s="3" t="s">
        <v>25</v>
      </c>
      <c r="E70" s="3" t="s">
        <v>25</v>
      </c>
      <c r="G70" s="2" t="s">
        <v>17</v>
      </c>
      <c r="H70" s="3" t="s">
        <v>200</v>
      </c>
      <c r="I70" s="6" t="s">
        <v>134</v>
      </c>
      <c r="J70" s="3" t="s">
        <v>25</v>
      </c>
      <c r="K70" s="5" t="s">
        <v>150</v>
      </c>
      <c r="M70" s="2" t="s">
        <v>17</v>
      </c>
      <c r="N70" s="3" t="s">
        <v>1255</v>
      </c>
      <c r="O70" s="5" t="s">
        <v>1296</v>
      </c>
      <c r="P70" s="181" t="s">
        <v>25</v>
      </c>
      <c r="Q70" s="6" t="s">
        <v>1282</v>
      </c>
    </row>
    <row r="71" spans="1:17" x14ac:dyDescent="0.3">
      <c r="A71" s="2" t="s">
        <v>22</v>
      </c>
      <c r="B71" s="3" t="s">
        <v>25</v>
      </c>
      <c r="C71" s="3" t="s">
        <v>25</v>
      </c>
      <c r="D71" s="3" t="s">
        <v>25</v>
      </c>
      <c r="E71" s="3" t="s">
        <v>25</v>
      </c>
      <c r="G71" s="2" t="s">
        <v>22</v>
      </c>
      <c r="H71" s="3" t="s">
        <v>25</v>
      </c>
      <c r="I71" s="3" t="s">
        <v>25</v>
      </c>
      <c r="J71" s="3" t="s">
        <v>25</v>
      </c>
      <c r="K71" s="3" t="s">
        <v>25</v>
      </c>
      <c r="M71" s="2" t="s">
        <v>22</v>
      </c>
      <c r="N71" s="3" t="s">
        <v>257</v>
      </c>
      <c r="O71" s="5" t="s">
        <v>138</v>
      </c>
      <c r="P71" s="181" t="s">
        <v>25</v>
      </c>
      <c r="Q71" s="3" t="s">
        <v>25</v>
      </c>
    </row>
    <row r="72" spans="1:17" x14ac:dyDescent="0.3">
      <c r="A72" s="7" t="s">
        <v>26</v>
      </c>
      <c r="B72" s="8">
        <v>0</v>
      </c>
      <c r="C72" s="8">
        <v>0</v>
      </c>
      <c r="D72" s="8">
        <v>0</v>
      </c>
      <c r="E72" s="8">
        <v>0</v>
      </c>
      <c r="G72" s="7" t="s">
        <v>26</v>
      </c>
      <c r="H72" s="8">
        <v>160</v>
      </c>
      <c r="I72" s="8">
        <v>81</v>
      </c>
      <c r="J72" s="8">
        <v>0</v>
      </c>
      <c r="K72" s="8">
        <v>79</v>
      </c>
      <c r="M72" s="7" t="s">
        <v>26</v>
      </c>
      <c r="N72" s="8">
        <v>292</v>
      </c>
      <c r="O72" s="8">
        <v>168</v>
      </c>
      <c r="P72" s="186">
        <v>0</v>
      </c>
      <c r="Q72" s="8">
        <v>124</v>
      </c>
    </row>
    <row r="73" spans="1:17" x14ac:dyDescent="0.3">
      <c r="A73" s="9" t="s">
        <v>27</v>
      </c>
      <c r="B73" s="10">
        <v>0</v>
      </c>
      <c r="C73" s="10">
        <v>0</v>
      </c>
      <c r="D73" s="10">
        <v>0</v>
      </c>
      <c r="E73" s="10">
        <v>0</v>
      </c>
      <c r="G73" s="9" t="s">
        <v>27</v>
      </c>
      <c r="H73" s="10">
        <v>40</v>
      </c>
      <c r="I73" s="10">
        <v>21</v>
      </c>
      <c r="J73" s="10">
        <v>0</v>
      </c>
      <c r="K73" s="10">
        <v>19</v>
      </c>
      <c r="M73" s="9" t="s">
        <v>27</v>
      </c>
      <c r="N73" s="10">
        <v>39</v>
      </c>
      <c r="O73" s="10">
        <v>21</v>
      </c>
      <c r="P73" s="188">
        <v>0</v>
      </c>
      <c r="Q73" s="10">
        <v>18</v>
      </c>
    </row>
    <row r="74" spans="1:17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G74" s="9" t="s">
        <v>28</v>
      </c>
      <c r="H74" s="10">
        <v>33</v>
      </c>
      <c r="I74" s="10">
        <v>19</v>
      </c>
      <c r="J74" s="10">
        <v>0</v>
      </c>
      <c r="K74" s="10">
        <v>14</v>
      </c>
      <c r="M74" s="9" t="s">
        <v>28</v>
      </c>
      <c r="N74" s="10">
        <v>61</v>
      </c>
      <c r="O74" s="10">
        <v>33</v>
      </c>
      <c r="P74" s="188">
        <v>0</v>
      </c>
      <c r="Q74" s="10">
        <v>28</v>
      </c>
    </row>
    <row r="75" spans="1:17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G75" s="9" t="s">
        <v>29</v>
      </c>
      <c r="H75" s="10">
        <v>4</v>
      </c>
      <c r="I75" s="10">
        <v>4</v>
      </c>
      <c r="J75" s="10">
        <v>0</v>
      </c>
      <c r="K75" s="10">
        <v>0</v>
      </c>
      <c r="M75" s="9" t="s">
        <v>29</v>
      </c>
      <c r="N75" s="10">
        <v>1</v>
      </c>
      <c r="O75" s="10">
        <v>1</v>
      </c>
      <c r="P75" s="188">
        <v>0</v>
      </c>
      <c r="Q75" s="10">
        <v>0</v>
      </c>
    </row>
    <row r="76" spans="1:17" x14ac:dyDescent="0.3">
      <c r="A76" s="9" t="s">
        <v>30</v>
      </c>
      <c r="B76" s="10">
        <v>0</v>
      </c>
      <c r="C76" s="10">
        <v>0</v>
      </c>
      <c r="D76" s="10">
        <v>0</v>
      </c>
      <c r="E76" s="10">
        <v>0</v>
      </c>
      <c r="G76" s="9" t="s">
        <v>30</v>
      </c>
      <c r="H76" s="10">
        <v>83</v>
      </c>
      <c r="I76" s="10">
        <v>37</v>
      </c>
      <c r="J76" s="10">
        <v>0</v>
      </c>
      <c r="K76" s="10">
        <v>46</v>
      </c>
      <c r="M76" s="9" t="s">
        <v>30</v>
      </c>
      <c r="N76" s="10">
        <v>191</v>
      </c>
      <c r="O76" s="10">
        <v>113</v>
      </c>
      <c r="P76" s="188">
        <v>0</v>
      </c>
      <c r="Q76" s="10">
        <v>78</v>
      </c>
    </row>
    <row r="77" spans="1:17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G77" s="9" t="s">
        <v>31</v>
      </c>
      <c r="H77" s="10">
        <v>0</v>
      </c>
      <c r="I77" s="10">
        <v>0</v>
      </c>
      <c r="J77" s="10">
        <v>0</v>
      </c>
      <c r="K77" s="10">
        <v>0</v>
      </c>
      <c r="M77" s="9" t="s">
        <v>31</v>
      </c>
      <c r="N77" s="10">
        <v>0</v>
      </c>
      <c r="O77" s="10">
        <v>0</v>
      </c>
      <c r="P77" s="188">
        <v>0</v>
      </c>
      <c r="Q77" s="10">
        <v>0</v>
      </c>
    </row>
    <row r="78" spans="1:17" x14ac:dyDescent="0.3">
      <c r="A78" s="11" t="s">
        <v>32</v>
      </c>
      <c r="B78" s="12">
        <v>5</v>
      </c>
      <c r="C78" s="12">
        <v>5</v>
      </c>
      <c r="D78" s="12">
        <v>0</v>
      </c>
      <c r="E78" s="12">
        <v>0</v>
      </c>
      <c r="G78" s="11" t="s">
        <v>32</v>
      </c>
      <c r="H78" s="12">
        <v>10</v>
      </c>
      <c r="I78" s="12">
        <v>5</v>
      </c>
      <c r="J78" s="12">
        <v>0</v>
      </c>
      <c r="K78" s="12">
        <v>5</v>
      </c>
      <c r="M78" s="11" t="s">
        <v>32</v>
      </c>
      <c r="N78" s="12">
        <v>32</v>
      </c>
      <c r="O78" s="12">
        <v>21</v>
      </c>
      <c r="P78" s="190">
        <v>0</v>
      </c>
      <c r="Q78" s="12">
        <v>11</v>
      </c>
    </row>
    <row r="79" spans="1:17" x14ac:dyDescent="0.3">
      <c r="A79" s="13" t="s">
        <v>33</v>
      </c>
      <c r="B79" s="14">
        <v>1</v>
      </c>
      <c r="C79" s="14">
        <v>1</v>
      </c>
      <c r="D79" s="14">
        <v>0</v>
      </c>
      <c r="E79" s="14">
        <v>0</v>
      </c>
      <c r="G79" s="13" t="s">
        <v>33</v>
      </c>
      <c r="H79" s="14">
        <v>0</v>
      </c>
      <c r="I79" s="14">
        <v>0</v>
      </c>
      <c r="J79" s="14">
        <v>0</v>
      </c>
      <c r="K79" s="14">
        <v>0</v>
      </c>
      <c r="M79" s="13" t="s">
        <v>33</v>
      </c>
      <c r="N79" s="14">
        <v>6</v>
      </c>
      <c r="O79" s="14">
        <v>4</v>
      </c>
      <c r="P79" s="192">
        <v>0</v>
      </c>
      <c r="Q79" s="14">
        <v>2</v>
      </c>
    </row>
    <row r="80" spans="1:17" x14ac:dyDescent="0.3">
      <c r="A80" s="13" t="s">
        <v>34</v>
      </c>
      <c r="B80" s="14">
        <v>4</v>
      </c>
      <c r="C80" s="14">
        <v>4</v>
      </c>
      <c r="D80" s="14">
        <v>0</v>
      </c>
      <c r="E80" s="14">
        <v>0</v>
      </c>
      <c r="G80" s="13" t="s">
        <v>34</v>
      </c>
      <c r="H80" s="14">
        <v>10</v>
      </c>
      <c r="I80" s="14">
        <v>5</v>
      </c>
      <c r="J80" s="14">
        <v>0</v>
      </c>
      <c r="K80" s="14">
        <v>5</v>
      </c>
      <c r="M80" s="13" t="s">
        <v>34</v>
      </c>
      <c r="N80" s="14">
        <v>26</v>
      </c>
      <c r="O80" s="14">
        <v>17</v>
      </c>
      <c r="P80" s="192">
        <v>0</v>
      </c>
      <c r="Q80" s="14">
        <v>9</v>
      </c>
    </row>
    <row r="81" spans="1:17" x14ac:dyDescent="0.3">
      <c r="A81" s="15" t="s">
        <v>35</v>
      </c>
      <c r="B81" s="16">
        <v>0</v>
      </c>
      <c r="C81" s="16">
        <v>0</v>
      </c>
      <c r="D81" s="16">
        <v>0</v>
      </c>
      <c r="E81" s="16">
        <v>0</v>
      </c>
      <c r="G81" s="15" t="s">
        <v>35</v>
      </c>
      <c r="H81" s="16">
        <v>0</v>
      </c>
      <c r="I81" s="16">
        <v>0</v>
      </c>
      <c r="J81" s="16">
        <v>0</v>
      </c>
      <c r="K81" s="16">
        <v>0</v>
      </c>
      <c r="M81" s="15" t="s">
        <v>35</v>
      </c>
      <c r="N81" s="16">
        <v>1</v>
      </c>
      <c r="O81" s="16">
        <v>1</v>
      </c>
      <c r="P81" s="194">
        <v>0</v>
      </c>
      <c r="Q81" s="16">
        <v>0</v>
      </c>
    </row>
    <row r="82" spans="1:17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G82" s="17" t="s">
        <v>36</v>
      </c>
      <c r="H82" s="78">
        <v>0</v>
      </c>
      <c r="I82" s="78">
        <v>0</v>
      </c>
      <c r="J82" s="78">
        <v>0</v>
      </c>
      <c r="K82" s="78">
        <v>0</v>
      </c>
      <c r="M82" s="17" t="s">
        <v>36</v>
      </c>
      <c r="N82" s="112">
        <v>0</v>
      </c>
      <c r="O82" s="112">
        <v>0</v>
      </c>
      <c r="P82" s="196">
        <v>0</v>
      </c>
      <c r="Q82" s="112">
        <v>0</v>
      </c>
    </row>
    <row r="83" spans="1:17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G83" s="17" t="s">
        <v>37</v>
      </c>
      <c r="H83" s="78">
        <v>0</v>
      </c>
      <c r="I83" s="78">
        <v>0</v>
      </c>
      <c r="J83" s="78">
        <v>0</v>
      </c>
      <c r="K83" s="78">
        <v>0</v>
      </c>
      <c r="M83" s="17" t="s">
        <v>37</v>
      </c>
      <c r="N83" s="112">
        <v>1</v>
      </c>
      <c r="O83" s="112">
        <v>1</v>
      </c>
      <c r="P83" s="196">
        <v>0</v>
      </c>
      <c r="Q83" s="112">
        <v>0</v>
      </c>
    </row>
    <row r="84" spans="1:17" x14ac:dyDescent="0.3">
      <c r="A84" s="17" t="s">
        <v>38</v>
      </c>
      <c r="B84" s="172" t="s">
        <v>209</v>
      </c>
      <c r="C84" s="173"/>
      <c r="D84" s="173"/>
      <c r="E84" s="173"/>
      <c r="G84" s="17" t="s">
        <v>38</v>
      </c>
      <c r="H84" s="172" t="s">
        <v>209</v>
      </c>
      <c r="I84" s="173"/>
      <c r="J84" s="173"/>
      <c r="K84" s="173"/>
      <c r="M84" s="17" t="s">
        <v>38</v>
      </c>
      <c r="N84" s="172" t="s">
        <v>209</v>
      </c>
      <c r="O84" s="173"/>
      <c r="P84" s="173"/>
      <c r="Q84" s="173"/>
    </row>
    <row r="85" spans="1:17" ht="19.8" x14ac:dyDescent="0.3">
      <c r="A85" s="171">
        <v>46087</v>
      </c>
      <c r="B85" s="171"/>
      <c r="C85" s="171"/>
      <c r="D85" s="171"/>
      <c r="E85" s="171"/>
      <c r="G85" s="171">
        <v>46118</v>
      </c>
      <c r="H85" s="171"/>
      <c r="I85" s="171"/>
      <c r="J85" s="171"/>
      <c r="K85" s="171"/>
      <c r="M85" s="171">
        <v>46149</v>
      </c>
      <c r="N85" s="171"/>
      <c r="O85" s="171"/>
      <c r="P85" s="171"/>
      <c r="Q85" s="171"/>
    </row>
    <row r="86" spans="1:17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870</v>
      </c>
      <c r="G86" s="1" t="s">
        <v>0</v>
      </c>
      <c r="H86" s="1" t="s">
        <v>1</v>
      </c>
      <c r="I86" s="1" t="s">
        <v>2</v>
      </c>
      <c r="J86" s="1" t="s">
        <v>3</v>
      </c>
      <c r="K86" s="1" t="s">
        <v>40</v>
      </c>
      <c r="M86" s="1" t="s">
        <v>0</v>
      </c>
      <c r="N86" s="1" t="s">
        <v>1</v>
      </c>
      <c r="O86" s="1" t="s">
        <v>2</v>
      </c>
      <c r="P86" s="179" t="s">
        <v>3</v>
      </c>
      <c r="Q86" s="1" t="s">
        <v>40</v>
      </c>
    </row>
    <row r="87" spans="1:17" x14ac:dyDescent="0.3">
      <c r="A87" s="2" t="s">
        <v>5</v>
      </c>
      <c r="B87" s="3">
        <v>1637</v>
      </c>
      <c r="C87" s="3">
        <v>1637</v>
      </c>
      <c r="D87" s="3">
        <v>0</v>
      </c>
      <c r="E87" s="3">
        <v>0</v>
      </c>
      <c r="G87" s="2" t="s">
        <v>5</v>
      </c>
      <c r="H87" s="3">
        <v>1854</v>
      </c>
      <c r="I87" s="3">
        <v>861</v>
      </c>
      <c r="J87" s="3">
        <v>0</v>
      </c>
      <c r="K87" s="3">
        <v>993</v>
      </c>
      <c r="M87" s="2" t="s">
        <v>5</v>
      </c>
      <c r="N87" s="3">
        <v>3378</v>
      </c>
      <c r="O87" s="3">
        <v>1788</v>
      </c>
      <c r="P87" s="181">
        <v>0</v>
      </c>
      <c r="Q87" s="3">
        <v>1590</v>
      </c>
    </row>
    <row r="88" spans="1:17" x14ac:dyDescent="0.3">
      <c r="A88" s="2" t="s">
        <v>6</v>
      </c>
      <c r="B88" s="3">
        <v>12</v>
      </c>
      <c r="C88" s="5">
        <v>12</v>
      </c>
      <c r="D88" s="3">
        <v>0</v>
      </c>
      <c r="E88" s="3">
        <v>0</v>
      </c>
      <c r="G88" s="2" t="s">
        <v>6</v>
      </c>
      <c r="H88" s="3">
        <v>158</v>
      </c>
      <c r="I88" s="6">
        <v>77</v>
      </c>
      <c r="J88" s="3">
        <v>0</v>
      </c>
      <c r="K88" s="5">
        <v>81</v>
      </c>
      <c r="M88" s="2" t="s">
        <v>6</v>
      </c>
      <c r="N88" s="3">
        <v>113</v>
      </c>
      <c r="O88" s="5">
        <v>60</v>
      </c>
      <c r="P88" s="181">
        <v>0</v>
      </c>
      <c r="Q88" s="6">
        <v>53</v>
      </c>
    </row>
    <row r="89" spans="1:17" x14ac:dyDescent="0.3">
      <c r="A89" s="2" t="s">
        <v>7</v>
      </c>
      <c r="B89" s="3" t="s">
        <v>300</v>
      </c>
      <c r="C89" s="5" t="s">
        <v>300</v>
      </c>
      <c r="D89" s="3">
        <v>0</v>
      </c>
      <c r="E89" s="3">
        <v>0</v>
      </c>
      <c r="G89" s="2" t="s">
        <v>7</v>
      </c>
      <c r="H89" s="3" t="s">
        <v>1288</v>
      </c>
      <c r="I89" s="5" t="s">
        <v>1289</v>
      </c>
      <c r="J89" s="3">
        <v>0</v>
      </c>
      <c r="K89" s="6" t="s">
        <v>1290</v>
      </c>
      <c r="M89" s="2" t="s">
        <v>7</v>
      </c>
      <c r="N89" s="3" t="s">
        <v>415</v>
      </c>
      <c r="O89" s="5" t="s">
        <v>653</v>
      </c>
      <c r="P89" s="181">
        <v>0</v>
      </c>
      <c r="Q89" s="6" t="s">
        <v>1500</v>
      </c>
    </row>
    <row r="90" spans="1:17" x14ac:dyDescent="0.3">
      <c r="A90" s="2" t="s">
        <v>12</v>
      </c>
      <c r="B90" s="3" t="s">
        <v>25</v>
      </c>
      <c r="C90" s="3" t="s">
        <v>25</v>
      </c>
      <c r="D90" s="3">
        <v>0</v>
      </c>
      <c r="E90" s="3">
        <v>0</v>
      </c>
      <c r="G90" s="2" t="s">
        <v>12</v>
      </c>
      <c r="H90" s="3" t="s">
        <v>854</v>
      </c>
      <c r="I90" s="5" t="s">
        <v>768</v>
      </c>
      <c r="J90" s="3">
        <v>0</v>
      </c>
      <c r="K90" s="6" t="s">
        <v>1291</v>
      </c>
      <c r="M90" s="2" t="s">
        <v>12</v>
      </c>
      <c r="N90" s="3" t="s">
        <v>1467</v>
      </c>
      <c r="O90" s="6" t="s">
        <v>626</v>
      </c>
      <c r="P90" s="181">
        <v>0</v>
      </c>
      <c r="Q90" s="5" t="s">
        <v>225</v>
      </c>
    </row>
    <row r="91" spans="1:17" x14ac:dyDescent="0.3">
      <c r="A91" s="2" t="s">
        <v>17</v>
      </c>
      <c r="B91" s="3" t="s">
        <v>76</v>
      </c>
      <c r="C91" s="5" t="s">
        <v>76</v>
      </c>
      <c r="D91" s="3" t="s">
        <v>25</v>
      </c>
      <c r="E91" s="3" t="s">
        <v>25</v>
      </c>
      <c r="G91" s="2" t="s">
        <v>17</v>
      </c>
      <c r="H91" s="3" t="s">
        <v>156</v>
      </c>
      <c r="I91" s="6" t="s">
        <v>484</v>
      </c>
      <c r="J91" s="3" t="s">
        <v>25</v>
      </c>
      <c r="K91" s="5" t="s">
        <v>431</v>
      </c>
      <c r="M91" s="2" t="s">
        <v>17</v>
      </c>
      <c r="N91" s="3" t="s">
        <v>147</v>
      </c>
      <c r="O91" s="5" t="s">
        <v>241</v>
      </c>
      <c r="P91" s="181" t="s">
        <v>25</v>
      </c>
      <c r="Q91" s="6" t="s">
        <v>75</v>
      </c>
    </row>
    <row r="92" spans="1:17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G92" s="2" t="s">
        <v>22</v>
      </c>
      <c r="H92" s="3" t="s">
        <v>25</v>
      </c>
      <c r="I92" s="3" t="s">
        <v>25</v>
      </c>
      <c r="J92" s="3" t="s">
        <v>25</v>
      </c>
      <c r="K92" s="3" t="s">
        <v>25</v>
      </c>
      <c r="M92" s="2" t="s">
        <v>22</v>
      </c>
      <c r="N92" s="3" t="s">
        <v>25</v>
      </c>
      <c r="O92" s="3" t="s">
        <v>25</v>
      </c>
      <c r="P92" s="181" t="s">
        <v>25</v>
      </c>
      <c r="Q92" s="3" t="s">
        <v>25</v>
      </c>
    </row>
    <row r="93" spans="1:17" x14ac:dyDescent="0.3">
      <c r="A93" s="7" t="s">
        <v>26</v>
      </c>
      <c r="B93" s="8">
        <v>0</v>
      </c>
      <c r="C93" s="8">
        <v>0</v>
      </c>
      <c r="D93" s="8">
        <v>0</v>
      </c>
      <c r="E93" s="8">
        <v>0</v>
      </c>
      <c r="G93" s="7" t="s">
        <v>26</v>
      </c>
      <c r="H93" s="8">
        <v>138</v>
      </c>
      <c r="I93" s="8">
        <v>71</v>
      </c>
      <c r="J93" s="8">
        <v>0</v>
      </c>
      <c r="K93" s="8">
        <v>67</v>
      </c>
      <c r="M93" s="7" t="s">
        <v>26</v>
      </c>
      <c r="N93" s="8">
        <v>105</v>
      </c>
      <c r="O93" s="8">
        <v>54</v>
      </c>
      <c r="P93" s="186">
        <v>0</v>
      </c>
      <c r="Q93" s="8">
        <v>51</v>
      </c>
    </row>
    <row r="94" spans="1:17" x14ac:dyDescent="0.3">
      <c r="A94" s="9" t="s">
        <v>27</v>
      </c>
      <c r="B94" s="10">
        <v>0</v>
      </c>
      <c r="C94" s="10">
        <v>0</v>
      </c>
      <c r="D94" s="10">
        <v>0</v>
      </c>
      <c r="E94" s="10">
        <v>0</v>
      </c>
      <c r="G94" s="9" t="s">
        <v>27</v>
      </c>
      <c r="H94" s="10">
        <v>24</v>
      </c>
      <c r="I94" s="10">
        <v>8</v>
      </c>
      <c r="J94" s="10">
        <v>0</v>
      </c>
      <c r="K94" s="10">
        <v>16</v>
      </c>
      <c r="M94" s="9" t="s">
        <v>27</v>
      </c>
      <c r="N94" s="10">
        <v>8</v>
      </c>
      <c r="O94" s="10">
        <v>3</v>
      </c>
      <c r="P94" s="188">
        <v>0</v>
      </c>
      <c r="Q94" s="10">
        <v>5</v>
      </c>
    </row>
    <row r="95" spans="1:17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G95" s="9" t="s">
        <v>28</v>
      </c>
      <c r="H95" s="10">
        <v>26</v>
      </c>
      <c r="I95" s="10">
        <v>15</v>
      </c>
      <c r="J95" s="10">
        <v>0</v>
      </c>
      <c r="K95" s="10">
        <v>11</v>
      </c>
      <c r="M95" s="9" t="s">
        <v>28</v>
      </c>
      <c r="N95" s="10">
        <v>36</v>
      </c>
      <c r="O95" s="10">
        <v>21</v>
      </c>
      <c r="P95" s="188">
        <v>0</v>
      </c>
      <c r="Q95" s="10">
        <v>15</v>
      </c>
    </row>
    <row r="96" spans="1:17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G96" s="9" t="s">
        <v>29</v>
      </c>
      <c r="H96" s="10">
        <v>2</v>
      </c>
      <c r="I96" s="10">
        <v>2</v>
      </c>
      <c r="J96" s="10">
        <v>0</v>
      </c>
      <c r="K96" s="10">
        <v>0</v>
      </c>
      <c r="M96" s="9" t="s">
        <v>29</v>
      </c>
      <c r="N96" s="10">
        <v>4</v>
      </c>
      <c r="O96" s="10">
        <v>4</v>
      </c>
      <c r="P96" s="188">
        <v>0</v>
      </c>
      <c r="Q96" s="10">
        <v>0</v>
      </c>
    </row>
    <row r="97" spans="1:17" x14ac:dyDescent="0.3">
      <c r="A97" s="9" t="s">
        <v>30</v>
      </c>
      <c r="B97" s="10">
        <v>0</v>
      </c>
      <c r="C97" s="10">
        <v>0</v>
      </c>
      <c r="D97" s="10">
        <v>0</v>
      </c>
      <c r="E97" s="10">
        <v>0</v>
      </c>
      <c r="G97" s="9" t="s">
        <v>30</v>
      </c>
      <c r="H97" s="10">
        <v>86</v>
      </c>
      <c r="I97" s="10">
        <v>46</v>
      </c>
      <c r="J97" s="10">
        <v>0</v>
      </c>
      <c r="K97" s="10">
        <v>40</v>
      </c>
      <c r="M97" s="9" t="s">
        <v>30</v>
      </c>
      <c r="N97" s="10">
        <v>57</v>
      </c>
      <c r="O97" s="10">
        <v>26</v>
      </c>
      <c r="P97" s="188">
        <v>0</v>
      </c>
      <c r="Q97" s="10">
        <v>31</v>
      </c>
    </row>
    <row r="98" spans="1:17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G98" s="9" t="s">
        <v>31</v>
      </c>
      <c r="H98" s="10">
        <v>0</v>
      </c>
      <c r="I98" s="10">
        <v>0</v>
      </c>
      <c r="J98" s="10">
        <v>0</v>
      </c>
      <c r="K98" s="10">
        <v>0</v>
      </c>
      <c r="M98" s="9" t="s">
        <v>31</v>
      </c>
      <c r="N98" s="10">
        <v>0</v>
      </c>
      <c r="O98" s="10">
        <v>0</v>
      </c>
      <c r="P98" s="188">
        <v>0</v>
      </c>
      <c r="Q98" s="10">
        <v>0</v>
      </c>
    </row>
    <row r="99" spans="1:17" x14ac:dyDescent="0.3">
      <c r="A99" s="11" t="s">
        <v>32</v>
      </c>
      <c r="B99" s="12">
        <v>8</v>
      </c>
      <c r="C99" s="12">
        <v>8</v>
      </c>
      <c r="D99" s="12">
        <v>0</v>
      </c>
      <c r="E99" s="12">
        <v>0</v>
      </c>
      <c r="G99" s="11" t="s">
        <v>32</v>
      </c>
      <c r="H99" s="12">
        <v>20</v>
      </c>
      <c r="I99" s="12">
        <v>6</v>
      </c>
      <c r="J99" s="12">
        <v>0</v>
      </c>
      <c r="K99" s="12">
        <v>14</v>
      </c>
      <c r="M99" s="11" t="s">
        <v>32</v>
      </c>
      <c r="N99" s="12">
        <v>10</v>
      </c>
      <c r="O99" s="12">
        <v>8</v>
      </c>
      <c r="P99" s="190">
        <v>0</v>
      </c>
      <c r="Q99" s="12">
        <v>2</v>
      </c>
    </row>
    <row r="100" spans="1:17" x14ac:dyDescent="0.3">
      <c r="A100" s="13" t="s">
        <v>33</v>
      </c>
      <c r="B100" s="14">
        <v>1</v>
      </c>
      <c r="C100" s="14">
        <v>1</v>
      </c>
      <c r="D100" s="14">
        <v>0</v>
      </c>
      <c r="E100" s="14">
        <v>0</v>
      </c>
      <c r="G100" s="13" t="s">
        <v>33</v>
      </c>
      <c r="H100" s="14">
        <v>0</v>
      </c>
      <c r="I100" s="14">
        <v>0</v>
      </c>
      <c r="J100" s="14">
        <v>0</v>
      </c>
      <c r="K100" s="14">
        <v>0</v>
      </c>
      <c r="M100" s="13" t="s">
        <v>33</v>
      </c>
      <c r="N100" s="14">
        <v>2</v>
      </c>
      <c r="O100" s="14">
        <v>2</v>
      </c>
      <c r="P100" s="192">
        <v>0</v>
      </c>
      <c r="Q100" s="14">
        <v>0</v>
      </c>
    </row>
    <row r="101" spans="1:17" x14ac:dyDescent="0.3">
      <c r="A101" s="13" t="s">
        <v>34</v>
      </c>
      <c r="B101" s="14">
        <v>7</v>
      </c>
      <c r="C101" s="14">
        <v>7</v>
      </c>
      <c r="D101" s="14">
        <v>0</v>
      </c>
      <c r="E101" s="14">
        <v>0</v>
      </c>
      <c r="G101" s="13" t="s">
        <v>34</v>
      </c>
      <c r="H101" s="14">
        <v>20</v>
      </c>
      <c r="I101" s="14">
        <v>6</v>
      </c>
      <c r="J101" s="14">
        <v>0</v>
      </c>
      <c r="K101" s="14">
        <v>14</v>
      </c>
      <c r="M101" s="13" t="s">
        <v>34</v>
      </c>
      <c r="N101" s="14">
        <v>8</v>
      </c>
      <c r="O101" s="14">
        <v>6</v>
      </c>
      <c r="P101" s="192">
        <v>0</v>
      </c>
      <c r="Q101" s="14">
        <v>2</v>
      </c>
    </row>
    <row r="102" spans="1:17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G102" s="15" t="s">
        <v>35</v>
      </c>
      <c r="H102" s="16">
        <v>0</v>
      </c>
      <c r="I102" s="16">
        <v>0</v>
      </c>
      <c r="J102" s="16">
        <v>0</v>
      </c>
      <c r="K102" s="16">
        <v>0</v>
      </c>
      <c r="M102" s="15" t="s">
        <v>35</v>
      </c>
      <c r="N102" s="16">
        <v>0</v>
      </c>
      <c r="O102" s="16">
        <v>0</v>
      </c>
      <c r="P102" s="194">
        <v>0</v>
      </c>
      <c r="Q102" s="16">
        <v>0</v>
      </c>
    </row>
    <row r="103" spans="1:17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G103" s="17" t="s">
        <v>36</v>
      </c>
      <c r="H103" s="78">
        <v>0</v>
      </c>
      <c r="I103" s="78">
        <v>0</v>
      </c>
      <c r="J103" s="78">
        <v>0</v>
      </c>
      <c r="K103" s="78">
        <v>0</v>
      </c>
      <c r="M103" s="17" t="s">
        <v>36</v>
      </c>
      <c r="N103" s="112">
        <v>0</v>
      </c>
      <c r="O103" s="112">
        <v>0</v>
      </c>
      <c r="P103" s="196">
        <v>0</v>
      </c>
      <c r="Q103" s="112">
        <v>0</v>
      </c>
    </row>
    <row r="104" spans="1:17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G104" s="17" t="s">
        <v>37</v>
      </c>
      <c r="H104" s="78">
        <v>0</v>
      </c>
      <c r="I104" s="78">
        <v>0</v>
      </c>
      <c r="J104" s="78">
        <v>0</v>
      </c>
      <c r="K104" s="78">
        <v>0</v>
      </c>
      <c r="M104" s="17" t="s">
        <v>37</v>
      </c>
      <c r="N104" s="112">
        <v>0</v>
      </c>
      <c r="O104" s="112">
        <v>0</v>
      </c>
      <c r="P104" s="196">
        <v>0</v>
      </c>
      <c r="Q104" s="112">
        <v>0</v>
      </c>
    </row>
    <row r="105" spans="1:17" x14ac:dyDescent="0.3">
      <c r="A105" s="17" t="s">
        <v>38</v>
      </c>
      <c r="B105" s="172" t="s">
        <v>209</v>
      </c>
      <c r="C105" s="173"/>
      <c r="D105" s="173"/>
      <c r="E105" s="173"/>
      <c r="G105" s="17" t="s">
        <v>38</v>
      </c>
      <c r="H105" s="172" t="s">
        <v>209</v>
      </c>
      <c r="I105" s="173"/>
      <c r="J105" s="173"/>
      <c r="K105" s="173"/>
      <c r="M105" s="17" t="s">
        <v>38</v>
      </c>
      <c r="N105" s="172" t="s">
        <v>209</v>
      </c>
      <c r="O105" s="173"/>
      <c r="P105" s="173"/>
      <c r="Q105" s="173"/>
    </row>
    <row r="106" spans="1:17" ht="19.8" x14ac:dyDescent="0.3">
      <c r="A106" s="171">
        <v>46088</v>
      </c>
      <c r="B106" s="171"/>
      <c r="C106" s="171"/>
      <c r="D106" s="171"/>
      <c r="E106" s="171"/>
      <c r="G106" s="171">
        <v>46119</v>
      </c>
      <c r="H106" s="171"/>
      <c r="I106" s="171"/>
      <c r="J106" s="171"/>
      <c r="K106" s="171"/>
      <c r="M106" s="171">
        <v>46150</v>
      </c>
      <c r="N106" s="171"/>
      <c r="O106" s="171"/>
      <c r="P106" s="171"/>
      <c r="Q106" s="171"/>
    </row>
    <row r="107" spans="1:17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870</v>
      </c>
      <c r="G107" s="1" t="s">
        <v>0</v>
      </c>
      <c r="H107" s="1" t="s">
        <v>1</v>
      </c>
      <c r="I107" s="1" t="s">
        <v>2</v>
      </c>
      <c r="J107" s="1" t="s">
        <v>3</v>
      </c>
      <c r="K107" s="1" t="s">
        <v>40</v>
      </c>
      <c r="M107" s="1" t="s">
        <v>0</v>
      </c>
      <c r="N107" s="1" t="s">
        <v>1</v>
      </c>
      <c r="O107" s="1" t="s">
        <v>2</v>
      </c>
      <c r="P107" s="179" t="s">
        <v>3</v>
      </c>
      <c r="Q107" s="1" t="s">
        <v>40</v>
      </c>
    </row>
    <row r="108" spans="1:17" x14ac:dyDescent="0.3">
      <c r="A108" s="2" t="s">
        <v>5</v>
      </c>
      <c r="B108" s="3">
        <v>1573</v>
      </c>
      <c r="C108" s="3">
        <v>1573</v>
      </c>
      <c r="D108" s="3">
        <v>0</v>
      </c>
      <c r="E108" s="3">
        <v>0</v>
      </c>
      <c r="G108" s="2" t="s">
        <v>5</v>
      </c>
      <c r="H108" s="3">
        <v>3582</v>
      </c>
      <c r="I108" s="3">
        <v>1730</v>
      </c>
      <c r="J108" s="3">
        <v>0</v>
      </c>
      <c r="K108" s="3">
        <v>1852</v>
      </c>
      <c r="M108" s="2" t="s">
        <v>5</v>
      </c>
      <c r="N108" s="3">
        <v>3074</v>
      </c>
      <c r="O108" s="3">
        <v>1215</v>
      </c>
      <c r="P108" s="181">
        <v>0</v>
      </c>
      <c r="Q108" s="3">
        <v>1859</v>
      </c>
    </row>
    <row r="109" spans="1:17" x14ac:dyDescent="0.3">
      <c r="A109" s="2" t="s">
        <v>6</v>
      </c>
      <c r="B109" s="3">
        <v>38</v>
      </c>
      <c r="C109" s="5">
        <v>38</v>
      </c>
      <c r="D109" s="3">
        <v>0</v>
      </c>
      <c r="E109" s="3">
        <v>0</v>
      </c>
      <c r="G109" s="2" t="s">
        <v>6</v>
      </c>
      <c r="H109" s="3">
        <v>380</v>
      </c>
      <c r="I109" s="6">
        <v>181</v>
      </c>
      <c r="J109" s="3">
        <v>0</v>
      </c>
      <c r="K109" s="5">
        <v>199</v>
      </c>
      <c r="M109" s="2" t="s">
        <v>6</v>
      </c>
      <c r="N109" s="3">
        <v>250</v>
      </c>
      <c r="O109" s="6">
        <v>116</v>
      </c>
      <c r="P109" s="181">
        <v>0</v>
      </c>
      <c r="Q109" s="5">
        <v>134</v>
      </c>
    </row>
    <row r="110" spans="1:17" x14ac:dyDescent="0.3">
      <c r="A110" s="2" t="s">
        <v>7</v>
      </c>
      <c r="B110" s="3" t="s">
        <v>120</v>
      </c>
      <c r="C110" s="5" t="s">
        <v>120</v>
      </c>
      <c r="D110" s="3">
        <v>0</v>
      </c>
      <c r="E110" s="3">
        <v>0</v>
      </c>
      <c r="G110" s="2" t="s">
        <v>7</v>
      </c>
      <c r="H110" s="3" t="s">
        <v>1315</v>
      </c>
      <c r="I110" s="6" t="s">
        <v>1316</v>
      </c>
      <c r="J110" s="3">
        <v>0</v>
      </c>
      <c r="K110" s="5" t="s">
        <v>1317</v>
      </c>
      <c r="M110" s="2" t="s">
        <v>7</v>
      </c>
      <c r="N110" s="3" t="s">
        <v>1612</v>
      </c>
      <c r="O110" s="5" t="s">
        <v>736</v>
      </c>
      <c r="P110" s="181">
        <v>0</v>
      </c>
      <c r="Q110" s="6" t="s">
        <v>1836</v>
      </c>
    </row>
    <row r="111" spans="1:17" x14ac:dyDescent="0.3">
      <c r="A111" s="2" t="s">
        <v>12</v>
      </c>
      <c r="B111" s="3" t="s">
        <v>25</v>
      </c>
      <c r="C111" s="3" t="s">
        <v>25</v>
      </c>
      <c r="D111" s="3">
        <v>0</v>
      </c>
      <c r="E111" s="3">
        <v>0</v>
      </c>
      <c r="G111" s="2" t="s">
        <v>12</v>
      </c>
      <c r="H111" s="3" t="s">
        <v>1225</v>
      </c>
      <c r="I111" s="5" t="s">
        <v>780</v>
      </c>
      <c r="J111" s="3">
        <v>0</v>
      </c>
      <c r="K111" s="6" t="s">
        <v>264</v>
      </c>
      <c r="M111" s="2" t="s">
        <v>12</v>
      </c>
      <c r="N111" s="3" t="s">
        <v>142</v>
      </c>
      <c r="O111" s="5" t="s">
        <v>1224</v>
      </c>
      <c r="P111" s="181">
        <v>0</v>
      </c>
      <c r="Q111" s="6" t="s">
        <v>1247</v>
      </c>
    </row>
    <row r="112" spans="1:17" x14ac:dyDescent="0.3">
      <c r="A112" s="2" t="s">
        <v>17</v>
      </c>
      <c r="B112" s="3" t="s">
        <v>323</v>
      </c>
      <c r="C112" s="5" t="s">
        <v>323</v>
      </c>
      <c r="D112" s="3" t="s">
        <v>25</v>
      </c>
      <c r="E112" s="3" t="s">
        <v>25</v>
      </c>
      <c r="G112" s="2" t="s">
        <v>17</v>
      </c>
      <c r="H112" s="3" t="s">
        <v>23</v>
      </c>
      <c r="I112" s="6" t="s">
        <v>1318</v>
      </c>
      <c r="J112" s="3" t="s">
        <v>25</v>
      </c>
      <c r="K112" s="5" t="s">
        <v>1203</v>
      </c>
      <c r="M112" s="2" t="s">
        <v>17</v>
      </c>
      <c r="N112" s="3" t="s">
        <v>270</v>
      </c>
      <c r="O112" s="5" t="s">
        <v>1458</v>
      </c>
      <c r="P112" s="181" t="s">
        <v>25</v>
      </c>
      <c r="Q112" s="6" t="s">
        <v>1441</v>
      </c>
    </row>
    <row r="113" spans="1:17" x14ac:dyDescent="0.3">
      <c r="A113" s="2" t="s">
        <v>22</v>
      </c>
      <c r="B113" s="3" t="s">
        <v>268</v>
      </c>
      <c r="C113" s="5" t="s">
        <v>268</v>
      </c>
      <c r="D113" s="3" t="s">
        <v>25</v>
      </c>
      <c r="E113" s="3" t="s">
        <v>25</v>
      </c>
      <c r="G113" s="2" t="s">
        <v>22</v>
      </c>
      <c r="H113" s="3" t="s">
        <v>309</v>
      </c>
      <c r="I113" s="5" t="s">
        <v>108</v>
      </c>
      <c r="J113" s="3" t="s">
        <v>25</v>
      </c>
      <c r="K113" s="3" t="s">
        <v>25</v>
      </c>
      <c r="M113" s="2" t="s">
        <v>22</v>
      </c>
      <c r="N113" s="3" t="s">
        <v>44</v>
      </c>
      <c r="O113" s="5" t="s">
        <v>276</v>
      </c>
      <c r="P113" s="181" t="s">
        <v>25</v>
      </c>
      <c r="Q113" s="3" t="s">
        <v>25</v>
      </c>
    </row>
    <row r="114" spans="1:17" x14ac:dyDescent="0.3">
      <c r="A114" s="7" t="s">
        <v>26</v>
      </c>
      <c r="B114" s="8">
        <v>0</v>
      </c>
      <c r="C114" s="8">
        <v>0</v>
      </c>
      <c r="D114" s="8">
        <v>0</v>
      </c>
      <c r="E114" s="8">
        <v>0</v>
      </c>
      <c r="G114" s="7" t="s">
        <v>26</v>
      </c>
      <c r="H114" s="8">
        <v>281</v>
      </c>
      <c r="I114" s="8">
        <v>136</v>
      </c>
      <c r="J114" s="8">
        <v>0</v>
      </c>
      <c r="K114" s="8">
        <v>145</v>
      </c>
      <c r="M114" s="7" t="s">
        <v>26</v>
      </c>
      <c r="N114" s="8">
        <v>119</v>
      </c>
      <c r="O114" s="8">
        <v>48</v>
      </c>
      <c r="P114" s="186">
        <v>0</v>
      </c>
      <c r="Q114" s="8">
        <v>71</v>
      </c>
    </row>
    <row r="115" spans="1:17" x14ac:dyDescent="0.3">
      <c r="A115" s="9" t="s">
        <v>27</v>
      </c>
      <c r="B115" s="10">
        <v>0</v>
      </c>
      <c r="C115" s="10">
        <v>0</v>
      </c>
      <c r="D115" s="10">
        <v>0</v>
      </c>
      <c r="E115" s="10">
        <v>0</v>
      </c>
      <c r="G115" s="9" t="s">
        <v>27</v>
      </c>
      <c r="H115" s="10">
        <v>42</v>
      </c>
      <c r="I115" s="10">
        <v>22</v>
      </c>
      <c r="J115" s="10">
        <v>0</v>
      </c>
      <c r="K115" s="10">
        <v>20</v>
      </c>
      <c r="M115" s="9" t="s">
        <v>27</v>
      </c>
      <c r="N115" s="10">
        <v>16</v>
      </c>
      <c r="O115" s="10">
        <v>6</v>
      </c>
      <c r="P115" s="188">
        <v>0</v>
      </c>
      <c r="Q115" s="10">
        <v>10</v>
      </c>
    </row>
    <row r="116" spans="1:17" x14ac:dyDescent="0.3">
      <c r="A116" s="9" t="s">
        <v>28</v>
      </c>
      <c r="B116" s="10">
        <v>0</v>
      </c>
      <c r="C116" s="10">
        <v>0</v>
      </c>
      <c r="D116" s="10">
        <v>0</v>
      </c>
      <c r="E116" s="10">
        <v>0</v>
      </c>
      <c r="G116" s="9" t="s">
        <v>28</v>
      </c>
      <c r="H116" s="10">
        <v>59</v>
      </c>
      <c r="I116" s="10">
        <v>22</v>
      </c>
      <c r="J116" s="10">
        <v>0</v>
      </c>
      <c r="K116" s="10">
        <v>37</v>
      </c>
      <c r="M116" s="9" t="s">
        <v>28</v>
      </c>
      <c r="N116" s="10">
        <v>51</v>
      </c>
      <c r="O116" s="10">
        <v>24</v>
      </c>
      <c r="P116" s="188">
        <v>0</v>
      </c>
      <c r="Q116" s="10">
        <v>27</v>
      </c>
    </row>
    <row r="117" spans="1:17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G117" s="9" t="s">
        <v>29</v>
      </c>
      <c r="H117" s="10">
        <v>3</v>
      </c>
      <c r="I117" s="10">
        <v>3</v>
      </c>
      <c r="J117" s="10">
        <v>0</v>
      </c>
      <c r="K117" s="10">
        <v>0</v>
      </c>
      <c r="M117" s="9" t="s">
        <v>29</v>
      </c>
      <c r="N117" s="10">
        <v>0</v>
      </c>
      <c r="O117" s="10">
        <v>0</v>
      </c>
      <c r="P117" s="188">
        <v>0</v>
      </c>
      <c r="Q117" s="10">
        <v>0</v>
      </c>
    </row>
    <row r="118" spans="1:17" x14ac:dyDescent="0.3">
      <c r="A118" s="9" t="s">
        <v>30</v>
      </c>
      <c r="B118" s="10">
        <v>0</v>
      </c>
      <c r="C118" s="10">
        <v>0</v>
      </c>
      <c r="D118" s="10">
        <v>0</v>
      </c>
      <c r="E118" s="10">
        <v>0</v>
      </c>
      <c r="G118" s="9" t="s">
        <v>30</v>
      </c>
      <c r="H118" s="10">
        <v>177</v>
      </c>
      <c r="I118" s="10">
        <v>89</v>
      </c>
      <c r="J118" s="10">
        <v>0</v>
      </c>
      <c r="K118" s="10">
        <v>88</v>
      </c>
      <c r="M118" s="9" t="s">
        <v>30</v>
      </c>
      <c r="N118" s="10">
        <v>52</v>
      </c>
      <c r="O118" s="10">
        <v>18</v>
      </c>
      <c r="P118" s="188">
        <v>0</v>
      </c>
      <c r="Q118" s="10">
        <v>34</v>
      </c>
    </row>
    <row r="119" spans="1:17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G119" s="9" t="s">
        <v>31</v>
      </c>
      <c r="H119" s="10">
        <v>0</v>
      </c>
      <c r="I119" s="10">
        <v>0</v>
      </c>
      <c r="J119" s="10">
        <v>0</v>
      </c>
      <c r="K119" s="10">
        <v>0</v>
      </c>
      <c r="M119" s="9" t="s">
        <v>31</v>
      </c>
      <c r="N119" s="10">
        <v>0</v>
      </c>
      <c r="O119" s="10">
        <v>0</v>
      </c>
      <c r="P119" s="188">
        <v>0</v>
      </c>
      <c r="Q119" s="10">
        <v>0</v>
      </c>
    </row>
    <row r="120" spans="1:17" x14ac:dyDescent="0.3">
      <c r="A120" s="11" t="s">
        <v>32</v>
      </c>
      <c r="B120" s="12">
        <v>37</v>
      </c>
      <c r="C120" s="12">
        <v>37</v>
      </c>
      <c r="D120" s="12">
        <v>0</v>
      </c>
      <c r="E120" s="12">
        <v>0</v>
      </c>
      <c r="G120" s="11" t="s">
        <v>32</v>
      </c>
      <c r="H120" s="12">
        <v>97</v>
      </c>
      <c r="I120" s="12">
        <v>45</v>
      </c>
      <c r="J120" s="12">
        <v>0</v>
      </c>
      <c r="K120" s="12">
        <v>52</v>
      </c>
      <c r="M120" s="11" t="s">
        <v>32</v>
      </c>
      <c r="N120" s="12">
        <v>130</v>
      </c>
      <c r="O120" s="12">
        <v>69</v>
      </c>
      <c r="P120" s="190">
        <v>0</v>
      </c>
      <c r="Q120" s="12">
        <v>61</v>
      </c>
    </row>
    <row r="121" spans="1:17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G121" s="13" t="s">
        <v>33</v>
      </c>
      <c r="H121" s="14">
        <v>0</v>
      </c>
      <c r="I121" s="14">
        <v>0</v>
      </c>
      <c r="J121" s="14">
        <v>0</v>
      </c>
      <c r="K121" s="14">
        <v>0</v>
      </c>
      <c r="M121" s="13" t="s">
        <v>33</v>
      </c>
      <c r="N121" s="14">
        <v>1</v>
      </c>
      <c r="O121" s="14">
        <v>1</v>
      </c>
      <c r="P121" s="192">
        <v>0</v>
      </c>
      <c r="Q121" s="14">
        <v>0</v>
      </c>
    </row>
    <row r="122" spans="1:17" x14ac:dyDescent="0.3">
      <c r="A122" s="13" t="s">
        <v>34</v>
      </c>
      <c r="B122" s="14">
        <v>37</v>
      </c>
      <c r="C122" s="14">
        <v>37</v>
      </c>
      <c r="D122" s="14">
        <v>0</v>
      </c>
      <c r="E122" s="14">
        <v>0</v>
      </c>
      <c r="G122" s="13" t="s">
        <v>34</v>
      </c>
      <c r="H122" s="14">
        <v>97</v>
      </c>
      <c r="I122" s="14">
        <v>45</v>
      </c>
      <c r="J122" s="14">
        <v>0</v>
      </c>
      <c r="K122" s="14">
        <v>52</v>
      </c>
      <c r="M122" s="13" t="s">
        <v>34</v>
      </c>
      <c r="N122" s="14">
        <v>129</v>
      </c>
      <c r="O122" s="14">
        <v>68</v>
      </c>
      <c r="P122" s="192">
        <v>0</v>
      </c>
      <c r="Q122" s="14">
        <v>61</v>
      </c>
    </row>
    <row r="123" spans="1:17" x14ac:dyDescent="0.3">
      <c r="A123" s="15" t="s">
        <v>35</v>
      </c>
      <c r="B123" s="16">
        <v>1</v>
      </c>
      <c r="C123" s="16">
        <v>1</v>
      </c>
      <c r="D123" s="16">
        <v>0</v>
      </c>
      <c r="E123" s="16">
        <v>0</v>
      </c>
      <c r="G123" s="15" t="s">
        <v>35</v>
      </c>
      <c r="H123" s="16">
        <v>3</v>
      </c>
      <c r="I123" s="16">
        <v>3</v>
      </c>
      <c r="J123" s="16">
        <v>0</v>
      </c>
      <c r="K123" s="16">
        <v>0</v>
      </c>
      <c r="M123" s="15" t="s">
        <v>35</v>
      </c>
      <c r="N123" s="16">
        <v>23</v>
      </c>
      <c r="O123" s="16">
        <v>23</v>
      </c>
      <c r="P123" s="194">
        <v>0</v>
      </c>
      <c r="Q123" s="16">
        <v>0</v>
      </c>
    </row>
    <row r="124" spans="1:17" x14ac:dyDescent="0.3">
      <c r="A124" s="17" t="s">
        <v>36</v>
      </c>
      <c r="B124" s="18">
        <v>1</v>
      </c>
      <c r="C124" s="18">
        <v>1</v>
      </c>
      <c r="D124" s="18">
        <v>0</v>
      </c>
      <c r="E124" s="18">
        <v>0</v>
      </c>
      <c r="G124" s="17" t="s">
        <v>36</v>
      </c>
      <c r="H124" s="78">
        <v>0</v>
      </c>
      <c r="I124" s="78">
        <v>0</v>
      </c>
      <c r="J124" s="78">
        <v>0</v>
      </c>
      <c r="K124" s="78">
        <v>0</v>
      </c>
      <c r="M124" s="17" t="s">
        <v>36</v>
      </c>
      <c r="N124" s="112">
        <v>22</v>
      </c>
      <c r="O124" s="112">
        <v>22</v>
      </c>
      <c r="P124" s="196">
        <v>0</v>
      </c>
      <c r="Q124" s="112">
        <v>0</v>
      </c>
    </row>
    <row r="125" spans="1:17" x14ac:dyDescent="0.3">
      <c r="A125" s="17" t="s">
        <v>37</v>
      </c>
      <c r="B125" s="18">
        <v>1</v>
      </c>
      <c r="C125" s="18">
        <v>1</v>
      </c>
      <c r="D125" s="18">
        <v>0</v>
      </c>
      <c r="E125" s="18">
        <v>0</v>
      </c>
      <c r="G125" s="17" t="s">
        <v>37</v>
      </c>
      <c r="H125" s="78">
        <v>3</v>
      </c>
      <c r="I125" s="78">
        <v>3</v>
      </c>
      <c r="J125" s="78">
        <v>0</v>
      </c>
      <c r="K125" s="78">
        <v>0</v>
      </c>
      <c r="M125" s="17" t="s">
        <v>37</v>
      </c>
      <c r="N125" s="112">
        <v>1</v>
      </c>
      <c r="O125" s="112">
        <v>1</v>
      </c>
      <c r="P125" s="196">
        <v>0</v>
      </c>
      <c r="Q125" s="112">
        <v>0</v>
      </c>
    </row>
    <row r="126" spans="1:17" x14ac:dyDescent="0.3">
      <c r="A126" s="17" t="s">
        <v>38</v>
      </c>
      <c r="B126" s="172" t="s">
        <v>209</v>
      </c>
      <c r="C126" s="173"/>
      <c r="D126" s="173"/>
      <c r="E126" s="173"/>
      <c r="G126" s="17" t="s">
        <v>38</v>
      </c>
      <c r="H126" s="172" t="s">
        <v>209</v>
      </c>
      <c r="I126" s="173"/>
      <c r="J126" s="173"/>
      <c r="K126" s="173"/>
      <c r="M126" s="17" t="s">
        <v>38</v>
      </c>
      <c r="N126" s="172" t="s">
        <v>372</v>
      </c>
      <c r="O126" s="173"/>
      <c r="P126" s="173"/>
      <c r="Q126" s="173"/>
    </row>
    <row r="127" spans="1:17" ht="19.8" x14ac:dyDescent="0.3">
      <c r="A127" s="171">
        <v>46090</v>
      </c>
      <c r="B127" s="171"/>
      <c r="C127" s="171"/>
      <c r="D127" s="171"/>
      <c r="E127" s="171"/>
      <c r="G127" s="171">
        <v>46120</v>
      </c>
      <c r="H127" s="171"/>
      <c r="I127" s="171"/>
      <c r="J127" s="171"/>
      <c r="K127" s="171"/>
      <c r="M127" s="171">
        <v>46151</v>
      </c>
      <c r="N127" s="171"/>
      <c r="O127" s="171"/>
      <c r="P127" s="171"/>
      <c r="Q127" s="171"/>
    </row>
    <row r="128" spans="1:17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870</v>
      </c>
      <c r="G128" s="1" t="s">
        <v>0</v>
      </c>
      <c r="H128" s="1" t="s">
        <v>1</v>
      </c>
      <c r="I128" s="1" t="s">
        <v>2</v>
      </c>
      <c r="J128" s="1" t="s">
        <v>3</v>
      </c>
      <c r="K128" s="1" t="s">
        <v>40</v>
      </c>
      <c r="M128" s="1" t="s">
        <v>0</v>
      </c>
      <c r="N128" s="1" t="s">
        <v>1</v>
      </c>
      <c r="O128" s="1" t="s">
        <v>2</v>
      </c>
      <c r="P128" s="179" t="s">
        <v>3</v>
      </c>
      <c r="Q128" s="1" t="s">
        <v>40</v>
      </c>
    </row>
    <row r="129" spans="1:17" x14ac:dyDescent="0.3">
      <c r="A129" s="2" t="s">
        <v>5</v>
      </c>
      <c r="B129" s="3">
        <v>1091</v>
      </c>
      <c r="C129" s="3">
        <v>1091</v>
      </c>
      <c r="D129" s="3">
        <v>0</v>
      </c>
      <c r="E129" s="3">
        <v>0</v>
      </c>
      <c r="G129" s="2" t="s">
        <v>5</v>
      </c>
      <c r="H129" s="3">
        <v>2898</v>
      </c>
      <c r="I129" s="3">
        <v>1443</v>
      </c>
      <c r="J129" s="3">
        <v>0</v>
      </c>
      <c r="K129" s="3">
        <v>1455</v>
      </c>
      <c r="M129" s="2" t="s">
        <v>5</v>
      </c>
      <c r="N129" s="3">
        <v>3609</v>
      </c>
      <c r="O129" s="3">
        <v>1958</v>
      </c>
      <c r="P129" s="181">
        <v>0</v>
      </c>
      <c r="Q129" s="3">
        <v>1651</v>
      </c>
    </row>
    <row r="130" spans="1:17" x14ac:dyDescent="0.3">
      <c r="A130" s="2" t="s">
        <v>6</v>
      </c>
      <c r="B130" s="3">
        <v>9</v>
      </c>
      <c r="C130" s="5">
        <v>9</v>
      </c>
      <c r="D130" s="3">
        <v>0</v>
      </c>
      <c r="E130" s="3">
        <v>0</v>
      </c>
      <c r="G130" s="2" t="s">
        <v>6</v>
      </c>
      <c r="H130" s="3">
        <v>246</v>
      </c>
      <c r="I130" s="6">
        <v>113</v>
      </c>
      <c r="J130" s="3">
        <v>0</v>
      </c>
      <c r="K130" s="5">
        <v>133</v>
      </c>
      <c r="M130" s="2" t="s">
        <v>6</v>
      </c>
      <c r="N130" s="3">
        <v>196</v>
      </c>
      <c r="O130" s="5">
        <v>105</v>
      </c>
      <c r="P130" s="181">
        <v>0</v>
      </c>
      <c r="Q130" s="6">
        <v>91</v>
      </c>
    </row>
    <row r="131" spans="1:17" x14ac:dyDescent="0.3">
      <c r="A131" s="2" t="s">
        <v>7</v>
      </c>
      <c r="B131" s="3" t="s">
        <v>371</v>
      </c>
      <c r="C131" s="5" t="s">
        <v>371</v>
      </c>
      <c r="D131" s="3">
        <v>0</v>
      </c>
      <c r="E131" s="3">
        <v>0</v>
      </c>
      <c r="G131" s="2" t="s">
        <v>7</v>
      </c>
      <c r="H131" s="3" t="s">
        <v>1339</v>
      </c>
      <c r="I131" s="6" t="s">
        <v>264</v>
      </c>
      <c r="J131" s="3">
        <v>0</v>
      </c>
      <c r="K131" s="5" t="s">
        <v>1269</v>
      </c>
      <c r="M131" s="2" t="s">
        <v>7</v>
      </c>
      <c r="N131" s="3" t="s">
        <v>740</v>
      </c>
      <c r="O131" s="6" t="s">
        <v>1517</v>
      </c>
      <c r="P131" s="181">
        <v>0</v>
      </c>
      <c r="Q131" s="5" t="s">
        <v>1309</v>
      </c>
    </row>
    <row r="132" spans="1:17" x14ac:dyDescent="0.3">
      <c r="A132" s="2" t="s">
        <v>12</v>
      </c>
      <c r="B132" s="3" t="s">
        <v>88</v>
      </c>
      <c r="C132" s="5" t="s">
        <v>88</v>
      </c>
      <c r="D132" s="3">
        <v>0</v>
      </c>
      <c r="E132" s="3">
        <v>0</v>
      </c>
      <c r="G132" s="2" t="s">
        <v>12</v>
      </c>
      <c r="H132" s="3" t="s">
        <v>1340</v>
      </c>
      <c r="I132" s="6" t="s">
        <v>1171</v>
      </c>
      <c r="J132" s="3">
        <v>0</v>
      </c>
      <c r="K132" s="5" t="s">
        <v>161</v>
      </c>
      <c r="M132" s="2" t="s">
        <v>12</v>
      </c>
      <c r="N132" s="3" t="s">
        <v>1382</v>
      </c>
      <c r="O132" s="5" t="s">
        <v>924</v>
      </c>
      <c r="P132" s="181">
        <v>0</v>
      </c>
      <c r="Q132" s="6" t="s">
        <v>433</v>
      </c>
    </row>
    <row r="133" spans="1:17" x14ac:dyDescent="0.3">
      <c r="A133" s="2" t="s">
        <v>17</v>
      </c>
      <c r="B133" s="3" t="s">
        <v>88</v>
      </c>
      <c r="C133" s="5" t="s">
        <v>88</v>
      </c>
      <c r="D133" s="3" t="s">
        <v>25</v>
      </c>
      <c r="E133" s="3" t="s">
        <v>25</v>
      </c>
      <c r="G133" s="2" t="s">
        <v>17</v>
      </c>
      <c r="H133" s="3" t="s">
        <v>443</v>
      </c>
      <c r="I133" s="6" t="s">
        <v>186</v>
      </c>
      <c r="J133" s="3" t="s">
        <v>25</v>
      </c>
      <c r="K133" s="5" t="s">
        <v>346</v>
      </c>
      <c r="M133" s="2" t="s">
        <v>17</v>
      </c>
      <c r="N133" s="3" t="s">
        <v>490</v>
      </c>
      <c r="O133" s="6" t="s">
        <v>695</v>
      </c>
      <c r="P133" s="181" t="s">
        <v>25</v>
      </c>
      <c r="Q133" s="5" t="s">
        <v>206</v>
      </c>
    </row>
    <row r="134" spans="1:17" x14ac:dyDescent="0.3">
      <c r="A134" s="2" t="s">
        <v>22</v>
      </c>
      <c r="B134" s="3" t="s">
        <v>25</v>
      </c>
      <c r="C134" s="3" t="s">
        <v>25</v>
      </c>
      <c r="D134" s="3" t="s">
        <v>25</v>
      </c>
      <c r="E134" s="3" t="s">
        <v>25</v>
      </c>
      <c r="G134" s="2" t="s">
        <v>22</v>
      </c>
      <c r="H134" s="3" t="s">
        <v>25</v>
      </c>
      <c r="I134" s="3" t="s">
        <v>25</v>
      </c>
      <c r="J134" s="3" t="s">
        <v>25</v>
      </c>
      <c r="K134" s="3" t="s">
        <v>25</v>
      </c>
      <c r="M134" s="2" t="s">
        <v>22</v>
      </c>
      <c r="N134" s="3" t="s">
        <v>25</v>
      </c>
      <c r="O134" s="3" t="s">
        <v>25</v>
      </c>
      <c r="P134" s="181" t="s">
        <v>25</v>
      </c>
      <c r="Q134" s="3" t="s">
        <v>25</v>
      </c>
    </row>
    <row r="135" spans="1:17" x14ac:dyDescent="0.3">
      <c r="A135" s="7" t="s">
        <v>26</v>
      </c>
      <c r="B135" s="8">
        <v>3</v>
      </c>
      <c r="C135" s="8">
        <v>3</v>
      </c>
      <c r="D135" s="8">
        <v>0</v>
      </c>
      <c r="E135" s="8">
        <v>0</v>
      </c>
      <c r="G135" s="7" t="s">
        <v>26</v>
      </c>
      <c r="H135" s="8">
        <v>215</v>
      </c>
      <c r="I135" s="8">
        <v>99</v>
      </c>
      <c r="J135" s="8">
        <v>0</v>
      </c>
      <c r="K135" s="8">
        <v>116</v>
      </c>
      <c r="M135" s="7" t="s">
        <v>26</v>
      </c>
      <c r="N135" s="8">
        <v>77</v>
      </c>
      <c r="O135" s="8">
        <v>47</v>
      </c>
      <c r="P135" s="186">
        <v>0</v>
      </c>
      <c r="Q135" s="8">
        <v>30</v>
      </c>
    </row>
    <row r="136" spans="1:17" x14ac:dyDescent="0.3">
      <c r="A136" s="9" t="s">
        <v>27</v>
      </c>
      <c r="B136" s="10">
        <v>3</v>
      </c>
      <c r="C136" s="10">
        <v>3</v>
      </c>
      <c r="D136" s="10">
        <v>0</v>
      </c>
      <c r="E136" s="10">
        <v>0</v>
      </c>
      <c r="G136" s="9" t="s">
        <v>27</v>
      </c>
      <c r="H136" s="10">
        <v>31</v>
      </c>
      <c r="I136" s="10">
        <v>14</v>
      </c>
      <c r="J136" s="10">
        <v>0</v>
      </c>
      <c r="K136" s="10">
        <v>17</v>
      </c>
      <c r="M136" s="9" t="s">
        <v>27</v>
      </c>
      <c r="N136" s="10">
        <v>7</v>
      </c>
      <c r="O136" s="10">
        <v>2</v>
      </c>
      <c r="P136" s="188">
        <v>0</v>
      </c>
      <c r="Q136" s="10">
        <v>5</v>
      </c>
    </row>
    <row r="137" spans="1:17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G137" s="9" t="s">
        <v>28</v>
      </c>
      <c r="H137" s="10">
        <v>63</v>
      </c>
      <c r="I137" s="10">
        <v>25</v>
      </c>
      <c r="J137" s="10">
        <v>0</v>
      </c>
      <c r="K137" s="10">
        <v>38</v>
      </c>
      <c r="M137" s="9" t="s">
        <v>28</v>
      </c>
      <c r="N137" s="10">
        <v>40</v>
      </c>
      <c r="O137" s="10">
        <v>23</v>
      </c>
      <c r="P137" s="188">
        <v>0</v>
      </c>
      <c r="Q137" s="10">
        <v>17</v>
      </c>
    </row>
    <row r="138" spans="1:17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G138" s="9" t="s">
        <v>29</v>
      </c>
      <c r="H138" s="10">
        <v>5</v>
      </c>
      <c r="I138" s="10">
        <v>5</v>
      </c>
      <c r="J138" s="10">
        <v>0</v>
      </c>
      <c r="K138" s="10">
        <v>0</v>
      </c>
      <c r="M138" s="9" t="s">
        <v>29</v>
      </c>
      <c r="N138" s="10">
        <v>3</v>
      </c>
      <c r="O138" s="10">
        <v>3</v>
      </c>
      <c r="P138" s="188">
        <v>0</v>
      </c>
      <c r="Q138" s="10">
        <v>0</v>
      </c>
    </row>
    <row r="139" spans="1:17" x14ac:dyDescent="0.3">
      <c r="A139" s="9" t="s">
        <v>30</v>
      </c>
      <c r="B139" s="10">
        <v>0</v>
      </c>
      <c r="C139" s="10">
        <v>0</v>
      </c>
      <c r="D139" s="10">
        <v>0</v>
      </c>
      <c r="E139" s="10">
        <v>0</v>
      </c>
      <c r="G139" s="9" t="s">
        <v>30</v>
      </c>
      <c r="H139" s="10">
        <v>116</v>
      </c>
      <c r="I139" s="10">
        <v>55</v>
      </c>
      <c r="J139" s="10">
        <v>0</v>
      </c>
      <c r="K139" s="10">
        <v>61</v>
      </c>
      <c r="M139" s="9" t="s">
        <v>30</v>
      </c>
      <c r="N139" s="10">
        <v>27</v>
      </c>
      <c r="O139" s="10">
        <v>19</v>
      </c>
      <c r="P139" s="188">
        <v>0</v>
      </c>
      <c r="Q139" s="10">
        <v>8</v>
      </c>
    </row>
    <row r="140" spans="1:17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G140" s="9" t="s">
        <v>31</v>
      </c>
      <c r="H140" s="10">
        <v>0</v>
      </c>
      <c r="I140" s="10">
        <v>0</v>
      </c>
      <c r="J140" s="10">
        <v>0</v>
      </c>
      <c r="K140" s="10">
        <v>0</v>
      </c>
      <c r="M140" s="9" t="s">
        <v>31</v>
      </c>
      <c r="N140" s="10">
        <v>0</v>
      </c>
      <c r="O140" s="10">
        <v>0</v>
      </c>
      <c r="P140" s="188">
        <v>0</v>
      </c>
      <c r="Q140" s="10">
        <v>0</v>
      </c>
    </row>
    <row r="141" spans="1:17" x14ac:dyDescent="0.3">
      <c r="A141" s="11" t="s">
        <v>32</v>
      </c>
      <c r="B141" s="12">
        <v>3</v>
      </c>
      <c r="C141" s="12">
        <v>3</v>
      </c>
      <c r="D141" s="12">
        <v>0</v>
      </c>
      <c r="E141" s="12">
        <v>0</v>
      </c>
      <c r="G141" s="11" t="s">
        <v>32</v>
      </c>
      <c r="H141" s="12">
        <v>31</v>
      </c>
      <c r="I141" s="12">
        <v>14</v>
      </c>
      <c r="J141" s="12">
        <v>0</v>
      </c>
      <c r="K141" s="12">
        <v>17</v>
      </c>
      <c r="M141" s="11" t="s">
        <v>32</v>
      </c>
      <c r="N141" s="12">
        <v>119</v>
      </c>
      <c r="O141" s="12">
        <v>58</v>
      </c>
      <c r="P141" s="190">
        <v>0</v>
      </c>
      <c r="Q141" s="12">
        <v>61</v>
      </c>
    </row>
    <row r="142" spans="1:17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G142" s="13" t="s">
        <v>33</v>
      </c>
      <c r="H142" s="14">
        <v>0</v>
      </c>
      <c r="I142" s="14">
        <v>0</v>
      </c>
      <c r="J142" s="14">
        <v>0</v>
      </c>
      <c r="K142" s="14">
        <v>0</v>
      </c>
      <c r="M142" s="13" t="s">
        <v>33</v>
      </c>
      <c r="N142" s="14">
        <v>0</v>
      </c>
      <c r="O142" s="14">
        <v>0</v>
      </c>
      <c r="P142" s="192">
        <v>0</v>
      </c>
      <c r="Q142" s="14">
        <v>0</v>
      </c>
    </row>
    <row r="143" spans="1:17" x14ac:dyDescent="0.3">
      <c r="A143" s="13" t="s">
        <v>34</v>
      </c>
      <c r="B143" s="14">
        <v>3</v>
      </c>
      <c r="C143" s="14">
        <v>3</v>
      </c>
      <c r="D143" s="14">
        <v>0</v>
      </c>
      <c r="E143" s="14">
        <v>0</v>
      </c>
      <c r="G143" s="13" t="s">
        <v>34</v>
      </c>
      <c r="H143" s="14">
        <v>31</v>
      </c>
      <c r="I143" s="14">
        <v>14</v>
      </c>
      <c r="J143" s="14">
        <v>0</v>
      </c>
      <c r="K143" s="14">
        <v>17</v>
      </c>
      <c r="M143" s="13" t="s">
        <v>34</v>
      </c>
      <c r="N143" s="14">
        <v>119</v>
      </c>
      <c r="O143" s="14">
        <v>58</v>
      </c>
      <c r="P143" s="192">
        <v>0</v>
      </c>
      <c r="Q143" s="14">
        <v>61</v>
      </c>
    </row>
    <row r="144" spans="1:17" x14ac:dyDescent="0.3">
      <c r="A144" s="15" t="s">
        <v>35</v>
      </c>
      <c r="B144" s="16">
        <v>0</v>
      </c>
      <c r="C144" s="16">
        <v>0</v>
      </c>
      <c r="D144" s="16">
        <v>0</v>
      </c>
      <c r="E144" s="16">
        <v>0</v>
      </c>
      <c r="G144" s="15" t="s">
        <v>35</v>
      </c>
      <c r="H144" s="16">
        <v>0</v>
      </c>
      <c r="I144" s="16">
        <v>0</v>
      </c>
      <c r="J144" s="16">
        <v>0</v>
      </c>
      <c r="K144" s="16">
        <v>0</v>
      </c>
      <c r="M144" s="15" t="s">
        <v>35</v>
      </c>
      <c r="N144" s="16">
        <v>0</v>
      </c>
      <c r="O144" s="16">
        <v>0</v>
      </c>
      <c r="P144" s="194">
        <v>0</v>
      </c>
      <c r="Q144" s="16">
        <v>0</v>
      </c>
    </row>
    <row r="145" spans="1:17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G145" s="17" t="s">
        <v>36</v>
      </c>
      <c r="H145" s="78">
        <v>0</v>
      </c>
      <c r="I145" s="78">
        <v>0</v>
      </c>
      <c r="J145" s="78">
        <v>0</v>
      </c>
      <c r="K145" s="78">
        <v>0</v>
      </c>
      <c r="M145" s="17" t="s">
        <v>36</v>
      </c>
      <c r="N145" s="112">
        <v>0</v>
      </c>
      <c r="O145" s="112">
        <v>0</v>
      </c>
      <c r="P145" s="196">
        <v>0</v>
      </c>
      <c r="Q145" s="112">
        <v>0</v>
      </c>
    </row>
    <row r="146" spans="1:17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G146" s="17" t="s">
        <v>37</v>
      </c>
      <c r="H146" s="78">
        <v>0</v>
      </c>
      <c r="I146" s="78">
        <v>0</v>
      </c>
      <c r="J146" s="78">
        <v>0</v>
      </c>
      <c r="K146" s="78">
        <v>0</v>
      </c>
      <c r="M146" s="17" t="s">
        <v>37</v>
      </c>
      <c r="N146" s="112">
        <v>0</v>
      </c>
      <c r="O146" s="112">
        <v>0</v>
      </c>
      <c r="P146" s="196">
        <v>0</v>
      </c>
      <c r="Q146" s="112">
        <v>0</v>
      </c>
    </row>
    <row r="147" spans="1:17" x14ac:dyDescent="0.3">
      <c r="A147" s="17" t="s">
        <v>38</v>
      </c>
      <c r="B147" s="172" t="s">
        <v>372</v>
      </c>
      <c r="C147" s="173"/>
      <c r="D147" s="173"/>
      <c r="E147" s="173"/>
      <c r="G147" s="17" t="s">
        <v>38</v>
      </c>
      <c r="H147" s="172" t="s">
        <v>209</v>
      </c>
      <c r="I147" s="173"/>
      <c r="J147" s="173"/>
      <c r="K147" s="173"/>
      <c r="M147" s="17" t="s">
        <v>38</v>
      </c>
      <c r="N147" s="172" t="s">
        <v>85</v>
      </c>
      <c r="O147" s="173"/>
      <c r="P147" s="173"/>
      <c r="Q147" s="173"/>
    </row>
    <row r="148" spans="1:17" ht="19.8" x14ac:dyDescent="0.3">
      <c r="A148" s="171">
        <v>46091</v>
      </c>
      <c r="B148" s="171"/>
      <c r="C148" s="171"/>
      <c r="D148" s="171"/>
      <c r="E148" s="171"/>
      <c r="G148" s="171">
        <v>46121</v>
      </c>
      <c r="H148" s="171"/>
      <c r="I148" s="171"/>
      <c r="J148" s="171"/>
      <c r="K148" s="171"/>
      <c r="M148" s="171">
        <v>46153</v>
      </c>
      <c r="N148" s="171"/>
      <c r="O148" s="171"/>
      <c r="P148" s="171"/>
      <c r="Q148" s="171"/>
    </row>
    <row r="149" spans="1:17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870</v>
      </c>
      <c r="G149" s="1" t="s">
        <v>0</v>
      </c>
      <c r="H149" s="1" t="s">
        <v>1</v>
      </c>
      <c r="I149" s="1" t="s">
        <v>2</v>
      </c>
      <c r="J149" s="1" t="s">
        <v>3</v>
      </c>
      <c r="K149" s="1" t="s">
        <v>40</v>
      </c>
      <c r="M149" s="1" t="s">
        <v>0</v>
      </c>
      <c r="N149" s="1" t="s">
        <v>1</v>
      </c>
      <c r="O149" s="1" t="s">
        <v>2</v>
      </c>
      <c r="P149" s="179" t="s">
        <v>3</v>
      </c>
      <c r="Q149" s="1" t="s">
        <v>40</v>
      </c>
    </row>
    <row r="150" spans="1:17" x14ac:dyDescent="0.3">
      <c r="A150" s="2" t="s">
        <v>5</v>
      </c>
      <c r="B150" s="3">
        <v>1804</v>
      </c>
      <c r="C150" s="3">
        <v>1804</v>
      </c>
      <c r="D150" s="3">
        <v>0</v>
      </c>
      <c r="E150" s="3">
        <v>0</v>
      </c>
      <c r="G150" s="2" t="s">
        <v>5</v>
      </c>
      <c r="H150" s="3">
        <v>2963</v>
      </c>
      <c r="I150" s="3">
        <v>1456</v>
      </c>
      <c r="J150" s="3">
        <v>0</v>
      </c>
      <c r="K150" s="3">
        <v>1507</v>
      </c>
      <c r="M150" s="2" t="s">
        <v>5</v>
      </c>
      <c r="N150" s="3">
        <v>1157</v>
      </c>
      <c r="O150" s="3">
        <v>1155</v>
      </c>
      <c r="P150" s="181">
        <v>0</v>
      </c>
      <c r="Q150" s="3">
        <v>2</v>
      </c>
    </row>
    <row r="151" spans="1:17" x14ac:dyDescent="0.3">
      <c r="A151" s="2" t="s">
        <v>6</v>
      </c>
      <c r="B151" s="3">
        <v>6</v>
      </c>
      <c r="C151" s="5">
        <v>6</v>
      </c>
      <c r="D151" s="3">
        <v>0</v>
      </c>
      <c r="E151" s="3">
        <v>0</v>
      </c>
      <c r="G151" s="2" t="s">
        <v>6</v>
      </c>
      <c r="H151" s="3">
        <v>213</v>
      </c>
      <c r="I151" s="6">
        <v>96</v>
      </c>
      <c r="J151" s="3">
        <v>0</v>
      </c>
      <c r="K151" s="5">
        <v>117</v>
      </c>
      <c r="M151" s="2" t="s">
        <v>6</v>
      </c>
      <c r="N151" s="3">
        <v>93</v>
      </c>
      <c r="O151" s="5">
        <v>91</v>
      </c>
      <c r="P151" s="181">
        <v>0</v>
      </c>
      <c r="Q151" s="6">
        <v>2</v>
      </c>
    </row>
    <row r="152" spans="1:17" x14ac:dyDescent="0.3">
      <c r="A152" s="2" t="s">
        <v>7</v>
      </c>
      <c r="B152" s="3" t="s">
        <v>418</v>
      </c>
      <c r="C152" s="5" t="s">
        <v>418</v>
      </c>
      <c r="D152" s="3">
        <v>0</v>
      </c>
      <c r="E152" s="3">
        <v>0</v>
      </c>
      <c r="G152" s="2" t="s">
        <v>7</v>
      </c>
      <c r="H152" s="3" t="s">
        <v>972</v>
      </c>
      <c r="I152" s="6" t="s">
        <v>651</v>
      </c>
      <c r="J152" s="3">
        <v>0</v>
      </c>
      <c r="K152" s="5" t="s">
        <v>1250</v>
      </c>
      <c r="M152" s="2" t="s">
        <v>7</v>
      </c>
      <c r="N152" s="3" t="s">
        <v>721</v>
      </c>
      <c r="O152" s="6" t="s">
        <v>521</v>
      </c>
      <c r="P152" s="181">
        <v>0</v>
      </c>
      <c r="Q152" s="5" t="s">
        <v>48</v>
      </c>
    </row>
    <row r="153" spans="1:17" x14ac:dyDescent="0.3">
      <c r="A153" s="2" t="s">
        <v>12</v>
      </c>
      <c r="B153" s="3" t="s">
        <v>25</v>
      </c>
      <c r="C153" s="3" t="s">
        <v>25</v>
      </c>
      <c r="D153" s="3">
        <v>0</v>
      </c>
      <c r="E153" s="3">
        <v>0</v>
      </c>
      <c r="G153" s="2" t="s">
        <v>12</v>
      </c>
      <c r="H153" s="3" t="s">
        <v>249</v>
      </c>
      <c r="I153" s="6" t="s">
        <v>558</v>
      </c>
      <c r="J153" s="3">
        <v>0</v>
      </c>
      <c r="K153" s="5" t="s">
        <v>599</v>
      </c>
      <c r="M153" s="2" t="s">
        <v>12</v>
      </c>
      <c r="N153" s="3" t="s">
        <v>57</v>
      </c>
      <c r="O153" s="5" t="s">
        <v>1569</v>
      </c>
      <c r="P153" s="181">
        <v>0</v>
      </c>
      <c r="Q153" s="3" t="s">
        <v>25</v>
      </c>
    </row>
    <row r="154" spans="1:17" x14ac:dyDescent="0.3">
      <c r="A154" s="2" t="s">
        <v>17</v>
      </c>
      <c r="B154" s="3" t="s">
        <v>419</v>
      </c>
      <c r="C154" s="5" t="s">
        <v>419</v>
      </c>
      <c r="D154" s="3" t="s">
        <v>25</v>
      </c>
      <c r="E154" s="3" t="s">
        <v>25</v>
      </c>
      <c r="G154" s="2" t="s">
        <v>17</v>
      </c>
      <c r="H154" s="3" t="s">
        <v>551</v>
      </c>
      <c r="I154" s="6" t="s">
        <v>863</v>
      </c>
      <c r="J154" s="3" t="s">
        <v>25</v>
      </c>
      <c r="K154" s="5" t="s">
        <v>416</v>
      </c>
      <c r="M154" s="2" t="s">
        <v>17</v>
      </c>
      <c r="N154" s="3" t="s">
        <v>1467</v>
      </c>
      <c r="O154" s="6" t="s">
        <v>1408</v>
      </c>
      <c r="P154" s="181" t="s">
        <v>25</v>
      </c>
      <c r="Q154" s="5" t="s">
        <v>48</v>
      </c>
    </row>
    <row r="155" spans="1:17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G155" s="2" t="s">
        <v>22</v>
      </c>
      <c r="H155" s="3" t="s">
        <v>25</v>
      </c>
      <c r="I155" s="3" t="s">
        <v>25</v>
      </c>
      <c r="J155" s="3" t="s">
        <v>25</v>
      </c>
      <c r="K155" s="3" t="s">
        <v>25</v>
      </c>
      <c r="M155" s="2" t="s">
        <v>22</v>
      </c>
      <c r="N155" s="3" t="s">
        <v>108</v>
      </c>
      <c r="O155" s="3" t="s">
        <v>25</v>
      </c>
      <c r="P155" s="181" t="s">
        <v>25</v>
      </c>
      <c r="Q155" s="5" t="s">
        <v>48</v>
      </c>
    </row>
    <row r="156" spans="1:17" x14ac:dyDescent="0.3">
      <c r="A156" s="7" t="s">
        <v>26</v>
      </c>
      <c r="B156" s="8">
        <v>0</v>
      </c>
      <c r="C156" s="8">
        <v>0</v>
      </c>
      <c r="D156" s="8">
        <v>0</v>
      </c>
      <c r="E156" s="8">
        <v>0</v>
      </c>
      <c r="G156" s="7" t="s">
        <v>26</v>
      </c>
      <c r="H156" s="8">
        <v>195</v>
      </c>
      <c r="I156" s="8">
        <v>88</v>
      </c>
      <c r="J156" s="8">
        <v>0</v>
      </c>
      <c r="K156" s="8">
        <v>107</v>
      </c>
      <c r="M156" s="7" t="s">
        <v>26</v>
      </c>
      <c r="N156" s="8">
        <v>57</v>
      </c>
      <c r="O156" s="8">
        <v>57</v>
      </c>
      <c r="P156" s="186">
        <v>0</v>
      </c>
      <c r="Q156" s="8">
        <v>0</v>
      </c>
    </row>
    <row r="157" spans="1:17" x14ac:dyDescent="0.3">
      <c r="A157" s="9" t="s">
        <v>27</v>
      </c>
      <c r="B157" s="10">
        <v>0</v>
      </c>
      <c r="C157" s="10">
        <v>0</v>
      </c>
      <c r="D157" s="10">
        <v>0</v>
      </c>
      <c r="E157" s="10">
        <v>0</v>
      </c>
      <c r="G157" s="9" t="s">
        <v>27</v>
      </c>
      <c r="H157" s="10">
        <v>39</v>
      </c>
      <c r="I157" s="10">
        <v>20</v>
      </c>
      <c r="J157" s="10">
        <v>0</v>
      </c>
      <c r="K157" s="10">
        <v>19</v>
      </c>
      <c r="M157" s="9" t="s">
        <v>27</v>
      </c>
      <c r="N157" s="10">
        <v>18</v>
      </c>
      <c r="O157" s="10">
        <v>18</v>
      </c>
      <c r="P157" s="188">
        <v>0</v>
      </c>
      <c r="Q157" s="10">
        <v>0</v>
      </c>
    </row>
    <row r="158" spans="1:17" x14ac:dyDescent="0.3">
      <c r="A158" s="9" t="s">
        <v>28</v>
      </c>
      <c r="B158" s="10">
        <v>0</v>
      </c>
      <c r="C158" s="10">
        <v>0</v>
      </c>
      <c r="D158" s="10">
        <v>0</v>
      </c>
      <c r="E158" s="10">
        <v>0</v>
      </c>
      <c r="G158" s="9" t="s">
        <v>28</v>
      </c>
      <c r="H158" s="10">
        <v>38</v>
      </c>
      <c r="I158" s="10">
        <v>14</v>
      </c>
      <c r="J158" s="10">
        <v>0</v>
      </c>
      <c r="K158" s="10">
        <v>24</v>
      </c>
      <c r="M158" s="9" t="s">
        <v>28</v>
      </c>
      <c r="N158" s="10">
        <v>18</v>
      </c>
      <c r="O158" s="10">
        <v>18</v>
      </c>
      <c r="P158" s="188">
        <v>0</v>
      </c>
      <c r="Q158" s="10">
        <v>0</v>
      </c>
    </row>
    <row r="159" spans="1:17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G159" s="9" t="s">
        <v>29</v>
      </c>
      <c r="H159" s="10">
        <v>7</v>
      </c>
      <c r="I159" s="10">
        <v>7</v>
      </c>
      <c r="J159" s="10">
        <v>0</v>
      </c>
      <c r="K159" s="10">
        <v>0</v>
      </c>
      <c r="M159" s="9" t="s">
        <v>29</v>
      </c>
      <c r="N159" s="10">
        <v>1</v>
      </c>
      <c r="O159" s="10">
        <v>1</v>
      </c>
      <c r="P159" s="188">
        <v>0</v>
      </c>
      <c r="Q159" s="10">
        <v>0</v>
      </c>
    </row>
    <row r="160" spans="1:17" x14ac:dyDescent="0.3">
      <c r="A160" s="9" t="s">
        <v>30</v>
      </c>
      <c r="B160" s="10">
        <v>0</v>
      </c>
      <c r="C160" s="10">
        <v>0</v>
      </c>
      <c r="D160" s="10">
        <v>0</v>
      </c>
      <c r="E160" s="10">
        <v>0</v>
      </c>
      <c r="G160" s="9" t="s">
        <v>30</v>
      </c>
      <c r="H160" s="10">
        <v>111</v>
      </c>
      <c r="I160" s="10">
        <v>47</v>
      </c>
      <c r="J160" s="10">
        <v>0</v>
      </c>
      <c r="K160" s="10">
        <v>64</v>
      </c>
      <c r="M160" s="9" t="s">
        <v>30</v>
      </c>
      <c r="N160" s="10">
        <v>20</v>
      </c>
      <c r="O160" s="10">
        <v>20</v>
      </c>
      <c r="P160" s="188">
        <v>0</v>
      </c>
      <c r="Q160" s="10">
        <v>0</v>
      </c>
    </row>
    <row r="161" spans="1:17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G161" s="9" t="s">
        <v>31</v>
      </c>
      <c r="H161" s="10">
        <v>0</v>
      </c>
      <c r="I161" s="10">
        <v>0</v>
      </c>
      <c r="J161" s="10">
        <v>0</v>
      </c>
      <c r="K161" s="10">
        <v>0</v>
      </c>
      <c r="M161" s="9" t="s">
        <v>31</v>
      </c>
      <c r="N161" s="10">
        <v>0</v>
      </c>
      <c r="O161" s="10">
        <v>0</v>
      </c>
      <c r="P161" s="188">
        <v>0</v>
      </c>
      <c r="Q161" s="10">
        <v>0</v>
      </c>
    </row>
    <row r="162" spans="1:17" x14ac:dyDescent="0.3">
      <c r="A162" s="11" t="s">
        <v>32</v>
      </c>
      <c r="B162" s="12">
        <v>7</v>
      </c>
      <c r="C162" s="12">
        <v>7</v>
      </c>
      <c r="D162" s="12">
        <v>0</v>
      </c>
      <c r="E162" s="12">
        <v>0</v>
      </c>
      <c r="G162" s="11" t="s">
        <v>32</v>
      </c>
      <c r="H162" s="12">
        <v>18</v>
      </c>
      <c r="I162" s="12">
        <v>8</v>
      </c>
      <c r="J162" s="12">
        <v>0</v>
      </c>
      <c r="K162" s="12">
        <v>10</v>
      </c>
      <c r="M162" s="11" t="s">
        <v>32</v>
      </c>
      <c r="N162" s="12">
        <v>36</v>
      </c>
      <c r="O162" s="12">
        <v>34</v>
      </c>
      <c r="P162" s="190">
        <v>0</v>
      </c>
      <c r="Q162" s="12">
        <v>2</v>
      </c>
    </row>
    <row r="163" spans="1:17" x14ac:dyDescent="0.3">
      <c r="A163" s="13" t="s">
        <v>33</v>
      </c>
      <c r="B163" s="14">
        <v>1</v>
      </c>
      <c r="C163" s="14">
        <v>1</v>
      </c>
      <c r="D163" s="14">
        <v>0</v>
      </c>
      <c r="E163" s="14">
        <v>0</v>
      </c>
      <c r="G163" s="13" t="s">
        <v>33</v>
      </c>
      <c r="H163" s="14">
        <v>0</v>
      </c>
      <c r="I163" s="14">
        <v>0</v>
      </c>
      <c r="J163" s="14">
        <v>0</v>
      </c>
      <c r="K163" s="14">
        <v>0</v>
      </c>
      <c r="M163" s="13" t="s">
        <v>33</v>
      </c>
      <c r="N163" s="14">
        <v>1</v>
      </c>
      <c r="O163" s="14">
        <v>1</v>
      </c>
      <c r="P163" s="192">
        <v>0</v>
      </c>
      <c r="Q163" s="14">
        <v>0</v>
      </c>
    </row>
    <row r="164" spans="1:17" x14ac:dyDescent="0.3">
      <c r="A164" s="13" t="s">
        <v>34</v>
      </c>
      <c r="B164" s="14">
        <v>6</v>
      </c>
      <c r="C164" s="14">
        <v>6</v>
      </c>
      <c r="D164" s="14">
        <v>0</v>
      </c>
      <c r="E164" s="14">
        <v>0</v>
      </c>
      <c r="G164" s="13" t="s">
        <v>34</v>
      </c>
      <c r="H164" s="14">
        <v>18</v>
      </c>
      <c r="I164" s="14">
        <v>8</v>
      </c>
      <c r="J164" s="14">
        <v>0</v>
      </c>
      <c r="K164" s="14">
        <v>10</v>
      </c>
      <c r="M164" s="13" t="s">
        <v>34</v>
      </c>
      <c r="N164" s="14">
        <v>35</v>
      </c>
      <c r="O164" s="14">
        <v>33</v>
      </c>
      <c r="P164" s="192">
        <v>0</v>
      </c>
      <c r="Q164" s="14">
        <v>2</v>
      </c>
    </row>
    <row r="165" spans="1:17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G165" s="15" t="s">
        <v>35</v>
      </c>
      <c r="H165" s="16">
        <v>0</v>
      </c>
      <c r="I165" s="16">
        <v>0</v>
      </c>
      <c r="J165" s="16">
        <v>0</v>
      </c>
      <c r="K165" s="16">
        <v>0</v>
      </c>
      <c r="M165" s="15" t="s">
        <v>35</v>
      </c>
      <c r="N165" s="16">
        <v>2</v>
      </c>
      <c r="O165" s="16">
        <v>0</v>
      </c>
      <c r="P165" s="194">
        <v>0</v>
      </c>
      <c r="Q165" s="16">
        <v>2</v>
      </c>
    </row>
    <row r="166" spans="1:17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G166" s="17" t="s">
        <v>36</v>
      </c>
      <c r="H166" s="78">
        <v>0</v>
      </c>
      <c r="I166" s="78">
        <v>0</v>
      </c>
      <c r="J166" s="78">
        <v>0</v>
      </c>
      <c r="K166" s="78">
        <v>0</v>
      </c>
      <c r="M166" s="17" t="s">
        <v>36</v>
      </c>
      <c r="N166" s="112">
        <v>2</v>
      </c>
      <c r="O166" s="112">
        <v>0</v>
      </c>
      <c r="P166" s="196">
        <v>0</v>
      </c>
      <c r="Q166" s="112">
        <v>2</v>
      </c>
    </row>
    <row r="167" spans="1:17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G167" s="17" t="s">
        <v>37</v>
      </c>
      <c r="H167" s="78">
        <v>0</v>
      </c>
      <c r="I167" s="78">
        <v>0</v>
      </c>
      <c r="J167" s="78">
        <v>0</v>
      </c>
      <c r="K167" s="78">
        <v>0</v>
      </c>
      <c r="M167" s="17" t="s">
        <v>37</v>
      </c>
      <c r="N167" s="112">
        <v>0</v>
      </c>
      <c r="O167" s="112">
        <v>0</v>
      </c>
      <c r="P167" s="196">
        <v>0</v>
      </c>
      <c r="Q167" s="112">
        <v>0</v>
      </c>
    </row>
    <row r="168" spans="1:17" x14ac:dyDescent="0.3">
      <c r="A168" s="17" t="s">
        <v>38</v>
      </c>
      <c r="B168" s="172" t="s">
        <v>85</v>
      </c>
      <c r="C168" s="173"/>
      <c r="D168" s="173"/>
      <c r="E168" s="173"/>
      <c r="G168" s="17" t="s">
        <v>38</v>
      </c>
      <c r="H168" s="172" t="s">
        <v>209</v>
      </c>
      <c r="I168" s="173"/>
      <c r="J168" s="173"/>
      <c r="K168" s="173"/>
      <c r="M168" s="17" t="s">
        <v>38</v>
      </c>
      <c r="N168" s="172" t="s">
        <v>85</v>
      </c>
      <c r="O168" s="173"/>
      <c r="P168" s="173"/>
      <c r="Q168" s="173"/>
    </row>
    <row r="169" spans="1:17" ht="19.8" x14ac:dyDescent="0.3">
      <c r="A169" s="171">
        <v>46092</v>
      </c>
      <c r="B169" s="171"/>
      <c r="C169" s="171"/>
      <c r="D169" s="171"/>
      <c r="E169" s="171"/>
      <c r="G169" s="171">
        <v>46122</v>
      </c>
      <c r="H169" s="171"/>
      <c r="I169" s="171"/>
      <c r="J169" s="171"/>
      <c r="K169" s="171"/>
      <c r="M169" s="171">
        <v>46154</v>
      </c>
      <c r="N169" s="171"/>
      <c r="O169" s="171"/>
      <c r="P169" s="171"/>
      <c r="Q169" s="171"/>
    </row>
    <row r="170" spans="1:17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870</v>
      </c>
      <c r="G170" s="1" t="s">
        <v>0</v>
      </c>
      <c r="H170" s="1" t="s">
        <v>1</v>
      </c>
      <c r="I170" s="1" t="s">
        <v>2</v>
      </c>
      <c r="J170" s="1" t="s">
        <v>3</v>
      </c>
      <c r="K170" s="1" t="s">
        <v>40</v>
      </c>
      <c r="M170" s="1" t="s">
        <v>0</v>
      </c>
      <c r="N170" s="1" t="s">
        <v>1</v>
      </c>
      <c r="O170" s="1" t="s">
        <v>2</v>
      </c>
      <c r="P170" s="179" t="s">
        <v>3</v>
      </c>
      <c r="Q170" s="1" t="s">
        <v>40</v>
      </c>
    </row>
    <row r="171" spans="1:17" x14ac:dyDescent="0.3">
      <c r="A171" s="2" t="s">
        <v>5</v>
      </c>
      <c r="B171" s="3">
        <v>1458</v>
      </c>
      <c r="C171" s="3">
        <v>1458</v>
      </c>
      <c r="D171" s="3">
        <v>0</v>
      </c>
      <c r="E171" s="3">
        <v>0</v>
      </c>
      <c r="G171" s="2" t="s">
        <v>5</v>
      </c>
      <c r="H171" s="3">
        <v>2976</v>
      </c>
      <c r="I171" s="3">
        <v>1445</v>
      </c>
      <c r="J171" s="3">
        <v>0</v>
      </c>
      <c r="K171" s="3">
        <v>1531</v>
      </c>
      <c r="M171" s="2" t="s">
        <v>5</v>
      </c>
      <c r="N171" s="3">
        <v>3411</v>
      </c>
      <c r="O171" s="3">
        <v>1850</v>
      </c>
      <c r="P171" s="181">
        <v>0</v>
      </c>
      <c r="Q171" s="3">
        <v>1561</v>
      </c>
    </row>
    <row r="172" spans="1:17" x14ac:dyDescent="0.3">
      <c r="A172" s="2" t="s">
        <v>6</v>
      </c>
      <c r="B172" s="3">
        <v>9</v>
      </c>
      <c r="C172" s="5">
        <v>9</v>
      </c>
      <c r="D172" s="3">
        <v>0</v>
      </c>
      <c r="E172" s="3">
        <v>0</v>
      </c>
      <c r="G172" s="2" t="s">
        <v>6</v>
      </c>
      <c r="H172" s="3">
        <v>363</v>
      </c>
      <c r="I172" s="6">
        <v>178</v>
      </c>
      <c r="J172" s="3">
        <v>0</v>
      </c>
      <c r="K172" s="5">
        <v>185</v>
      </c>
      <c r="M172" s="2" t="s">
        <v>6</v>
      </c>
      <c r="N172" s="3">
        <v>266</v>
      </c>
      <c r="O172" s="5">
        <v>142</v>
      </c>
      <c r="P172" s="181">
        <v>0</v>
      </c>
      <c r="Q172" s="6">
        <v>124</v>
      </c>
    </row>
    <row r="173" spans="1:17" x14ac:dyDescent="0.3">
      <c r="A173" s="2" t="s">
        <v>7</v>
      </c>
      <c r="B173" s="3" t="s">
        <v>87</v>
      </c>
      <c r="C173" s="5" t="s">
        <v>87</v>
      </c>
      <c r="D173" s="3">
        <v>0</v>
      </c>
      <c r="E173" s="3">
        <v>0</v>
      </c>
      <c r="G173" s="2" t="s">
        <v>7</v>
      </c>
      <c r="H173" s="3" t="s">
        <v>1374</v>
      </c>
      <c r="I173" s="5" t="s">
        <v>688</v>
      </c>
      <c r="J173" s="3">
        <v>0</v>
      </c>
      <c r="K173" s="6" t="s">
        <v>1375</v>
      </c>
      <c r="M173" s="2" t="s">
        <v>7</v>
      </c>
      <c r="N173" s="3" t="s">
        <v>1138</v>
      </c>
      <c r="O173" s="6" t="s">
        <v>712</v>
      </c>
      <c r="P173" s="181">
        <v>0</v>
      </c>
      <c r="Q173" s="5" t="s">
        <v>1230</v>
      </c>
    </row>
    <row r="174" spans="1:17" x14ac:dyDescent="0.3">
      <c r="A174" s="2" t="s">
        <v>12</v>
      </c>
      <c r="B174" s="3" t="s">
        <v>77</v>
      </c>
      <c r="C174" s="5" t="s">
        <v>77</v>
      </c>
      <c r="D174" s="3">
        <v>0</v>
      </c>
      <c r="E174" s="3">
        <v>0</v>
      </c>
      <c r="G174" s="2" t="s">
        <v>12</v>
      </c>
      <c r="H174" s="3" t="s">
        <v>1376</v>
      </c>
      <c r="I174" s="5" t="s">
        <v>1377</v>
      </c>
      <c r="J174" s="3">
        <v>0</v>
      </c>
      <c r="K174" s="6" t="s">
        <v>1294</v>
      </c>
      <c r="M174" s="2" t="s">
        <v>12</v>
      </c>
      <c r="N174" s="3" t="s">
        <v>563</v>
      </c>
      <c r="O174" s="5" t="s">
        <v>961</v>
      </c>
      <c r="P174" s="181">
        <v>0</v>
      </c>
      <c r="Q174" s="6" t="s">
        <v>1865</v>
      </c>
    </row>
    <row r="175" spans="1:17" x14ac:dyDescent="0.3">
      <c r="A175" s="2" t="s">
        <v>17</v>
      </c>
      <c r="B175" s="3" t="s">
        <v>310</v>
      </c>
      <c r="C175" s="5" t="s">
        <v>310</v>
      </c>
      <c r="D175" s="3" t="s">
        <v>25</v>
      </c>
      <c r="E175" s="3" t="s">
        <v>25</v>
      </c>
      <c r="G175" s="2" t="s">
        <v>17</v>
      </c>
      <c r="H175" s="3" t="s">
        <v>337</v>
      </c>
      <c r="I175" s="6" t="s">
        <v>87</v>
      </c>
      <c r="J175" s="3" t="s">
        <v>25</v>
      </c>
      <c r="K175" s="5" t="s">
        <v>750</v>
      </c>
      <c r="M175" s="2" t="s">
        <v>17</v>
      </c>
      <c r="N175" s="3" t="s">
        <v>130</v>
      </c>
      <c r="O175" s="6" t="s">
        <v>1618</v>
      </c>
      <c r="P175" s="181" t="s">
        <v>25</v>
      </c>
      <c r="Q175" s="5" t="s">
        <v>195</v>
      </c>
    </row>
    <row r="176" spans="1:17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G176" s="2" t="s">
        <v>22</v>
      </c>
      <c r="H176" s="3" t="s">
        <v>552</v>
      </c>
      <c r="I176" s="5" t="s">
        <v>138</v>
      </c>
      <c r="J176" s="3" t="s">
        <v>25</v>
      </c>
      <c r="K176" s="3" t="s">
        <v>25</v>
      </c>
      <c r="M176" s="2" t="s">
        <v>22</v>
      </c>
      <c r="N176" s="3" t="s">
        <v>25</v>
      </c>
      <c r="O176" s="3" t="s">
        <v>25</v>
      </c>
      <c r="P176" s="181" t="s">
        <v>25</v>
      </c>
      <c r="Q176" s="3" t="s">
        <v>25</v>
      </c>
    </row>
    <row r="177" spans="1:17" x14ac:dyDescent="0.3">
      <c r="A177" s="7" t="s">
        <v>26</v>
      </c>
      <c r="B177" s="8">
        <v>3</v>
      </c>
      <c r="C177" s="8">
        <v>3</v>
      </c>
      <c r="D177" s="8">
        <v>0</v>
      </c>
      <c r="E177" s="8">
        <v>0</v>
      </c>
      <c r="G177" s="7" t="s">
        <v>26</v>
      </c>
      <c r="H177" s="8">
        <v>344</v>
      </c>
      <c r="I177" s="8">
        <v>170</v>
      </c>
      <c r="J177" s="8">
        <v>0</v>
      </c>
      <c r="K177" s="8">
        <v>174</v>
      </c>
      <c r="M177" s="7" t="s">
        <v>26</v>
      </c>
      <c r="N177" s="8">
        <v>141</v>
      </c>
      <c r="O177" s="8">
        <v>77</v>
      </c>
      <c r="P177" s="186">
        <v>0</v>
      </c>
      <c r="Q177" s="8">
        <v>64</v>
      </c>
    </row>
    <row r="178" spans="1:17" x14ac:dyDescent="0.3">
      <c r="A178" s="9" t="s">
        <v>27</v>
      </c>
      <c r="B178" s="10">
        <v>3</v>
      </c>
      <c r="C178" s="10">
        <v>3</v>
      </c>
      <c r="D178" s="10">
        <v>0</v>
      </c>
      <c r="E178" s="10">
        <v>0</v>
      </c>
      <c r="G178" s="9" t="s">
        <v>27</v>
      </c>
      <c r="H178" s="10">
        <v>29</v>
      </c>
      <c r="I178" s="10">
        <v>13</v>
      </c>
      <c r="J178" s="10">
        <v>0</v>
      </c>
      <c r="K178" s="10">
        <v>16</v>
      </c>
      <c r="M178" s="9" t="s">
        <v>27</v>
      </c>
      <c r="N178" s="10">
        <v>27</v>
      </c>
      <c r="O178" s="10">
        <v>15</v>
      </c>
      <c r="P178" s="188">
        <v>0</v>
      </c>
      <c r="Q178" s="10">
        <v>12</v>
      </c>
    </row>
    <row r="179" spans="1:17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G179" s="9" t="s">
        <v>28</v>
      </c>
      <c r="H179" s="10">
        <v>187</v>
      </c>
      <c r="I179" s="10">
        <v>88</v>
      </c>
      <c r="J179" s="10">
        <v>0</v>
      </c>
      <c r="K179" s="10">
        <v>99</v>
      </c>
      <c r="M179" s="9" t="s">
        <v>28</v>
      </c>
      <c r="N179" s="10">
        <v>42</v>
      </c>
      <c r="O179" s="10">
        <v>24</v>
      </c>
      <c r="P179" s="188">
        <v>0</v>
      </c>
      <c r="Q179" s="10">
        <v>18</v>
      </c>
    </row>
    <row r="180" spans="1:17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G180" s="9" t="s">
        <v>29</v>
      </c>
      <c r="H180" s="10">
        <v>7</v>
      </c>
      <c r="I180" s="10">
        <v>7</v>
      </c>
      <c r="J180" s="10">
        <v>0</v>
      </c>
      <c r="K180" s="10">
        <v>0</v>
      </c>
      <c r="M180" s="9" t="s">
        <v>29</v>
      </c>
      <c r="N180" s="10">
        <v>1</v>
      </c>
      <c r="O180" s="10">
        <v>1</v>
      </c>
      <c r="P180" s="188">
        <v>0</v>
      </c>
      <c r="Q180" s="10">
        <v>0</v>
      </c>
    </row>
    <row r="181" spans="1:17" x14ac:dyDescent="0.3">
      <c r="A181" s="9" t="s">
        <v>30</v>
      </c>
      <c r="B181" s="10">
        <v>0</v>
      </c>
      <c r="C181" s="10">
        <v>0</v>
      </c>
      <c r="D181" s="10">
        <v>0</v>
      </c>
      <c r="E181" s="10">
        <v>0</v>
      </c>
      <c r="G181" s="9" t="s">
        <v>30</v>
      </c>
      <c r="H181" s="10">
        <v>121</v>
      </c>
      <c r="I181" s="10">
        <v>62</v>
      </c>
      <c r="J181" s="10">
        <v>0</v>
      </c>
      <c r="K181" s="10">
        <v>59</v>
      </c>
      <c r="M181" s="9" t="s">
        <v>30</v>
      </c>
      <c r="N181" s="10">
        <v>71</v>
      </c>
      <c r="O181" s="10">
        <v>37</v>
      </c>
      <c r="P181" s="188">
        <v>0</v>
      </c>
      <c r="Q181" s="10">
        <v>34</v>
      </c>
    </row>
    <row r="182" spans="1:17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G182" s="9" t="s">
        <v>31</v>
      </c>
      <c r="H182" s="10">
        <v>0</v>
      </c>
      <c r="I182" s="10">
        <v>0</v>
      </c>
      <c r="J182" s="10">
        <v>0</v>
      </c>
      <c r="K182" s="10">
        <v>0</v>
      </c>
      <c r="M182" s="9" t="s">
        <v>31</v>
      </c>
      <c r="N182" s="10">
        <v>0</v>
      </c>
      <c r="O182" s="10">
        <v>0</v>
      </c>
      <c r="P182" s="188">
        <v>0</v>
      </c>
      <c r="Q182" s="10">
        <v>0</v>
      </c>
    </row>
    <row r="183" spans="1:17" x14ac:dyDescent="0.3">
      <c r="A183" s="11" t="s">
        <v>32</v>
      </c>
      <c r="B183" s="12">
        <v>2</v>
      </c>
      <c r="C183" s="12">
        <v>2</v>
      </c>
      <c r="D183" s="12">
        <v>0</v>
      </c>
      <c r="E183" s="12">
        <v>0</v>
      </c>
      <c r="G183" s="11" t="s">
        <v>32</v>
      </c>
      <c r="H183" s="12">
        <v>20</v>
      </c>
      <c r="I183" s="12">
        <v>9</v>
      </c>
      <c r="J183" s="12">
        <v>0</v>
      </c>
      <c r="K183" s="12">
        <v>11</v>
      </c>
      <c r="M183" s="11" t="s">
        <v>32</v>
      </c>
      <c r="N183" s="12">
        <v>115</v>
      </c>
      <c r="O183" s="12">
        <v>58</v>
      </c>
      <c r="P183" s="190">
        <v>0</v>
      </c>
      <c r="Q183" s="12">
        <v>57</v>
      </c>
    </row>
    <row r="184" spans="1:17" x14ac:dyDescent="0.3">
      <c r="A184" s="13" t="s">
        <v>33</v>
      </c>
      <c r="B184" s="14">
        <v>1</v>
      </c>
      <c r="C184" s="14">
        <v>1</v>
      </c>
      <c r="D184" s="14">
        <v>0</v>
      </c>
      <c r="E184" s="14">
        <v>0</v>
      </c>
      <c r="G184" s="13" t="s">
        <v>33</v>
      </c>
      <c r="H184" s="14">
        <v>3</v>
      </c>
      <c r="I184" s="14">
        <v>3</v>
      </c>
      <c r="J184" s="14">
        <v>0</v>
      </c>
      <c r="K184" s="14">
        <v>0</v>
      </c>
      <c r="M184" s="13" t="s">
        <v>33</v>
      </c>
      <c r="N184" s="14">
        <v>1</v>
      </c>
      <c r="O184" s="14">
        <v>1</v>
      </c>
      <c r="P184" s="192">
        <v>0</v>
      </c>
      <c r="Q184" s="14">
        <v>0</v>
      </c>
    </row>
    <row r="185" spans="1:17" x14ac:dyDescent="0.3">
      <c r="A185" s="13" t="s">
        <v>34</v>
      </c>
      <c r="B185" s="14">
        <v>1</v>
      </c>
      <c r="C185" s="14">
        <v>1</v>
      </c>
      <c r="D185" s="14">
        <v>0</v>
      </c>
      <c r="E185" s="14">
        <v>0</v>
      </c>
      <c r="G185" s="13" t="s">
        <v>34</v>
      </c>
      <c r="H185" s="14">
        <v>17</v>
      </c>
      <c r="I185" s="14">
        <v>6</v>
      </c>
      <c r="J185" s="14">
        <v>0</v>
      </c>
      <c r="K185" s="14">
        <v>11</v>
      </c>
      <c r="M185" s="13" t="s">
        <v>34</v>
      </c>
      <c r="N185" s="14">
        <v>114</v>
      </c>
      <c r="O185" s="14">
        <v>57</v>
      </c>
      <c r="P185" s="192">
        <v>0</v>
      </c>
      <c r="Q185" s="14">
        <v>57</v>
      </c>
    </row>
    <row r="186" spans="1:17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G186" s="15" t="s">
        <v>35</v>
      </c>
      <c r="H186" s="16">
        <v>1</v>
      </c>
      <c r="I186" s="16">
        <v>1</v>
      </c>
      <c r="J186" s="16">
        <v>0</v>
      </c>
      <c r="K186" s="16">
        <v>0</v>
      </c>
      <c r="M186" s="15" t="s">
        <v>35</v>
      </c>
      <c r="N186" s="16">
        <v>0</v>
      </c>
      <c r="O186" s="16">
        <v>0</v>
      </c>
      <c r="P186" s="194">
        <v>0</v>
      </c>
      <c r="Q186" s="16">
        <v>0</v>
      </c>
    </row>
    <row r="187" spans="1:17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G187" s="17" t="s">
        <v>36</v>
      </c>
      <c r="H187" s="78">
        <v>0</v>
      </c>
      <c r="I187" s="78">
        <v>0</v>
      </c>
      <c r="J187" s="78">
        <v>0</v>
      </c>
      <c r="K187" s="78">
        <v>0</v>
      </c>
      <c r="M187" s="17" t="s">
        <v>36</v>
      </c>
      <c r="N187" s="112">
        <v>0</v>
      </c>
      <c r="O187" s="112">
        <v>0</v>
      </c>
      <c r="P187" s="196">
        <v>0</v>
      </c>
      <c r="Q187" s="112">
        <v>0</v>
      </c>
    </row>
    <row r="188" spans="1:17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G188" s="17" t="s">
        <v>37</v>
      </c>
      <c r="H188" s="78">
        <v>1</v>
      </c>
      <c r="I188" s="78">
        <v>1</v>
      </c>
      <c r="J188" s="78">
        <v>0</v>
      </c>
      <c r="K188" s="78">
        <v>0</v>
      </c>
      <c r="M188" s="17" t="s">
        <v>37</v>
      </c>
      <c r="N188" s="112">
        <v>0</v>
      </c>
      <c r="O188" s="112">
        <v>0</v>
      </c>
      <c r="P188" s="196">
        <v>0</v>
      </c>
      <c r="Q188" s="112">
        <v>0</v>
      </c>
    </row>
    <row r="189" spans="1:17" x14ac:dyDescent="0.3">
      <c r="A189" s="17" t="s">
        <v>38</v>
      </c>
      <c r="B189" s="172" t="s">
        <v>85</v>
      </c>
      <c r="C189" s="173"/>
      <c r="D189" s="173"/>
      <c r="E189" s="173"/>
      <c r="G189" s="17" t="s">
        <v>38</v>
      </c>
      <c r="H189" s="172" t="s">
        <v>209</v>
      </c>
      <c r="I189" s="173"/>
      <c r="J189" s="173"/>
      <c r="K189" s="173"/>
      <c r="M189" s="17" t="s">
        <v>38</v>
      </c>
      <c r="N189" s="172" t="s">
        <v>85</v>
      </c>
      <c r="O189" s="173"/>
      <c r="P189" s="173"/>
      <c r="Q189" s="173"/>
    </row>
    <row r="190" spans="1:17" ht="19.8" x14ac:dyDescent="0.3">
      <c r="A190" s="171">
        <v>46093</v>
      </c>
      <c r="B190" s="171"/>
      <c r="C190" s="171"/>
      <c r="D190" s="171"/>
      <c r="E190" s="171"/>
      <c r="G190" s="171">
        <v>46123</v>
      </c>
      <c r="H190" s="171"/>
      <c r="I190" s="171"/>
      <c r="J190" s="171"/>
      <c r="K190" s="171"/>
      <c r="M190" s="171">
        <v>46155</v>
      </c>
      <c r="N190" s="171"/>
      <c r="O190" s="171"/>
      <c r="P190" s="171"/>
      <c r="Q190" s="171"/>
    </row>
    <row r="191" spans="1:17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870</v>
      </c>
      <c r="G191" s="1" t="s">
        <v>0</v>
      </c>
      <c r="H191" s="1" t="s">
        <v>1</v>
      </c>
      <c r="I191" s="1" t="s">
        <v>2</v>
      </c>
      <c r="J191" s="1" t="s">
        <v>3</v>
      </c>
      <c r="K191" s="1" t="s">
        <v>40</v>
      </c>
      <c r="M191" s="1" t="s">
        <v>0</v>
      </c>
      <c r="N191" s="1" t="s">
        <v>1</v>
      </c>
      <c r="O191" s="1" t="s">
        <v>2</v>
      </c>
      <c r="P191" s="179" t="s">
        <v>3</v>
      </c>
      <c r="Q191" s="1" t="s">
        <v>40</v>
      </c>
    </row>
    <row r="192" spans="1:17" x14ac:dyDescent="0.3">
      <c r="A192" s="2" t="s">
        <v>5</v>
      </c>
      <c r="B192" s="3">
        <v>2010</v>
      </c>
      <c r="C192" s="3">
        <v>2010</v>
      </c>
      <c r="D192" s="3">
        <v>0</v>
      </c>
      <c r="E192" s="3">
        <v>0</v>
      </c>
      <c r="G192" s="2" t="s">
        <v>5</v>
      </c>
      <c r="H192" s="3">
        <v>1545</v>
      </c>
      <c r="I192" s="3">
        <v>732</v>
      </c>
      <c r="J192" s="3">
        <v>0</v>
      </c>
      <c r="K192" s="3">
        <v>813</v>
      </c>
      <c r="M192" s="2" t="s">
        <v>5</v>
      </c>
      <c r="N192" s="3">
        <v>2633</v>
      </c>
      <c r="O192" s="3">
        <v>1455</v>
      </c>
      <c r="P192" s="181">
        <v>0</v>
      </c>
      <c r="Q192" s="3">
        <v>1178</v>
      </c>
    </row>
    <row r="193" spans="1:17" x14ac:dyDescent="0.3">
      <c r="A193" s="2" t="s">
        <v>6</v>
      </c>
      <c r="B193" s="3">
        <v>23</v>
      </c>
      <c r="C193" s="5">
        <v>23</v>
      </c>
      <c r="D193" s="3">
        <v>0</v>
      </c>
      <c r="E193" s="3">
        <v>0</v>
      </c>
      <c r="G193" s="2" t="s">
        <v>6</v>
      </c>
      <c r="H193" s="3">
        <v>222</v>
      </c>
      <c r="I193" s="6">
        <v>104</v>
      </c>
      <c r="J193" s="3">
        <v>0</v>
      </c>
      <c r="K193" s="5">
        <v>118</v>
      </c>
      <c r="M193" s="2" t="s">
        <v>6</v>
      </c>
      <c r="N193" s="3">
        <v>218</v>
      </c>
      <c r="O193" s="5">
        <v>123</v>
      </c>
      <c r="P193" s="181">
        <v>0</v>
      </c>
      <c r="Q193" s="6">
        <v>95</v>
      </c>
    </row>
    <row r="194" spans="1:17" x14ac:dyDescent="0.3">
      <c r="A194" s="2" t="s">
        <v>7</v>
      </c>
      <c r="B194" s="3" t="s">
        <v>363</v>
      </c>
      <c r="C194" s="5" t="s">
        <v>363</v>
      </c>
      <c r="D194" s="3">
        <v>0</v>
      </c>
      <c r="E194" s="3">
        <v>0</v>
      </c>
      <c r="G194" s="2" t="s">
        <v>7</v>
      </c>
      <c r="H194" s="3" t="s">
        <v>1390</v>
      </c>
      <c r="I194" s="6" t="s">
        <v>555</v>
      </c>
      <c r="J194" s="3">
        <v>0</v>
      </c>
      <c r="K194" s="5" t="s">
        <v>1391</v>
      </c>
      <c r="M194" s="2" t="s">
        <v>7</v>
      </c>
      <c r="N194" s="3" t="s">
        <v>516</v>
      </c>
      <c r="O194" s="5" t="s">
        <v>1185</v>
      </c>
      <c r="P194" s="181">
        <v>0</v>
      </c>
      <c r="Q194" s="6" t="s">
        <v>446</v>
      </c>
    </row>
    <row r="195" spans="1:17" x14ac:dyDescent="0.3">
      <c r="A195" s="2" t="s">
        <v>12</v>
      </c>
      <c r="B195" s="3" t="s">
        <v>158</v>
      </c>
      <c r="C195" s="5" t="s">
        <v>158</v>
      </c>
      <c r="D195" s="3">
        <v>0</v>
      </c>
      <c r="E195" s="3">
        <v>0</v>
      </c>
      <c r="G195" s="2" t="s">
        <v>12</v>
      </c>
      <c r="H195" s="3" t="s">
        <v>1392</v>
      </c>
      <c r="I195" s="6" t="s">
        <v>1030</v>
      </c>
      <c r="J195" s="3">
        <v>0</v>
      </c>
      <c r="K195" s="5" t="s">
        <v>442</v>
      </c>
      <c r="M195" s="2" t="s">
        <v>12</v>
      </c>
      <c r="N195" s="3" t="s">
        <v>274</v>
      </c>
      <c r="O195" s="5" t="s">
        <v>1517</v>
      </c>
      <c r="P195" s="181">
        <v>0</v>
      </c>
      <c r="Q195" s="6" t="s">
        <v>677</v>
      </c>
    </row>
    <row r="196" spans="1:17" x14ac:dyDescent="0.3">
      <c r="A196" s="2" t="s">
        <v>17</v>
      </c>
      <c r="B196" s="3" t="s">
        <v>493</v>
      </c>
      <c r="C196" s="5" t="s">
        <v>493</v>
      </c>
      <c r="D196" s="3" t="s">
        <v>25</v>
      </c>
      <c r="E196" s="3" t="s">
        <v>25</v>
      </c>
      <c r="G196" s="2" t="s">
        <v>17</v>
      </c>
      <c r="H196" s="3" t="s">
        <v>62</v>
      </c>
      <c r="I196" s="5" t="s">
        <v>371</v>
      </c>
      <c r="J196" s="3" t="s">
        <v>25</v>
      </c>
      <c r="K196" s="6" t="s">
        <v>87</v>
      </c>
      <c r="M196" s="2" t="s">
        <v>17</v>
      </c>
      <c r="N196" s="3" t="s">
        <v>68</v>
      </c>
      <c r="O196" s="6" t="s">
        <v>626</v>
      </c>
      <c r="P196" s="181" t="s">
        <v>25</v>
      </c>
      <c r="Q196" s="5" t="s">
        <v>250</v>
      </c>
    </row>
    <row r="197" spans="1:17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G197" s="2" t="s">
        <v>22</v>
      </c>
      <c r="H197" s="3" t="s">
        <v>25</v>
      </c>
      <c r="I197" s="3" t="s">
        <v>25</v>
      </c>
      <c r="J197" s="3" t="s">
        <v>25</v>
      </c>
      <c r="K197" s="3" t="s">
        <v>25</v>
      </c>
      <c r="M197" s="2" t="s">
        <v>22</v>
      </c>
      <c r="N197" s="3" t="s">
        <v>257</v>
      </c>
      <c r="O197" s="5" t="s">
        <v>138</v>
      </c>
      <c r="P197" s="181" t="s">
        <v>25</v>
      </c>
      <c r="Q197" s="3" t="s">
        <v>25</v>
      </c>
    </row>
    <row r="198" spans="1:17" x14ac:dyDescent="0.3">
      <c r="A198" s="7" t="s">
        <v>26</v>
      </c>
      <c r="B198" s="8">
        <v>1</v>
      </c>
      <c r="C198" s="8">
        <v>1</v>
      </c>
      <c r="D198" s="8">
        <v>0</v>
      </c>
      <c r="E198" s="8">
        <v>0</v>
      </c>
      <c r="G198" s="7" t="s">
        <v>26</v>
      </c>
      <c r="H198" s="8">
        <v>210</v>
      </c>
      <c r="I198" s="8">
        <v>98</v>
      </c>
      <c r="J198" s="8">
        <v>0</v>
      </c>
      <c r="K198" s="8">
        <v>112</v>
      </c>
      <c r="M198" s="7" t="s">
        <v>26</v>
      </c>
      <c r="N198" s="8">
        <v>132</v>
      </c>
      <c r="O198" s="8">
        <v>78</v>
      </c>
      <c r="P198" s="186">
        <v>0</v>
      </c>
      <c r="Q198" s="8">
        <v>54</v>
      </c>
    </row>
    <row r="199" spans="1:17" x14ac:dyDescent="0.3">
      <c r="A199" s="9" t="s">
        <v>27</v>
      </c>
      <c r="B199" s="10">
        <v>1</v>
      </c>
      <c r="C199" s="10">
        <v>1</v>
      </c>
      <c r="D199" s="10">
        <v>0</v>
      </c>
      <c r="E199" s="10">
        <v>0</v>
      </c>
      <c r="G199" s="9" t="s">
        <v>27</v>
      </c>
      <c r="H199" s="10">
        <v>28</v>
      </c>
      <c r="I199" s="10">
        <v>14</v>
      </c>
      <c r="J199" s="10">
        <v>0</v>
      </c>
      <c r="K199" s="10">
        <v>14</v>
      </c>
      <c r="M199" s="9" t="s">
        <v>27</v>
      </c>
      <c r="N199" s="10">
        <v>24</v>
      </c>
      <c r="O199" s="10">
        <v>12</v>
      </c>
      <c r="P199" s="188">
        <v>0</v>
      </c>
      <c r="Q199" s="10">
        <v>12</v>
      </c>
    </row>
    <row r="200" spans="1:17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G200" s="9" t="s">
        <v>28</v>
      </c>
      <c r="H200" s="10">
        <v>81</v>
      </c>
      <c r="I200" s="10">
        <v>39</v>
      </c>
      <c r="J200" s="10">
        <v>0</v>
      </c>
      <c r="K200" s="10">
        <v>42</v>
      </c>
      <c r="M200" s="9" t="s">
        <v>28</v>
      </c>
      <c r="N200" s="10">
        <v>10</v>
      </c>
      <c r="O200" s="10">
        <v>5</v>
      </c>
      <c r="P200" s="188">
        <v>0</v>
      </c>
      <c r="Q200" s="10">
        <v>5</v>
      </c>
    </row>
    <row r="201" spans="1:17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G201" s="9" t="s">
        <v>29</v>
      </c>
      <c r="H201" s="10">
        <v>3</v>
      </c>
      <c r="I201" s="10">
        <v>3</v>
      </c>
      <c r="J201" s="10">
        <v>0</v>
      </c>
      <c r="K201" s="10">
        <v>0</v>
      </c>
      <c r="M201" s="9" t="s">
        <v>29</v>
      </c>
      <c r="N201" s="10">
        <v>4</v>
      </c>
      <c r="O201" s="10">
        <v>4</v>
      </c>
      <c r="P201" s="188">
        <v>0</v>
      </c>
      <c r="Q201" s="10">
        <v>0</v>
      </c>
    </row>
    <row r="202" spans="1:17" x14ac:dyDescent="0.3">
      <c r="A202" s="9" t="s">
        <v>30</v>
      </c>
      <c r="B202" s="10">
        <v>0</v>
      </c>
      <c r="C202" s="10">
        <v>0</v>
      </c>
      <c r="D202" s="10">
        <v>0</v>
      </c>
      <c r="E202" s="10">
        <v>0</v>
      </c>
      <c r="G202" s="9" t="s">
        <v>30</v>
      </c>
      <c r="H202" s="10">
        <v>98</v>
      </c>
      <c r="I202" s="10">
        <v>42</v>
      </c>
      <c r="J202" s="10">
        <v>0</v>
      </c>
      <c r="K202" s="10">
        <v>56</v>
      </c>
      <c r="M202" s="9" t="s">
        <v>30</v>
      </c>
      <c r="N202" s="10">
        <v>94</v>
      </c>
      <c r="O202" s="10">
        <v>57</v>
      </c>
      <c r="P202" s="188">
        <v>0</v>
      </c>
      <c r="Q202" s="10">
        <v>37</v>
      </c>
    </row>
    <row r="203" spans="1:17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G203" s="9" t="s">
        <v>31</v>
      </c>
      <c r="H203" s="10">
        <v>0</v>
      </c>
      <c r="I203" s="10">
        <v>0</v>
      </c>
      <c r="J203" s="10">
        <v>0</v>
      </c>
      <c r="K203" s="10">
        <v>0</v>
      </c>
      <c r="M203" s="9" t="s">
        <v>31</v>
      </c>
      <c r="N203" s="10">
        <v>0</v>
      </c>
      <c r="O203" s="10">
        <v>0</v>
      </c>
      <c r="P203" s="188">
        <v>0</v>
      </c>
      <c r="Q203" s="10">
        <v>0</v>
      </c>
    </row>
    <row r="204" spans="1:17" x14ac:dyDescent="0.3">
      <c r="A204" s="11" t="s">
        <v>32</v>
      </c>
      <c r="B204" s="12">
        <v>18</v>
      </c>
      <c r="C204" s="12">
        <v>18</v>
      </c>
      <c r="D204" s="12">
        <v>0</v>
      </c>
      <c r="E204" s="12">
        <v>0</v>
      </c>
      <c r="G204" s="11" t="s">
        <v>32</v>
      </c>
      <c r="H204" s="12">
        <v>11</v>
      </c>
      <c r="I204" s="12">
        <v>6</v>
      </c>
      <c r="J204" s="12">
        <v>0</v>
      </c>
      <c r="K204" s="12">
        <v>5</v>
      </c>
      <c r="M204" s="11" t="s">
        <v>32</v>
      </c>
      <c r="N204" s="12">
        <v>83</v>
      </c>
      <c r="O204" s="12">
        <v>44</v>
      </c>
      <c r="P204" s="190">
        <v>0</v>
      </c>
      <c r="Q204" s="12">
        <v>39</v>
      </c>
    </row>
    <row r="205" spans="1:17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G205" s="13" t="s">
        <v>33</v>
      </c>
      <c r="H205" s="14">
        <v>1</v>
      </c>
      <c r="I205" s="14">
        <v>1</v>
      </c>
      <c r="J205" s="14">
        <v>0</v>
      </c>
      <c r="K205" s="14">
        <v>0</v>
      </c>
      <c r="M205" s="13" t="s">
        <v>33</v>
      </c>
      <c r="N205" s="14">
        <v>1</v>
      </c>
      <c r="O205" s="14">
        <v>0</v>
      </c>
      <c r="P205" s="192">
        <v>0</v>
      </c>
      <c r="Q205" s="14">
        <v>1</v>
      </c>
    </row>
    <row r="206" spans="1:17" x14ac:dyDescent="0.3">
      <c r="A206" s="13" t="s">
        <v>34</v>
      </c>
      <c r="B206" s="14">
        <v>18</v>
      </c>
      <c r="C206" s="14">
        <v>18</v>
      </c>
      <c r="D206" s="14">
        <v>0</v>
      </c>
      <c r="E206" s="14">
        <v>0</v>
      </c>
      <c r="G206" s="13" t="s">
        <v>34</v>
      </c>
      <c r="H206" s="14">
        <v>10</v>
      </c>
      <c r="I206" s="14">
        <v>5</v>
      </c>
      <c r="J206" s="14">
        <v>0</v>
      </c>
      <c r="K206" s="14">
        <v>5</v>
      </c>
      <c r="M206" s="13" t="s">
        <v>34</v>
      </c>
      <c r="N206" s="14">
        <v>82</v>
      </c>
      <c r="O206" s="14">
        <v>44</v>
      </c>
      <c r="P206" s="192">
        <v>0</v>
      </c>
      <c r="Q206" s="14">
        <v>38</v>
      </c>
    </row>
    <row r="207" spans="1:17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G207" s="15" t="s">
        <v>35</v>
      </c>
      <c r="H207" s="16">
        <v>0</v>
      </c>
      <c r="I207" s="16">
        <v>0</v>
      </c>
      <c r="J207" s="16">
        <v>0</v>
      </c>
      <c r="K207" s="16">
        <v>0</v>
      </c>
      <c r="M207" s="15" t="s">
        <v>35</v>
      </c>
      <c r="N207" s="16">
        <v>1</v>
      </c>
      <c r="O207" s="16">
        <v>1</v>
      </c>
      <c r="P207" s="194">
        <v>0</v>
      </c>
      <c r="Q207" s="16">
        <v>0</v>
      </c>
    </row>
    <row r="208" spans="1:17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G208" s="17" t="s">
        <v>36</v>
      </c>
      <c r="H208" s="78">
        <v>0</v>
      </c>
      <c r="I208" s="78">
        <v>0</v>
      </c>
      <c r="J208" s="78">
        <v>0</v>
      </c>
      <c r="K208" s="78">
        <v>0</v>
      </c>
      <c r="M208" s="17" t="s">
        <v>36</v>
      </c>
      <c r="N208" s="112">
        <v>0</v>
      </c>
      <c r="O208" s="112">
        <v>0</v>
      </c>
      <c r="P208" s="196">
        <v>0</v>
      </c>
      <c r="Q208" s="112">
        <v>0</v>
      </c>
    </row>
    <row r="209" spans="1:17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G209" s="17" t="s">
        <v>37</v>
      </c>
      <c r="H209" s="78">
        <v>0</v>
      </c>
      <c r="I209" s="78">
        <v>0</v>
      </c>
      <c r="J209" s="78">
        <v>0</v>
      </c>
      <c r="K209" s="78">
        <v>0</v>
      </c>
      <c r="M209" s="17" t="s">
        <v>37</v>
      </c>
      <c r="N209" s="112">
        <v>1</v>
      </c>
      <c r="O209" s="112">
        <v>1</v>
      </c>
      <c r="P209" s="196">
        <v>0</v>
      </c>
      <c r="Q209" s="112">
        <v>0</v>
      </c>
    </row>
    <row r="210" spans="1:17" x14ac:dyDescent="0.3">
      <c r="A210" s="17" t="s">
        <v>38</v>
      </c>
      <c r="B210" s="172" t="s">
        <v>85</v>
      </c>
      <c r="C210" s="173"/>
      <c r="D210" s="173"/>
      <c r="E210" s="173"/>
      <c r="G210" s="17" t="s">
        <v>38</v>
      </c>
      <c r="H210" s="172" t="s">
        <v>372</v>
      </c>
      <c r="I210" s="173"/>
      <c r="J210" s="173"/>
      <c r="K210" s="173"/>
      <c r="M210" s="17" t="s">
        <v>38</v>
      </c>
      <c r="N210" s="172" t="s">
        <v>85</v>
      </c>
      <c r="O210" s="173"/>
      <c r="P210" s="173"/>
      <c r="Q210" s="173"/>
    </row>
    <row r="211" spans="1:17" ht="19.8" x14ac:dyDescent="0.3">
      <c r="A211" s="171">
        <v>46094</v>
      </c>
      <c r="B211" s="171"/>
      <c r="C211" s="171"/>
      <c r="D211" s="171"/>
      <c r="E211" s="171"/>
      <c r="G211" s="171">
        <v>46125</v>
      </c>
      <c r="H211" s="171"/>
      <c r="I211" s="171"/>
      <c r="J211" s="171"/>
      <c r="K211" s="171"/>
      <c r="M211" s="171">
        <v>46156</v>
      </c>
      <c r="N211" s="171"/>
      <c r="O211" s="171"/>
      <c r="P211" s="171"/>
      <c r="Q211" s="171"/>
    </row>
    <row r="212" spans="1:17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870</v>
      </c>
      <c r="G212" s="1" t="s">
        <v>0</v>
      </c>
      <c r="H212" s="1" t="s">
        <v>1</v>
      </c>
      <c r="I212" s="1" t="s">
        <v>2</v>
      </c>
      <c r="J212" s="1" t="s">
        <v>3</v>
      </c>
      <c r="K212" s="1" t="s">
        <v>40</v>
      </c>
      <c r="M212" s="1" t="s">
        <v>0</v>
      </c>
      <c r="N212" s="1" t="s">
        <v>1</v>
      </c>
      <c r="O212" s="1" t="s">
        <v>2</v>
      </c>
      <c r="P212" s="179" t="s">
        <v>3</v>
      </c>
      <c r="Q212" s="1" t="s">
        <v>40</v>
      </c>
    </row>
    <row r="213" spans="1:17" x14ac:dyDescent="0.3">
      <c r="A213" s="2" t="s">
        <v>5</v>
      </c>
      <c r="B213" s="3">
        <v>1951</v>
      </c>
      <c r="C213" s="3">
        <v>1951</v>
      </c>
      <c r="D213" s="3">
        <v>0</v>
      </c>
      <c r="E213" s="3">
        <v>0</v>
      </c>
      <c r="G213" s="2" t="s">
        <v>5</v>
      </c>
      <c r="H213" s="3">
        <v>2473</v>
      </c>
      <c r="I213" s="3">
        <v>1148</v>
      </c>
      <c r="J213" s="3">
        <v>0</v>
      </c>
      <c r="K213" s="3">
        <v>1325</v>
      </c>
      <c r="M213" s="2" t="s">
        <v>5</v>
      </c>
      <c r="N213" s="3">
        <v>3247</v>
      </c>
      <c r="O213" s="3">
        <v>1829</v>
      </c>
      <c r="P213" s="181">
        <v>0</v>
      </c>
      <c r="Q213" s="3">
        <v>1418</v>
      </c>
    </row>
    <row r="214" spans="1:17" x14ac:dyDescent="0.3">
      <c r="A214" s="2" t="s">
        <v>6</v>
      </c>
      <c r="B214" s="3">
        <v>18</v>
      </c>
      <c r="C214" s="5">
        <v>18</v>
      </c>
      <c r="D214" s="3">
        <v>0</v>
      </c>
      <c r="E214" s="3">
        <v>0</v>
      </c>
      <c r="G214" s="2" t="s">
        <v>6</v>
      </c>
      <c r="H214" s="3">
        <v>312</v>
      </c>
      <c r="I214" s="6">
        <v>141</v>
      </c>
      <c r="J214" s="3">
        <v>0</v>
      </c>
      <c r="K214" s="5">
        <v>171</v>
      </c>
      <c r="M214" s="2" t="s">
        <v>6</v>
      </c>
      <c r="N214" s="3">
        <v>158</v>
      </c>
      <c r="O214" s="5">
        <v>91</v>
      </c>
      <c r="P214" s="181">
        <v>0</v>
      </c>
      <c r="Q214" s="6">
        <v>67</v>
      </c>
    </row>
    <row r="215" spans="1:17" x14ac:dyDescent="0.3">
      <c r="A215" s="2" t="s">
        <v>7</v>
      </c>
      <c r="B215" s="3" t="s">
        <v>229</v>
      </c>
      <c r="C215" s="5" t="s">
        <v>229</v>
      </c>
      <c r="D215" s="3">
        <v>0</v>
      </c>
      <c r="E215" s="3">
        <v>0</v>
      </c>
      <c r="G215" s="2" t="s">
        <v>7</v>
      </c>
      <c r="H215" s="3" t="s">
        <v>1359</v>
      </c>
      <c r="I215" s="6" t="s">
        <v>1430</v>
      </c>
      <c r="J215" s="3">
        <v>0</v>
      </c>
      <c r="K215" s="5" t="s">
        <v>1431</v>
      </c>
      <c r="M215" s="2" t="s">
        <v>7</v>
      </c>
      <c r="N215" s="3" t="s">
        <v>1406</v>
      </c>
      <c r="O215" s="5" t="s">
        <v>549</v>
      </c>
      <c r="P215" s="181">
        <v>0</v>
      </c>
      <c r="Q215" s="6" t="s">
        <v>1366</v>
      </c>
    </row>
    <row r="216" spans="1:17" x14ac:dyDescent="0.3">
      <c r="A216" s="2" t="s">
        <v>12</v>
      </c>
      <c r="B216" s="3" t="s">
        <v>81</v>
      </c>
      <c r="C216" s="5" t="s">
        <v>81</v>
      </c>
      <c r="D216" s="3">
        <v>0</v>
      </c>
      <c r="E216" s="3">
        <v>0</v>
      </c>
      <c r="G216" s="2" t="s">
        <v>12</v>
      </c>
      <c r="H216" s="3" t="s">
        <v>696</v>
      </c>
      <c r="I216" s="6" t="s">
        <v>1432</v>
      </c>
      <c r="J216" s="3">
        <v>0</v>
      </c>
      <c r="K216" s="5" t="s">
        <v>1433</v>
      </c>
      <c r="M216" s="2" t="s">
        <v>12</v>
      </c>
      <c r="N216" s="3" t="s">
        <v>226</v>
      </c>
      <c r="O216" s="5" t="s">
        <v>1703</v>
      </c>
      <c r="P216" s="181">
        <v>0</v>
      </c>
      <c r="Q216" s="6" t="s">
        <v>226</v>
      </c>
    </row>
    <row r="217" spans="1:17" x14ac:dyDescent="0.3">
      <c r="A217" s="2" t="s">
        <v>17</v>
      </c>
      <c r="B217" s="3" t="s">
        <v>87</v>
      </c>
      <c r="C217" s="5" t="s">
        <v>87</v>
      </c>
      <c r="D217" s="3" t="s">
        <v>25</v>
      </c>
      <c r="E217" s="3" t="s">
        <v>25</v>
      </c>
      <c r="G217" s="2" t="s">
        <v>17</v>
      </c>
      <c r="H217" s="3" t="s">
        <v>134</v>
      </c>
      <c r="I217" s="6" t="s">
        <v>101</v>
      </c>
      <c r="J217" s="3" t="s">
        <v>25</v>
      </c>
      <c r="K217" s="5" t="s">
        <v>241</v>
      </c>
      <c r="M217" s="2" t="s">
        <v>17</v>
      </c>
      <c r="N217" s="3" t="s">
        <v>1894</v>
      </c>
      <c r="O217" s="5" t="s">
        <v>240</v>
      </c>
      <c r="P217" s="181" t="s">
        <v>25</v>
      </c>
      <c r="Q217" s="6" t="s">
        <v>405</v>
      </c>
    </row>
    <row r="218" spans="1:17" x14ac:dyDescent="0.3">
      <c r="A218" s="2" t="s">
        <v>22</v>
      </c>
      <c r="B218" s="3" t="s">
        <v>158</v>
      </c>
      <c r="C218" s="5" t="s">
        <v>158</v>
      </c>
      <c r="D218" s="3" t="s">
        <v>25</v>
      </c>
      <c r="E218" s="3" t="s">
        <v>25</v>
      </c>
      <c r="G218" s="2" t="s">
        <v>22</v>
      </c>
      <c r="H218" s="3" t="s">
        <v>186</v>
      </c>
      <c r="I218" s="6" t="s">
        <v>869</v>
      </c>
      <c r="J218" s="3" t="s">
        <v>25</v>
      </c>
      <c r="K218" s="5" t="s">
        <v>452</v>
      </c>
      <c r="M218" s="2" t="s">
        <v>22</v>
      </c>
      <c r="N218" s="3" t="s">
        <v>25</v>
      </c>
      <c r="O218" s="3" t="s">
        <v>25</v>
      </c>
      <c r="P218" s="181" t="s">
        <v>25</v>
      </c>
      <c r="Q218" s="3" t="s">
        <v>25</v>
      </c>
    </row>
    <row r="219" spans="1:17" x14ac:dyDescent="0.3">
      <c r="A219" s="7" t="s">
        <v>26</v>
      </c>
      <c r="B219" s="8">
        <v>2</v>
      </c>
      <c r="C219" s="8">
        <v>2</v>
      </c>
      <c r="D219" s="8">
        <v>0</v>
      </c>
      <c r="E219" s="8">
        <v>0</v>
      </c>
      <c r="G219" s="7" t="s">
        <v>26</v>
      </c>
      <c r="H219" s="8">
        <v>303</v>
      </c>
      <c r="I219" s="8">
        <v>138</v>
      </c>
      <c r="J219" s="8">
        <v>0</v>
      </c>
      <c r="K219" s="8">
        <v>165</v>
      </c>
      <c r="M219" s="7" t="s">
        <v>26</v>
      </c>
      <c r="N219" s="8">
        <v>117</v>
      </c>
      <c r="O219" s="8">
        <v>66</v>
      </c>
      <c r="P219" s="186">
        <v>0</v>
      </c>
      <c r="Q219" s="8">
        <v>51</v>
      </c>
    </row>
    <row r="220" spans="1:17" x14ac:dyDescent="0.3">
      <c r="A220" s="9" t="s">
        <v>27</v>
      </c>
      <c r="B220" s="10">
        <v>2</v>
      </c>
      <c r="C220" s="10">
        <v>2</v>
      </c>
      <c r="D220" s="10">
        <v>0</v>
      </c>
      <c r="E220" s="10">
        <v>0</v>
      </c>
      <c r="G220" s="9" t="s">
        <v>27</v>
      </c>
      <c r="H220" s="10">
        <v>24</v>
      </c>
      <c r="I220" s="10">
        <v>14</v>
      </c>
      <c r="J220" s="10">
        <v>0</v>
      </c>
      <c r="K220" s="10">
        <v>10</v>
      </c>
      <c r="M220" s="9" t="s">
        <v>27</v>
      </c>
      <c r="N220" s="10">
        <v>14</v>
      </c>
      <c r="O220" s="10">
        <v>8</v>
      </c>
      <c r="P220" s="188">
        <v>0</v>
      </c>
      <c r="Q220" s="10">
        <v>6</v>
      </c>
    </row>
    <row r="221" spans="1:17" x14ac:dyDescent="0.3">
      <c r="A221" s="9" t="s">
        <v>28</v>
      </c>
      <c r="B221" s="10">
        <v>0</v>
      </c>
      <c r="C221" s="10">
        <v>0</v>
      </c>
      <c r="D221" s="10">
        <v>0</v>
      </c>
      <c r="E221" s="10">
        <v>0</v>
      </c>
      <c r="G221" s="9" t="s">
        <v>28</v>
      </c>
      <c r="H221" s="10">
        <v>134</v>
      </c>
      <c r="I221" s="10">
        <v>56</v>
      </c>
      <c r="J221" s="10">
        <v>0</v>
      </c>
      <c r="K221" s="10">
        <v>78</v>
      </c>
      <c r="M221" s="9" t="s">
        <v>28</v>
      </c>
      <c r="N221" s="10">
        <v>50</v>
      </c>
      <c r="O221" s="10">
        <v>33</v>
      </c>
      <c r="P221" s="188">
        <v>0</v>
      </c>
      <c r="Q221" s="10">
        <v>17</v>
      </c>
    </row>
    <row r="222" spans="1:17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G222" s="9" t="s">
        <v>29</v>
      </c>
      <c r="H222" s="10">
        <v>0</v>
      </c>
      <c r="I222" s="10">
        <v>0</v>
      </c>
      <c r="J222" s="10">
        <v>0</v>
      </c>
      <c r="K222" s="10">
        <v>0</v>
      </c>
      <c r="M222" s="9" t="s">
        <v>29</v>
      </c>
      <c r="N222" s="10">
        <v>3</v>
      </c>
      <c r="O222" s="10">
        <v>3</v>
      </c>
      <c r="P222" s="188">
        <v>0</v>
      </c>
      <c r="Q222" s="10">
        <v>0</v>
      </c>
    </row>
    <row r="223" spans="1:17" x14ac:dyDescent="0.3">
      <c r="A223" s="9" t="s">
        <v>30</v>
      </c>
      <c r="B223" s="10">
        <v>0</v>
      </c>
      <c r="C223" s="10">
        <v>0</v>
      </c>
      <c r="D223" s="10">
        <v>0</v>
      </c>
      <c r="E223" s="10">
        <v>0</v>
      </c>
      <c r="G223" s="9" t="s">
        <v>30</v>
      </c>
      <c r="H223" s="10">
        <v>145</v>
      </c>
      <c r="I223" s="10">
        <v>68</v>
      </c>
      <c r="J223" s="10">
        <v>0</v>
      </c>
      <c r="K223" s="10">
        <v>77</v>
      </c>
      <c r="M223" s="9" t="s">
        <v>30</v>
      </c>
      <c r="N223" s="10">
        <v>50</v>
      </c>
      <c r="O223" s="10">
        <v>22</v>
      </c>
      <c r="P223" s="188">
        <v>0</v>
      </c>
      <c r="Q223" s="10">
        <v>28</v>
      </c>
    </row>
    <row r="224" spans="1:17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G224" s="9" t="s">
        <v>31</v>
      </c>
      <c r="H224" s="10">
        <v>0</v>
      </c>
      <c r="I224" s="10">
        <v>0</v>
      </c>
      <c r="J224" s="10">
        <v>0</v>
      </c>
      <c r="K224" s="10">
        <v>0</v>
      </c>
      <c r="M224" s="9" t="s">
        <v>31</v>
      </c>
      <c r="N224" s="10">
        <v>0</v>
      </c>
      <c r="O224" s="10">
        <v>0</v>
      </c>
      <c r="P224" s="188">
        <v>0</v>
      </c>
      <c r="Q224" s="10">
        <v>0</v>
      </c>
    </row>
    <row r="225" spans="1:17" x14ac:dyDescent="0.3">
      <c r="A225" s="11" t="s">
        <v>32</v>
      </c>
      <c r="B225" s="12">
        <v>12</v>
      </c>
      <c r="C225" s="12">
        <v>12</v>
      </c>
      <c r="D225" s="12">
        <v>0</v>
      </c>
      <c r="E225" s="12">
        <v>0</v>
      </c>
      <c r="G225" s="11" t="s">
        <v>32</v>
      </c>
      <c r="H225" s="12">
        <v>9</v>
      </c>
      <c r="I225" s="12">
        <v>3</v>
      </c>
      <c r="J225" s="12">
        <v>0</v>
      </c>
      <c r="K225" s="12">
        <v>6</v>
      </c>
      <c r="M225" s="11" t="s">
        <v>32</v>
      </c>
      <c r="N225" s="12">
        <v>40</v>
      </c>
      <c r="O225" s="12">
        <v>25</v>
      </c>
      <c r="P225" s="190">
        <v>0</v>
      </c>
      <c r="Q225" s="12">
        <v>15</v>
      </c>
    </row>
    <row r="226" spans="1:17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G226" s="13" t="s">
        <v>33</v>
      </c>
      <c r="H226" s="14">
        <v>2</v>
      </c>
      <c r="I226" s="14">
        <v>1</v>
      </c>
      <c r="J226" s="14">
        <v>0</v>
      </c>
      <c r="K226" s="14">
        <v>1</v>
      </c>
      <c r="M226" s="13" t="s">
        <v>33</v>
      </c>
      <c r="N226" s="14">
        <v>1</v>
      </c>
      <c r="O226" s="14">
        <v>1</v>
      </c>
      <c r="P226" s="192">
        <v>0</v>
      </c>
      <c r="Q226" s="14">
        <v>0</v>
      </c>
    </row>
    <row r="227" spans="1:17" x14ac:dyDescent="0.3">
      <c r="A227" s="13" t="s">
        <v>34</v>
      </c>
      <c r="B227" s="14">
        <v>12</v>
      </c>
      <c r="C227" s="14">
        <v>12</v>
      </c>
      <c r="D227" s="14">
        <v>0</v>
      </c>
      <c r="E227" s="14">
        <v>0</v>
      </c>
      <c r="G227" s="13" t="s">
        <v>34</v>
      </c>
      <c r="H227" s="14">
        <v>7</v>
      </c>
      <c r="I227" s="14">
        <v>2</v>
      </c>
      <c r="J227" s="14">
        <v>0</v>
      </c>
      <c r="K227" s="14">
        <v>5</v>
      </c>
      <c r="M227" s="13" t="s">
        <v>34</v>
      </c>
      <c r="N227" s="14">
        <v>39</v>
      </c>
      <c r="O227" s="14">
        <v>24</v>
      </c>
      <c r="P227" s="192">
        <v>0</v>
      </c>
      <c r="Q227" s="14">
        <v>15</v>
      </c>
    </row>
    <row r="228" spans="1:17" x14ac:dyDescent="0.3">
      <c r="A228" s="15" t="s">
        <v>35</v>
      </c>
      <c r="B228" s="16">
        <v>1</v>
      </c>
      <c r="C228" s="16">
        <v>1</v>
      </c>
      <c r="D228" s="16">
        <v>0</v>
      </c>
      <c r="E228" s="16">
        <v>0</v>
      </c>
      <c r="G228" s="15" t="s">
        <v>35</v>
      </c>
      <c r="H228" s="16">
        <v>24</v>
      </c>
      <c r="I228" s="16">
        <v>11</v>
      </c>
      <c r="J228" s="16">
        <v>0</v>
      </c>
      <c r="K228" s="16">
        <v>13</v>
      </c>
      <c r="M228" s="15" t="s">
        <v>35</v>
      </c>
      <c r="N228" s="16">
        <v>0</v>
      </c>
      <c r="O228" s="16">
        <v>0</v>
      </c>
      <c r="P228" s="194">
        <v>0</v>
      </c>
      <c r="Q228" s="16">
        <v>0</v>
      </c>
    </row>
    <row r="229" spans="1:17" x14ac:dyDescent="0.3">
      <c r="A229" s="17" t="s">
        <v>36</v>
      </c>
      <c r="B229" s="18">
        <v>1</v>
      </c>
      <c r="C229" s="18">
        <v>1</v>
      </c>
      <c r="D229" s="18">
        <v>0</v>
      </c>
      <c r="E229" s="18">
        <v>0</v>
      </c>
      <c r="G229" s="17" t="s">
        <v>36</v>
      </c>
      <c r="H229" s="78">
        <v>0</v>
      </c>
      <c r="I229" s="78">
        <v>0</v>
      </c>
      <c r="J229" s="78">
        <v>0</v>
      </c>
      <c r="K229" s="78">
        <v>0</v>
      </c>
      <c r="M229" s="17" t="s">
        <v>36</v>
      </c>
      <c r="N229" s="130">
        <v>0</v>
      </c>
      <c r="O229" s="130">
        <v>0</v>
      </c>
      <c r="P229" s="196">
        <v>0</v>
      </c>
      <c r="Q229" s="130">
        <v>0</v>
      </c>
    </row>
    <row r="230" spans="1:17" x14ac:dyDescent="0.3">
      <c r="A230" s="17" t="s">
        <v>37</v>
      </c>
      <c r="B230" s="18">
        <v>1</v>
      </c>
      <c r="C230" s="18">
        <v>1</v>
      </c>
      <c r="D230" s="18">
        <v>0</v>
      </c>
      <c r="E230" s="18">
        <v>0</v>
      </c>
      <c r="G230" s="17" t="s">
        <v>37</v>
      </c>
      <c r="H230" s="78">
        <v>24</v>
      </c>
      <c r="I230" s="78">
        <v>11</v>
      </c>
      <c r="J230" s="78">
        <v>0</v>
      </c>
      <c r="K230" s="78">
        <v>13</v>
      </c>
      <c r="M230" s="17" t="s">
        <v>37</v>
      </c>
      <c r="N230" s="130">
        <v>0</v>
      </c>
      <c r="O230" s="130">
        <v>0</v>
      </c>
      <c r="P230" s="196">
        <v>0</v>
      </c>
      <c r="Q230" s="130">
        <v>0</v>
      </c>
    </row>
    <row r="231" spans="1:17" x14ac:dyDescent="0.3">
      <c r="A231" s="17" t="s">
        <v>38</v>
      </c>
      <c r="B231" s="172" t="s">
        <v>85</v>
      </c>
      <c r="C231" s="173"/>
      <c r="D231" s="173"/>
      <c r="E231" s="173"/>
      <c r="G231" s="17" t="s">
        <v>38</v>
      </c>
      <c r="H231" s="172" t="s">
        <v>85</v>
      </c>
      <c r="I231" s="173"/>
      <c r="J231" s="173"/>
      <c r="K231" s="173"/>
      <c r="M231" s="17" t="s">
        <v>38</v>
      </c>
      <c r="N231" s="172" t="s">
        <v>85</v>
      </c>
      <c r="O231" s="173"/>
      <c r="P231" s="173"/>
      <c r="Q231" s="173"/>
    </row>
    <row r="232" spans="1:17" ht="19.8" x14ac:dyDescent="0.3">
      <c r="A232" s="171">
        <v>46095</v>
      </c>
      <c r="B232" s="171"/>
      <c r="C232" s="171"/>
      <c r="D232" s="171"/>
      <c r="E232" s="171"/>
      <c r="G232" s="171">
        <v>46126</v>
      </c>
      <c r="H232" s="171"/>
      <c r="I232" s="171"/>
      <c r="J232" s="171"/>
      <c r="K232" s="171"/>
      <c r="M232" s="171">
        <v>46157</v>
      </c>
      <c r="N232" s="171"/>
      <c r="O232" s="171"/>
      <c r="P232" s="171"/>
      <c r="Q232" s="171"/>
    </row>
    <row r="233" spans="1:17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870</v>
      </c>
      <c r="G233" s="1" t="s">
        <v>0</v>
      </c>
      <c r="H233" s="1" t="s">
        <v>1</v>
      </c>
      <c r="I233" s="1" t="s">
        <v>2</v>
      </c>
      <c r="J233" s="1" t="s">
        <v>3</v>
      </c>
      <c r="K233" s="1" t="s">
        <v>40</v>
      </c>
      <c r="M233" s="1" t="s">
        <v>0</v>
      </c>
      <c r="N233" s="1" t="s">
        <v>1</v>
      </c>
      <c r="O233" s="1" t="s">
        <v>2</v>
      </c>
      <c r="P233" s="179" t="s">
        <v>3</v>
      </c>
      <c r="Q233" s="1" t="s">
        <v>40</v>
      </c>
    </row>
    <row r="234" spans="1:17" x14ac:dyDescent="0.3">
      <c r="A234" s="2" t="s">
        <v>5</v>
      </c>
      <c r="B234" s="3">
        <v>1630</v>
      </c>
      <c r="C234" s="3">
        <v>1630</v>
      </c>
      <c r="D234" s="3">
        <v>0</v>
      </c>
      <c r="E234" s="3">
        <v>0</v>
      </c>
      <c r="G234" s="2" t="s">
        <v>5</v>
      </c>
      <c r="H234" s="3">
        <v>3056</v>
      </c>
      <c r="I234" s="3">
        <v>1458</v>
      </c>
      <c r="J234" s="3">
        <v>0</v>
      </c>
      <c r="K234" s="3">
        <v>1598</v>
      </c>
      <c r="M234" s="2" t="s">
        <v>5</v>
      </c>
      <c r="N234" s="3">
        <v>3160</v>
      </c>
      <c r="O234" s="3">
        <v>1789</v>
      </c>
      <c r="P234" s="181">
        <v>0</v>
      </c>
      <c r="Q234" s="3">
        <v>1371</v>
      </c>
    </row>
    <row r="235" spans="1:17" x14ac:dyDescent="0.3">
      <c r="A235" s="2" t="s">
        <v>6</v>
      </c>
      <c r="B235" s="3">
        <v>8</v>
      </c>
      <c r="C235" s="5">
        <v>8</v>
      </c>
      <c r="D235" s="3">
        <v>0</v>
      </c>
      <c r="E235" s="3">
        <v>0</v>
      </c>
      <c r="G235" s="2" t="s">
        <v>6</v>
      </c>
      <c r="H235" s="3">
        <v>272</v>
      </c>
      <c r="I235" s="5">
        <v>137</v>
      </c>
      <c r="J235" s="3">
        <v>0</v>
      </c>
      <c r="K235" s="6">
        <v>135</v>
      </c>
      <c r="M235" s="2" t="s">
        <v>6</v>
      </c>
      <c r="N235" s="3">
        <v>264</v>
      </c>
      <c r="O235" s="5">
        <v>151</v>
      </c>
      <c r="P235" s="181">
        <v>0</v>
      </c>
      <c r="Q235" s="6">
        <v>113</v>
      </c>
    </row>
    <row r="236" spans="1:17" x14ac:dyDescent="0.3">
      <c r="A236" s="2" t="s">
        <v>7</v>
      </c>
      <c r="B236" s="3" t="s">
        <v>76</v>
      </c>
      <c r="C236" s="5" t="s">
        <v>76</v>
      </c>
      <c r="D236" s="3">
        <v>0</v>
      </c>
      <c r="E236" s="3">
        <v>0</v>
      </c>
      <c r="G236" s="2" t="s">
        <v>7</v>
      </c>
      <c r="H236" s="3" t="s">
        <v>728</v>
      </c>
      <c r="I236" s="5" t="s">
        <v>222</v>
      </c>
      <c r="J236" s="3">
        <v>0</v>
      </c>
      <c r="K236" s="6" t="s">
        <v>1185</v>
      </c>
      <c r="M236" s="2" t="s">
        <v>7</v>
      </c>
      <c r="N236" s="3" t="s">
        <v>1226</v>
      </c>
      <c r="O236" s="5" t="s">
        <v>1892</v>
      </c>
      <c r="P236" s="181">
        <v>0</v>
      </c>
      <c r="Q236" s="6" t="s">
        <v>912</v>
      </c>
    </row>
    <row r="237" spans="1:17" x14ac:dyDescent="0.3">
      <c r="A237" s="2" t="s">
        <v>12</v>
      </c>
      <c r="B237" s="3" t="s">
        <v>25</v>
      </c>
      <c r="C237" s="3" t="s">
        <v>25</v>
      </c>
      <c r="D237" s="3">
        <v>0</v>
      </c>
      <c r="E237" s="3">
        <v>0</v>
      </c>
      <c r="G237" s="2" t="s">
        <v>12</v>
      </c>
      <c r="H237" s="3" t="s">
        <v>217</v>
      </c>
      <c r="I237" s="5" t="s">
        <v>781</v>
      </c>
      <c r="J237" s="3">
        <v>0</v>
      </c>
      <c r="K237" s="6" t="s">
        <v>779</v>
      </c>
      <c r="M237" s="2" t="s">
        <v>12</v>
      </c>
      <c r="N237" s="3" t="s">
        <v>1309</v>
      </c>
      <c r="O237" s="5" t="s">
        <v>812</v>
      </c>
      <c r="P237" s="181">
        <v>0</v>
      </c>
      <c r="Q237" s="6" t="s">
        <v>1459</v>
      </c>
    </row>
    <row r="238" spans="1:17" x14ac:dyDescent="0.3">
      <c r="A238" s="2" t="s">
        <v>17</v>
      </c>
      <c r="B238" s="3" t="s">
        <v>200</v>
      </c>
      <c r="C238" s="5" t="s">
        <v>200</v>
      </c>
      <c r="D238" s="3" t="s">
        <v>25</v>
      </c>
      <c r="E238" s="3" t="s">
        <v>25</v>
      </c>
      <c r="G238" s="2" t="s">
        <v>17</v>
      </c>
      <c r="H238" s="3" t="s">
        <v>134</v>
      </c>
      <c r="I238" s="6" t="s">
        <v>77</v>
      </c>
      <c r="J238" s="3" t="s">
        <v>25</v>
      </c>
      <c r="K238" s="5" t="s">
        <v>50</v>
      </c>
      <c r="M238" s="2" t="s">
        <v>17</v>
      </c>
      <c r="N238" s="3" t="s">
        <v>430</v>
      </c>
      <c r="O238" s="5" t="s">
        <v>71</v>
      </c>
      <c r="P238" s="181" t="s">
        <v>25</v>
      </c>
      <c r="Q238" s="6" t="s">
        <v>1235</v>
      </c>
    </row>
    <row r="239" spans="1:17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G239" s="2" t="s">
        <v>22</v>
      </c>
      <c r="H239" s="3" t="s">
        <v>138</v>
      </c>
      <c r="I239" s="5" t="s">
        <v>138</v>
      </c>
      <c r="J239" s="3" t="s">
        <v>25</v>
      </c>
      <c r="K239" s="6" t="s">
        <v>268</v>
      </c>
      <c r="M239" s="2" t="s">
        <v>22</v>
      </c>
      <c r="N239" s="3" t="s">
        <v>25</v>
      </c>
      <c r="O239" s="3" t="s">
        <v>25</v>
      </c>
      <c r="P239" s="181" t="s">
        <v>25</v>
      </c>
      <c r="Q239" s="3" t="s">
        <v>25</v>
      </c>
    </row>
    <row r="240" spans="1:17" x14ac:dyDescent="0.3">
      <c r="A240" s="7" t="s">
        <v>26</v>
      </c>
      <c r="B240" s="8">
        <v>0</v>
      </c>
      <c r="C240" s="8">
        <v>0</v>
      </c>
      <c r="D240" s="8">
        <v>0</v>
      </c>
      <c r="E240" s="8">
        <v>0</v>
      </c>
      <c r="G240" s="7" t="s">
        <v>26</v>
      </c>
      <c r="H240" s="8">
        <v>259</v>
      </c>
      <c r="I240" s="8">
        <v>134</v>
      </c>
      <c r="J240" s="8">
        <v>0</v>
      </c>
      <c r="K240" s="8">
        <v>125</v>
      </c>
      <c r="M240" s="7" t="s">
        <v>26</v>
      </c>
      <c r="N240" s="8">
        <v>174</v>
      </c>
      <c r="O240" s="8">
        <v>99</v>
      </c>
      <c r="P240" s="186">
        <v>0</v>
      </c>
      <c r="Q240" s="8">
        <v>75</v>
      </c>
    </row>
    <row r="241" spans="1:17" x14ac:dyDescent="0.3">
      <c r="A241" s="9" t="s">
        <v>27</v>
      </c>
      <c r="B241" s="10">
        <v>0</v>
      </c>
      <c r="C241" s="10">
        <v>0</v>
      </c>
      <c r="D241" s="10">
        <v>0</v>
      </c>
      <c r="E241" s="10">
        <v>0</v>
      </c>
      <c r="G241" s="9" t="s">
        <v>27</v>
      </c>
      <c r="H241" s="10">
        <v>34</v>
      </c>
      <c r="I241" s="10">
        <v>14</v>
      </c>
      <c r="J241" s="10">
        <v>0</v>
      </c>
      <c r="K241" s="10">
        <v>20</v>
      </c>
      <c r="M241" s="9" t="s">
        <v>27</v>
      </c>
      <c r="N241" s="10">
        <v>46</v>
      </c>
      <c r="O241" s="10">
        <v>25</v>
      </c>
      <c r="P241" s="188">
        <v>0</v>
      </c>
      <c r="Q241" s="10">
        <v>21</v>
      </c>
    </row>
    <row r="242" spans="1:17" x14ac:dyDescent="0.3">
      <c r="A242" s="9" t="s">
        <v>28</v>
      </c>
      <c r="B242" s="10">
        <v>0</v>
      </c>
      <c r="C242" s="10">
        <v>0</v>
      </c>
      <c r="D242" s="10">
        <v>0</v>
      </c>
      <c r="E242" s="10">
        <v>0</v>
      </c>
      <c r="G242" s="9" t="s">
        <v>28</v>
      </c>
      <c r="H242" s="10">
        <v>62</v>
      </c>
      <c r="I242" s="10">
        <v>34</v>
      </c>
      <c r="J242" s="10">
        <v>0</v>
      </c>
      <c r="K242" s="10">
        <v>28</v>
      </c>
      <c r="M242" s="9" t="s">
        <v>28</v>
      </c>
      <c r="N242" s="10">
        <v>17</v>
      </c>
      <c r="O242" s="10">
        <v>8</v>
      </c>
      <c r="P242" s="188">
        <v>0</v>
      </c>
      <c r="Q242" s="10">
        <v>9</v>
      </c>
    </row>
    <row r="243" spans="1:17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G243" s="9" t="s">
        <v>29</v>
      </c>
      <c r="H243" s="10">
        <v>9</v>
      </c>
      <c r="I243" s="10">
        <v>9</v>
      </c>
      <c r="J243" s="10">
        <v>0</v>
      </c>
      <c r="K243" s="10">
        <v>0</v>
      </c>
      <c r="M243" s="9" t="s">
        <v>29</v>
      </c>
      <c r="N243" s="10">
        <v>4</v>
      </c>
      <c r="O243" s="10">
        <v>4</v>
      </c>
      <c r="P243" s="188">
        <v>0</v>
      </c>
      <c r="Q243" s="10">
        <v>0</v>
      </c>
    </row>
    <row r="244" spans="1:17" x14ac:dyDescent="0.3">
      <c r="A244" s="9" t="s">
        <v>30</v>
      </c>
      <c r="B244" s="10">
        <v>0</v>
      </c>
      <c r="C244" s="10">
        <v>0</v>
      </c>
      <c r="D244" s="10">
        <v>0</v>
      </c>
      <c r="E244" s="10">
        <v>0</v>
      </c>
      <c r="G244" s="9" t="s">
        <v>30</v>
      </c>
      <c r="H244" s="10">
        <v>154</v>
      </c>
      <c r="I244" s="10">
        <v>77</v>
      </c>
      <c r="J244" s="10">
        <v>0</v>
      </c>
      <c r="K244" s="10">
        <v>77</v>
      </c>
      <c r="M244" s="9" t="s">
        <v>30</v>
      </c>
      <c r="N244" s="10">
        <v>107</v>
      </c>
      <c r="O244" s="10">
        <v>62</v>
      </c>
      <c r="P244" s="188">
        <v>0</v>
      </c>
      <c r="Q244" s="10">
        <v>45</v>
      </c>
    </row>
    <row r="245" spans="1:17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G245" s="9" t="s">
        <v>31</v>
      </c>
      <c r="H245" s="10">
        <v>0</v>
      </c>
      <c r="I245" s="10">
        <v>0</v>
      </c>
      <c r="J245" s="10">
        <v>0</v>
      </c>
      <c r="K245" s="10">
        <v>0</v>
      </c>
      <c r="M245" s="9" t="s">
        <v>31</v>
      </c>
      <c r="N245" s="10">
        <v>0</v>
      </c>
      <c r="O245" s="10">
        <v>0</v>
      </c>
      <c r="P245" s="188">
        <v>0</v>
      </c>
      <c r="Q245" s="10">
        <v>0</v>
      </c>
    </row>
    <row r="246" spans="1:17" x14ac:dyDescent="0.3">
      <c r="A246" s="11" t="s">
        <v>32</v>
      </c>
      <c r="B246" s="12">
        <v>6</v>
      </c>
      <c r="C246" s="12">
        <v>6</v>
      </c>
      <c r="D246" s="12">
        <v>0</v>
      </c>
      <c r="E246" s="12">
        <v>0</v>
      </c>
      <c r="G246" s="11" t="s">
        <v>32</v>
      </c>
      <c r="H246" s="12">
        <v>11</v>
      </c>
      <c r="I246" s="12">
        <v>3</v>
      </c>
      <c r="J246" s="12">
        <v>0</v>
      </c>
      <c r="K246" s="12">
        <v>8</v>
      </c>
      <c r="M246" s="11" t="s">
        <v>32</v>
      </c>
      <c r="N246" s="12">
        <v>91</v>
      </c>
      <c r="O246" s="12">
        <v>52</v>
      </c>
      <c r="P246" s="190">
        <v>0</v>
      </c>
      <c r="Q246" s="12">
        <v>39</v>
      </c>
    </row>
    <row r="247" spans="1:17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G247" s="13" t="s">
        <v>33</v>
      </c>
      <c r="H247" s="14">
        <v>2</v>
      </c>
      <c r="I247" s="14">
        <v>0</v>
      </c>
      <c r="J247" s="14">
        <v>0</v>
      </c>
      <c r="K247" s="14">
        <v>2</v>
      </c>
      <c r="M247" s="13" t="s">
        <v>33</v>
      </c>
      <c r="N247" s="14">
        <v>3</v>
      </c>
      <c r="O247" s="14">
        <v>2</v>
      </c>
      <c r="P247" s="192">
        <v>0</v>
      </c>
      <c r="Q247" s="14">
        <v>1</v>
      </c>
    </row>
    <row r="248" spans="1:17" x14ac:dyDescent="0.3">
      <c r="A248" s="13" t="s">
        <v>34</v>
      </c>
      <c r="B248" s="14">
        <v>6</v>
      </c>
      <c r="C248" s="14">
        <v>6</v>
      </c>
      <c r="D248" s="14">
        <v>0</v>
      </c>
      <c r="E248" s="14">
        <v>0</v>
      </c>
      <c r="G248" s="13" t="s">
        <v>34</v>
      </c>
      <c r="H248" s="14">
        <v>9</v>
      </c>
      <c r="I248" s="14">
        <v>3</v>
      </c>
      <c r="J248" s="14">
        <v>0</v>
      </c>
      <c r="K248" s="14">
        <v>6</v>
      </c>
      <c r="M248" s="13" t="s">
        <v>34</v>
      </c>
      <c r="N248" s="14">
        <v>88</v>
      </c>
      <c r="O248" s="14">
        <v>50</v>
      </c>
      <c r="P248" s="192">
        <v>0</v>
      </c>
      <c r="Q248" s="14">
        <v>38</v>
      </c>
    </row>
    <row r="249" spans="1:17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G249" s="15" t="s">
        <v>35</v>
      </c>
      <c r="H249" s="16">
        <v>2</v>
      </c>
      <c r="I249" s="16">
        <v>1</v>
      </c>
      <c r="J249" s="16">
        <v>0</v>
      </c>
      <c r="K249" s="16">
        <v>1</v>
      </c>
      <c r="M249" s="15" t="s">
        <v>35</v>
      </c>
      <c r="N249" s="16">
        <v>0</v>
      </c>
      <c r="O249" s="16">
        <v>0</v>
      </c>
      <c r="P249" s="194">
        <v>0</v>
      </c>
      <c r="Q249" s="16">
        <v>0</v>
      </c>
    </row>
    <row r="250" spans="1:17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G250" s="17" t="s">
        <v>36</v>
      </c>
      <c r="H250" s="78">
        <v>0</v>
      </c>
      <c r="I250" s="78">
        <v>0</v>
      </c>
      <c r="J250" s="78">
        <v>0</v>
      </c>
      <c r="K250" s="78">
        <v>0</v>
      </c>
      <c r="M250" s="17" t="s">
        <v>36</v>
      </c>
      <c r="N250" s="130">
        <v>0</v>
      </c>
      <c r="O250" s="130">
        <v>0</v>
      </c>
      <c r="P250" s="196">
        <v>0</v>
      </c>
      <c r="Q250" s="130">
        <v>0</v>
      </c>
    </row>
    <row r="251" spans="1:17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G251" s="17" t="s">
        <v>37</v>
      </c>
      <c r="H251" s="78">
        <v>2</v>
      </c>
      <c r="I251" s="78">
        <v>1</v>
      </c>
      <c r="J251" s="78">
        <v>0</v>
      </c>
      <c r="K251" s="78">
        <v>1</v>
      </c>
      <c r="M251" s="17" t="s">
        <v>37</v>
      </c>
      <c r="N251" s="130">
        <v>0</v>
      </c>
      <c r="O251" s="130">
        <v>0</v>
      </c>
      <c r="P251" s="196">
        <v>0</v>
      </c>
      <c r="Q251" s="130">
        <v>0</v>
      </c>
    </row>
    <row r="252" spans="1:17" x14ac:dyDescent="0.3">
      <c r="A252" s="17" t="s">
        <v>38</v>
      </c>
      <c r="B252" s="172" t="s">
        <v>85</v>
      </c>
      <c r="C252" s="173"/>
      <c r="D252" s="173"/>
      <c r="E252" s="173"/>
      <c r="G252" s="17" t="s">
        <v>38</v>
      </c>
      <c r="H252" s="172" t="s">
        <v>85</v>
      </c>
      <c r="I252" s="173"/>
      <c r="J252" s="173"/>
      <c r="K252" s="173"/>
      <c r="M252" s="17" t="s">
        <v>38</v>
      </c>
      <c r="N252" s="172" t="s">
        <v>151</v>
      </c>
      <c r="O252" s="173"/>
      <c r="P252" s="173"/>
      <c r="Q252" s="173"/>
    </row>
    <row r="253" spans="1:17" ht="19.8" x14ac:dyDescent="0.3">
      <c r="A253" s="171">
        <v>46097</v>
      </c>
      <c r="B253" s="171"/>
      <c r="C253" s="171"/>
      <c r="D253" s="171"/>
      <c r="E253" s="171"/>
      <c r="G253" s="171">
        <v>46127</v>
      </c>
      <c r="H253" s="174"/>
      <c r="I253" s="174"/>
      <c r="J253" s="174"/>
      <c r="K253" s="174"/>
      <c r="M253" s="171">
        <v>46158</v>
      </c>
      <c r="N253" s="171"/>
      <c r="O253" s="171"/>
      <c r="P253" s="171"/>
      <c r="Q253" s="171"/>
    </row>
    <row r="254" spans="1:17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G254" s="1" t="s">
        <v>0</v>
      </c>
      <c r="H254" s="1" t="s">
        <v>1</v>
      </c>
      <c r="I254" s="1" t="s">
        <v>2</v>
      </c>
      <c r="J254" s="1" t="s">
        <v>3</v>
      </c>
      <c r="K254" s="1" t="s">
        <v>40</v>
      </c>
      <c r="M254" s="1" t="s">
        <v>0</v>
      </c>
      <c r="N254" s="1" t="s">
        <v>1</v>
      </c>
      <c r="O254" s="1" t="s">
        <v>2</v>
      </c>
      <c r="P254" s="179" t="s">
        <v>3</v>
      </c>
      <c r="Q254" s="1" t="s">
        <v>40</v>
      </c>
    </row>
    <row r="255" spans="1:17" x14ac:dyDescent="0.3">
      <c r="A255" s="2" t="s">
        <v>5</v>
      </c>
      <c r="B255" s="3">
        <v>1454</v>
      </c>
      <c r="C255" s="3">
        <v>805</v>
      </c>
      <c r="D255" s="3">
        <v>0</v>
      </c>
      <c r="E255" s="3">
        <v>649</v>
      </c>
      <c r="G255" s="2" t="s">
        <v>5</v>
      </c>
      <c r="H255" s="3">
        <v>2966</v>
      </c>
      <c r="I255" s="3">
        <v>1463</v>
      </c>
      <c r="J255" s="3">
        <v>0</v>
      </c>
      <c r="K255" s="3">
        <v>1503</v>
      </c>
      <c r="M255" s="2" t="s">
        <v>5</v>
      </c>
      <c r="N255" s="3">
        <v>2901</v>
      </c>
      <c r="O255" s="3">
        <v>1609</v>
      </c>
      <c r="P255" s="181">
        <v>0</v>
      </c>
      <c r="Q255" s="3">
        <v>1292</v>
      </c>
    </row>
    <row r="256" spans="1:17" x14ac:dyDescent="0.3">
      <c r="A256" s="2" t="s">
        <v>6</v>
      </c>
      <c r="B256" s="3">
        <v>56</v>
      </c>
      <c r="C256" s="6">
        <v>1</v>
      </c>
      <c r="D256" s="3">
        <v>0</v>
      </c>
      <c r="E256" s="5">
        <v>55</v>
      </c>
      <c r="G256" s="2" t="s">
        <v>6</v>
      </c>
      <c r="H256" s="3">
        <v>306</v>
      </c>
      <c r="I256" s="5">
        <v>163</v>
      </c>
      <c r="J256" s="3">
        <v>0</v>
      </c>
      <c r="K256" s="6">
        <v>143</v>
      </c>
      <c r="M256" s="2" t="s">
        <v>6</v>
      </c>
      <c r="N256" s="3">
        <v>214</v>
      </c>
      <c r="O256" s="5">
        <v>120</v>
      </c>
      <c r="P256" s="181">
        <v>0</v>
      </c>
      <c r="Q256" s="6">
        <v>94</v>
      </c>
    </row>
    <row r="257" spans="1:17" x14ac:dyDescent="0.3">
      <c r="A257" s="2" t="s">
        <v>7</v>
      </c>
      <c r="B257" s="3" t="s">
        <v>104</v>
      </c>
      <c r="C257" s="6" t="s">
        <v>102</v>
      </c>
      <c r="D257" s="3">
        <v>0</v>
      </c>
      <c r="E257" s="5" t="s">
        <v>93</v>
      </c>
      <c r="G257" s="2" t="s">
        <v>7</v>
      </c>
      <c r="H257" s="3" t="s">
        <v>1486</v>
      </c>
      <c r="I257" s="5" t="s">
        <v>1487</v>
      </c>
      <c r="J257" s="3">
        <v>0</v>
      </c>
      <c r="K257" s="6" t="s">
        <v>1488</v>
      </c>
      <c r="M257" s="2" t="s">
        <v>7</v>
      </c>
      <c r="N257" s="3" t="s">
        <v>756</v>
      </c>
      <c r="O257" s="5" t="s">
        <v>523</v>
      </c>
      <c r="P257" s="181">
        <v>0</v>
      </c>
      <c r="Q257" s="6" t="s">
        <v>518</v>
      </c>
    </row>
    <row r="258" spans="1:17" x14ac:dyDescent="0.3">
      <c r="A258" s="2" t="s">
        <v>12</v>
      </c>
      <c r="B258" s="3" t="s">
        <v>541</v>
      </c>
      <c r="C258" s="3" t="s">
        <v>25</v>
      </c>
      <c r="D258" s="3">
        <v>0</v>
      </c>
      <c r="E258" s="5" t="s">
        <v>326</v>
      </c>
      <c r="G258" s="2" t="s">
        <v>12</v>
      </c>
      <c r="H258" s="3" t="s">
        <v>1489</v>
      </c>
      <c r="I258" s="5" t="s">
        <v>1475</v>
      </c>
      <c r="J258" s="3">
        <v>0</v>
      </c>
      <c r="K258" s="6" t="s">
        <v>1490</v>
      </c>
      <c r="M258" s="2" t="s">
        <v>12</v>
      </c>
      <c r="N258" s="3" t="s">
        <v>848</v>
      </c>
      <c r="O258" s="5" t="s">
        <v>413</v>
      </c>
      <c r="P258" s="181">
        <v>0</v>
      </c>
      <c r="Q258" s="6" t="s">
        <v>204</v>
      </c>
    </row>
    <row r="259" spans="1:17" x14ac:dyDescent="0.3">
      <c r="A259" s="2" t="s">
        <v>17</v>
      </c>
      <c r="B259" s="3" t="s">
        <v>185</v>
      </c>
      <c r="C259" s="6" t="s">
        <v>102</v>
      </c>
      <c r="D259" s="3" t="s">
        <v>25</v>
      </c>
      <c r="E259" s="5" t="s">
        <v>345</v>
      </c>
      <c r="G259" s="2" t="s">
        <v>17</v>
      </c>
      <c r="H259" s="3" t="s">
        <v>1296</v>
      </c>
      <c r="I259" s="5" t="s">
        <v>281</v>
      </c>
      <c r="J259" s="3" t="s">
        <v>25</v>
      </c>
      <c r="K259" s="6" t="s">
        <v>509</v>
      </c>
      <c r="M259" s="2" t="s">
        <v>17</v>
      </c>
      <c r="N259" s="3" t="s">
        <v>636</v>
      </c>
      <c r="O259" s="6" t="s">
        <v>471</v>
      </c>
      <c r="P259" s="181" t="s">
        <v>25</v>
      </c>
      <c r="Q259" s="5" t="s">
        <v>1408</v>
      </c>
    </row>
    <row r="260" spans="1:17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G260" s="2" t="s">
        <v>22</v>
      </c>
      <c r="H260" s="3" t="s">
        <v>25</v>
      </c>
      <c r="I260" s="3" t="s">
        <v>25</v>
      </c>
      <c r="J260" s="3" t="s">
        <v>25</v>
      </c>
      <c r="K260" s="3" t="s">
        <v>25</v>
      </c>
      <c r="M260" s="2" t="s">
        <v>22</v>
      </c>
      <c r="N260" s="3" t="s">
        <v>552</v>
      </c>
      <c r="O260" s="5" t="s">
        <v>268</v>
      </c>
      <c r="P260" s="181" t="s">
        <v>25</v>
      </c>
      <c r="Q260" s="3" t="s">
        <v>25</v>
      </c>
    </row>
    <row r="261" spans="1:17" x14ac:dyDescent="0.3">
      <c r="A261" s="7" t="s">
        <v>26</v>
      </c>
      <c r="B261" s="8">
        <v>36</v>
      </c>
      <c r="C261" s="8">
        <v>0</v>
      </c>
      <c r="D261" s="8">
        <v>0</v>
      </c>
      <c r="E261" s="8">
        <v>36</v>
      </c>
      <c r="G261" s="7" t="s">
        <v>26</v>
      </c>
      <c r="H261" s="8">
        <v>263</v>
      </c>
      <c r="I261" s="8">
        <v>141</v>
      </c>
      <c r="J261" s="8">
        <v>0</v>
      </c>
      <c r="K261" s="8">
        <v>122</v>
      </c>
      <c r="M261" s="7" t="s">
        <v>26</v>
      </c>
      <c r="N261" s="8">
        <v>138</v>
      </c>
      <c r="O261" s="8">
        <v>82</v>
      </c>
      <c r="P261" s="186">
        <v>0</v>
      </c>
      <c r="Q261" s="8">
        <v>56</v>
      </c>
    </row>
    <row r="262" spans="1:17" x14ac:dyDescent="0.3">
      <c r="A262" s="9" t="s">
        <v>27</v>
      </c>
      <c r="B262" s="10">
        <v>21</v>
      </c>
      <c r="C262" s="10">
        <v>0</v>
      </c>
      <c r="D262" s="10">
        <v>0</v>
      </c>
      <c r="E262" s="10">
        <v>21</v>
      </c>
      <c r="G262" s="9" t="s">
        <v>27</v>
      </c>
      <c r="H262" s="10">
        <v>40</v>
      </c>
      <c r="I262" s="10">
        <v>17</v>
      </c>
      <c r="J262" s="10">
        <v>0</v>
      </c>
      <c r="K262" s="10">
        <v>23</v>
      </c>
      <c r="M262" s="9" t="s">
        <v>27</v>
      </c>
      <c r="N262" s="10">
        <v>23</v>
      </c>
      <c r="O262" s="10">
        <v>13</v>
      </c>
      <c r="P262" s="188">
        <v>0</v>
      </c>
      <c r="Q262" s="10">
        <v>10</v>
      </c>
    </row>
    <row r="263" spans="1:17" x14ac:dyDescent="0.3">
      <c r="A263" s="9" t="s">
        <v>28</v>
      </c>
      <c r="B263" s="10">
        <v>2</v>
      </c>
      <c r="C263" s="10">
        <v>0</v>
      </c>
      <c r="D263" s="10">
        <v>0</v>
      </c>
      <c r="E263" s="10">
        <v>2</v>
      </c>
      <c r="G263" s="9" t="s">
        <v>28</v>
      </c>
      <c r="H263" s="10">
        <v>104</v>
      </c>
      <c r="I263" s="10">
        <v>49</v>
      </c>
      <c r="J263" s="10">
        <v>0</v>
      </c>
      <c r="K263" s="10">
        <v>55</v>
      </c>
      <c r="M263" s="9" t="s">
        <v>28</v>
      </c>
      <c r="N263" s="10">
        <v>57</v>
      </c>
      <c r="O263" s="10">
        <v>38</v>
      </c>
      <c r="P263" s="188">
        <v>0</v>
      </c>
      <c r="Q263" s="10">
        <v>19</v>
      </c>
    </row>
    <row r="264" spans="1:17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G264" s="9" t="s">
        <v>29</v>
      </c>
      <c r="H264" s="10">
        <v>5</v>
      </c>
      <c r="I264" s="10">
        <v>5</v>
      </c>
      <c r="J264" s="10">
        <v>0</v>
      </c>
      <c r="K264" s="10">
        <v>0</v>
      </c>
      <c r="M264" s="9" t="s">
        <v>29</v>
      </c>
      <c r="N264" s="10">
        <v>3</v>
      </c>
      <c r="O264" s="10">
        <v>3</v>
      </c>
      <c r="P264" s="188">
        <v>0</v>
      </c>
      <c r="Q264" s="10">
        <v>0</v>
      </c>
    </row>
    <row r="265" spans="1:17" x14ac:dyDescent="0.3">
      <c r="A265" s="9" t="s">
        <v>30</v>
      </c>
      <c r="B265" s="10">
        <v>13</v>
      </c>
      <c r="C265" s="10">
        <v>0</v>
      </c>
      <c r="D265" s="10">
        <v>0</v>
      </c>
      <c r="E265" s="10">
        <v>13</v>
      </c>
      <c r="G265" s="9" t="s">
        <v>30</v>
      </c>
      <c r="H265" s="10">
        <v>114</v>
      </c>
      <c r="I265" s="10">
        <v>70</v>
      </c>
      <c r="J265" s="10">
        <v>0</v>
      </c>
      <c r="K265" s="10">
        <v>44</v>
      </c>
      <c r="M265" s="9" t="s">
        <v>30</v>
      </c>
      <c r="N265" s="10">
        <v>55</v>
      </c>
      <c r="O265" s="10">
        <v>28</v>
      </c>
      <c r="P265" s="188">
        <v>0</v>
      </c>
      <c r="Q265" s="10">
        <v>27</v>
      </c>
    </row>
    <row r="266" spans="1:17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G266" s="9" t="s">
        <v>31</v>
      </c>
      <c r="H266" s="10">
        <v>0</v>
      </c>
      <c r="I266" s="10">
        <v>0</v>
      </c>
      <c r="J266" s="10">
        <v>0</v>
      </c>
      <c r="K266" s="10">
        <v>0</v>
      </c>
      <c r="M266" s="9" t="s">
        <v>31</v>
      </c>
      <c r="N266" s="10">
        <v>0</v>
      </c>
      <c r="O266" s="10">
        <v>0</v>
      </c>
      <c r="P266" s="188">
        <v>0</v>
      </c>
      <c r="Q266" s="10">
        <v>0</v>
      </c>
    </row>
    <row r="267" spans="1:17" x14ac:dyDescent="0.3">
      <c r="A267" s="11" t="s">
        <v>32</v>
      </c>
      <c r="B267" s="12">
        <v>20</v>
      </c>
      <c r="C267" s="12">
        <v>1</v>
      </c>
      <c r="D267" s="12">
        <v>0</v>
      </c>
      <c r="E267" s="12">
        <v>19</v>
      </c>
      <c r="G267" s="11" t="s">
        <v>32</v>
      </c>
      <c r="H267" s="12">
        <v>42</v>
      </c>
      <c r="I267" s="12">
        <v>22</v>
      </c>
      <c r="J267" s="12">
        <v>0</v>
      </c>
      <c r="K267" s="12">
        <v>20</v>
      </c>
      <c r="M267" s="11" t="s">
        <v>32</v>
      </c>
      <c r="N267" s="12">
        <v>76</v>
      </c>
      <c r="O267" s="12">
        <v>38</v>
      </c>
      <c r="P267" s="190">
        <v>0</v>
      </c>
      <c r="Q267" s="12">
        <v>38</v>
      </c>
    </row>
    <row r="268" spans="1:17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G268" s="13" t="s">
        <v>33</v>
      </c>
      <c r="H268" s="14">
        <v>1</v>
      </c>
      <c r="I268" s="14">
        <v>1</v>
      </c>
      <c r="J268" s="14">
        <v>0</v>
      </c>
      <c r="K268" s="14">
        <v>0</v>
      </c>
      <c r="M268" s="13" t="s">
        <v>33</v>
      </c>
      <c r="N268" s="14">
        <v>1</v>
      </c>
      <c r="O268" s="14">
        <v>0</v>
      </c>
      <c r="P268" s="192">
        <v>0</v>
      </c>
      <c r="Q268" s="14">
        <v>1</v>
      </c>
    </row>
    <row r="269" spans="1:17" x14ac:dyDescent="0.3">
      <c r="A269" s="13" t="s">
        <v>34</v>
      </c>
      <c r="B269" s="14">
        <v>20</v>
      </c>
      <c r="C269" s="14">
        <v>1</v>
      </c>
      <c r="D269" s="14">
        <v>0</v>
      </c>
      <c r="E269" s="14">
        <v>19</v>
      </c>
      <c r="G269" s="13" t="s">
        <v>34</v>
      </c>
      <c r="H269" s="14">
        <v>41</v>
      </c>
      <c r="I269" s="14">
        <v>21</v>
      </c>
      <c r="J269" s="14">
        <v>0</v>
      </c>
      <c r="K269" s="14">
        <v>20</v>
      </c>
      <c r="M269" s="13" t="s">
        <v>34</v>
      </c>
      <c r="N269" s="14">
        <v>75</v>
      </c>
      <c r="O269" s="14">
        <v>38</v>
      </c>
      <c r="P269" s="192">
        <v>0</v>
      </c>
      <c r="Q269" s="14">
        <v>37</v>
      </c>
    </row>
    <row r="270" spans="1:17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G270" s="15" t="s">
        <v>35</v>
      </c>
      <c r="H270" s="16">
        <v>0</v>
      </c>
      <c r="I270" s="16">
        <v>0</v>
      </c>
      <c r="J270" s="16">
        <v>0</v>
      </c>
      <c r="K270" s="16">
        <v>0</v>
      </c>
      <c r="M270" s="15" t="s">
        <v>35</v>
      </c>
      <c r="N270" s="16">
        <v>1</v>
      </c>
      <c r="O270" s="16">
        <v>1</v>
      </c>
      <c r="P270" s="194">
        <v>0</v>
      </c>
      <c r="Q270" s="16">
        <v>0</v>
      </c>
    </row>
    <row r="271" spans="1:17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G271" s="17" t="s">
        <v>36</v>
      </c>
      <c r="H271" s="78">
        <v>0</v>
      </c>
      <c r="I271" s="78">
        <v>0</v>
      </c>
      <c r="J271" s="78">
        <v>0</v>
      </c>
      <c r="K271" s="78">
        <v>0</v>
      </c>
      <c r="M271" s="17" t="s">
        <v>36</v>
      </c>
      <c r="N271" s="130">
        <v>0</v>
      </c>
      <c r="O271" s="130">
        <v>0</v>
      </c>
      <c r="P271" s="196">
        <v>0</v>
      </c>
      <c r="Q271" s="130">
        <v>0</v>
      </c>
    </row>
    <row r="272" spans="1:17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G272" s="17" t="s">
        <v>37</v>
      </c>
      <c r="H272" s="78">
        <v>0</v>
      </c>
      <c r="I272" s="78">
        <v>0</v>
      </c>
      <c r="J272" s="78">
        <v>0</v>
      </c>
      <c r="K272" s="78">
        <v>0</v>
      </c>
      <c r="M272" s="17" t="s">
        <v>37</v>
      </c>
      <c r="N272" s="130">
        <v>1</v>
      </c>
      <c r="O272" s="130">
        <v>1</v>
      </c>
      <c r="P272" s="196">
        <v>0</v>
      </c>
      <c r="Q272" s="130">
        <v>0</v>
      </c>
    </row>
    <row r="273" spans="1:17" x14ac:dyDescent="0.3">
      <c r="A273" s="17" t="s">
        <v>38</v>
      </c>
      <c r="B273" s="172" t="s">
        <v>151</v>
      </c>
      <c r="C273" s="173"/>
      <c r="D273" s="173"/>
      <c r="E273" s="173"/>
      <c r="G273" s="17" t="s">
        <v>38</v>
      </c>
      <c r="H273" s="172" t="s">
        <v>85</v>
      </c>
      <c r="I273" s="173"/>
      <c r="J273" s="173"/>
      <c r="K273" s="173"/>
      <c r="M273" s="17" t="s">
        <v>38</v>
      </c>
      <c r="N273" s="172" t="s">
        <v>209</v>
      </c>
      <c r="O273" s="173"/>
      <c r="P273" s="173"/>
      <c r="Q273" s="173"/>
    </row>
    <row r="274" spans="1:17" ht="19.8" x14ac:dyDescent="0.3">
      <c r="A274" s="171">
        <v>46098</v>
      </c>
      <c r="B274" s="171"/>
      <c r="C274" s="171"/>
      <c r="D274" s="171"/>
      <c r="E274" s="171"/>
      <c r="G274" s="171">
        <v>46128</v>
      </c>
      <c r="H274" s="174"/>
      <c r="I274" s="174"/>
      <c r="J274" s="174"/>
      <c r="K274" s="174"/>
      <c r="M274" s="171">
        <v>46160</v>
      </c>
      <c r="N274" s="171"/>
      <c r="O274" s="171"/>
      <c r="P274" s="171"/>
      <c r="Q274" s="171"/>
    </row>
    <row r="275" spans="1:17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G275" s="1" t="s">
        <v>0</v>
      </c>
      <c r="H275" s="1" t="s">
        <v>1</v>
      </c>
      <c r="I275" s="1" t="s">
        <v>2</v>
      </c>
      <c r="J275" s="1" t="s">
        <v>3</v>
      </c>
      <c r="K275" s="1" t="s">
        <v>40</v>
      </c>
      <c r="M275" s="1" t="s">
        <v>0</v>
      </c>
      <c r="N275" s="1" t="s">
        <v>1</v>
      </c>
      <c r="O275" s="1" t="s">
        <v>2</v>
      </c>
      <c r="P275" s="179" t="s">
        <v>3</v>
      </c>
      <c r="Q275" s="1" t="s">
        <v>40</v>
      </c>
    </row>
    <row r="276" spans="1:17" x14ac:dyDescent="0.3">
      <c r="A276" s="2" t="s">
        <v>5</v>
      </c>
      <c r="B276" s="3">
        <v>3489</v>
      </c>
      <c r="C276" s="3">
        <v>1850</v>
      </c>
      <c r="D276" s="3">
        <v>0</v>
      </c>
      <c r="E276" s="3">
        <v>1639</v>
      </c>
      <c r="G276" s="2" t="s">
        <v>5</v>
      </c>
      <c r="H276" s="3">
        <v>3714</v>
      </c>
      <c r="I276" s="3">
        <v>1763</v>
      </c>
      <c r="J276" s="3">
        <v>0</v>
      </c>
      <c r="K276" s="3">
        <v>1951</v>
      </c>
      <c r="M276" s="2" t="s">
        <v>5</v>
      </c>
      <c r="N276" s="3">
        <v>2431</v>
      </c>
      <c r="O276" s="3">
        <v>1370</v>
      </c>
      <c r="P276" s="181">
        <v>0</v>
      </c>
      <c r="Q276" s="3">
        <v>1061</v>
      </c>
    </row>
    <row r="277" spans="1:17" x14ac:dyDescent="0.3">
      <c r="A277" s="2" t="s">
        <v>6</v>
      </c>
      <c r="B277" s="3">
        <v>136</v>
      </c>
      <c r="C277" s="6">
        <v>5</v>
      </c>
      <c r="D277" s="3">
        <v>0</v>
      </c>
      <c r="E277" s="5">
        <v>131</v>
      </c>
      <c r="G277" s="2" t="s">
        <v>6</v>
      </c>
      <c r="H277" s="3">
        <v>391</v>
      </c>
      <c r="I277" s="6">
        <v>194</v>
      </c>
      <c r="J277" s="3">
        <v>0</v>
      </c>
      <c r="K277" s="5">
        <v>197</v>
      </c>
      <c r="M277" s="2" t="s">
        <v>6</v>
      </c>
      <c r="N277" s="3">
        <v>131</v>
      </c>
      <c r="O277" s="5">
        <v>66</v>
      </c>
      <c r="P277" s="181">
        <v>0</v>
      </c>
      <c r="Q277" s="6">
        <v>65</v>
      </c>
    </row>
    <row r="278" spans="1:17" x14ac:dyDescent="0.3">
      <c r="A278" s="2" t="s">
        <v>7</v>
      </c>
      <c r="B278" s="3" t="s">
        <v>884</v>
      </c>
      <c r="C278" s="6" t="s">
        <v>88</v>
      </c>
      <c r="D278" s="3">
        <v>0</v>
      </c>
      <c r="E278" s="5" t="s">
        <v>885</v>
      </c>
      <c r="G278" s="2" t="s">
        <v>7</v>
      </c>
      <c r="H278" s="3" t="s">
        <v>378</v>
      </c>
      <c r="I278" s="5" t="s">
        <v>733</v>
      </c>
      <c r="J278" s="3">
        <v>0</v>
      </c>
      <c r="K278" s="6" t="s">
        <v>1165</v>
      </c>
      <c r="M278" s="2" t="s">
        <v>7</v>
      </c>
      <c r="N278" s="3" t="s">
        <v>1913</v>
      </c>
      <c r="O278" s="6" t="s">
        <v>632</v>
      </c>
      <c r="P278" s="181">
        <v>0</v>
      </c>
      <c r="Q278" s="5" t="s">
        <v>686</v>
      </c>
    </row>
    <row r="279" spans="1:17" x14ac:dyDescent="0.3">
      <c r="A279" s="2" t="s">
        <v>12</v>
      </c>
      <c r="B279" s="3" t="s">
        <v>125</v>
      </c>
      <c r="C279" s="3" t="s">
        <v>25</v>
      </c>
      <c r="D279" s="3">
        <v>0</v>
      </c>
      <c r="E279" s="5" t="s">
        <v>336</v>
      </c>
      <c r="G279" s="2" t="s">
        <v>12</v>
      </c>
      <c r="H279" s="3" t="s">
        <v>912</v>
      </c>
      <c r="I279" s="5" t="s">
        <v>224</v>
      </c>
      <c r="J279" s="3">
        <v>0</v>
      </c>
      <c r="K279" s="6" t="s">
        <v>1510</v>
      </c>
      <c r="M279" s="2" t="s">
        <v>12</v>
      </c>
      <c r="N279" s="3" t="s">
        <v>184</v>
      </c>
      <c r="O279" s="6" t="s">
        <v>802</v>
      </c>
      <c r="P279" s="181">
        <v>0</v>
      </c>
      <c r="Q279" s="5" t="s">
        <v>626</v>
      </c>
    </row>
    <row r="280" spans="1:17" x14ac:dyDescent="0.3">
      <c r="A280" s="2" t="s">
        <v>17</v>
      </c>
      <c r="B280" s="3" t="s">
        <v>266</v>
      </c>
      <c r="C280" s="5" t="s">
        <v>88</v>
      </c>
      <c r="D280" s="3" t="s">
        <v>25</v>
      </c>
      <c r="E280" s="6" t="s">
        <v>109</v>
      </c>
      <c r="G280" s="2" t="s">
        <v>17</v>
      </c>
      <c r="H280" s="3" t="s">
        <v>403</v>
      </c>
      <c r="I280" s="6" t="s">
        <v>1073</v>
      </c>
      <c r="J280" s="3" t="s">
        <v>25</v>
      </c>
      <c r="K280" s="5" t="s">
        <v>548</v>
      </c>
      <c r="M280" s="2" t="s">
        <v>17</v>
      </c>
      <c r="N280" s="3" t="s">
        <v>732</v>
      </c>
      <c r="O280" s="6" t="s">
        <v>557</v>
      </c>
      <c r="P280" s="181" t="s">
        <v>25</v>
      </c>
      <c r="Q280" s="5" t="s">
        <v>626</v>
      </c>
    </row>
    <row r="281" spans="1:17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G281" s="2" t="s">
        <v>22</v>
      </c>
      <c r="H281" s="3" t="s">
        <v>552</v>
      </c>
      <c r="I281" s="5" t="s">
        <v>268</v>
      </c>
      <c r="J281" s="3" t="s">
        <v>25</v>
      </c>
      <c r="K281" s="3" t="s">
        <v>25</v>
      </c>
      <c r="M281" s="2" t="s">
        <v>22</v>
      </c>
      <c r="N281" s="3" t="s">
        <v>25</v>
      </c>
      <c r="O281" s="3" t="s">
        <v>25</v>
      </c>
      <c r="P281" s="181" t="s">
        <v>25</v>
      </c>
      <c r="Q281" s="3" t="s">
        <v>25</v>
      </c>
    </row>
    <row r="282" spans="1:17" x14ac:dyDescent="0.3">
      <c r="A282" s="7" t="s">
        <v>26</v>
      </c>
      <c r="B282" s="8">
        <v>128</v>
      </c>
      <c r="C282" s="8">
        <v>0</v>
      </c>
      <c r="D282" s="8">
        <v>0</v>
      </c>
      <c r="E282" s="8">
        <v>128</v>
      </c>
      <c r="G282" s="7" t="s">
        <v>26</v>
      </c>
      <c r="H282" s="8">
        <v>306</v>
      </c>
      <c r="I282" s="8">
        <v>159</v>
      </c>
      <c r="J282" s="8">
        <v>0</v>
      </c>
      <c r="K282" s="8">
        <v>147</v>
      </c>
      <c r="M282" s="7" t="s">
        <v>26</v>
      </c>
      <c r="N282" s="8">
        <v>62</v>
      </c>
      <c r="O282" s="8">
        <v>30</v>
      </c>
      <c r="P282" s="186">
        <v>0</v>
      </c>
      <c r="Q282" s="8">
        <v>32</v>
      </c>
    </row>
    <row r="283" spans="1:17" x14ac:dyDescent="0.3">
      <c r="A283" s="9" t="s">
        <v>27</v>
      </c>
      <c r="B283" s="10">
        <v>78</v>
      </c>
      <c r="C283" s="10">
        <v>0</v>
      </c>
      <c r="D283" s="10">
        <v>0</v>
      </c>
      <c r="E283" s="10">
        <v>78</v>
      </c>
      <c r="G283" s="9" t="s">
        <v>27</v>
      </c>
      <c r="H283" s="10">
        <v>45</v>
      </c>
      <c r="I283" s="10">
        <v>27</v>
      </c>
      <c r="J283" s="10">
        <v>0</v>
      </c>
      <c r="K283" s="10">
        <v>18</v>
      </c>
      <c r="M283" s="9" t="s">
        <v>27</v>
      </c>
      <c r="N283" s="10">
        <v>15</v>
      </c>
      <c r="O283" s="10">
        <v>5</v>
      </c>
      <c r="P283" s="188">
        <v>0</v>
      </c>
      <c r="Q283" s="10">
        <v>10</v>
      </c>
    </row>
    <row r="284" spans="1:17" x14ac:dyDescent="0.3">
      <c r="A284" s="9" t="s">
        <v>28</v>
      </c>
      <c r="B284" s="10">
        <v>3</v>
      </c>
      <c r="C284" s="10">
        <v>0</v>
      </c>
      <c r="D284" s="10">
        <v>0</v>
      </c>
      <c r="E284" s="10">
        <v>3</v>
      </c>
      <c r="G284" s="9" t="s">
        <v>28</v>
      </c>
      <c r="H284" s="10">
        <v>131</v>
      </c>
      <c r="I284" s="10">
        <v>54</v>
      </c>
      <c r="J284" s="10">
        <v>0</v>
      </c>
      <c r="K284" s="10">
        <v>77</v>
      </c>
      <c r="M284" s="9" t="s">
        <v>28</v>
      </c>
      <c r="N284" s="10">
        <v>15</v>
      </c>
      <c r="O284" s="10">
        <v>10</v>
      </c>
      <c r="P284" s="188">
        <v>0</v>
      </c>
      <c r="Q284" s="10">
        <v>5</v>
      </c>
    </row>
    <row r="285" spans="1:17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G285" s="9" t="s">
        <v>29</v>
      </c>
      <c r="H285" s="10">
        <v>8</v>
      </c>
      <c r="I285" s="10">
        <v>8</v>
      </c>
      <c r="J285" s="10">
        <v>0</v>
      </c>
      <c r="K285" s="10">
        <v>0</v>
      </c>
      <c r="M285" s="9" t="s">
        <v>29</v>
      </c>
      <c r="N285" s="10">
        <v>0</v>
      </c>
      <c r="O285" s="10">
        <v>0</v>
      </c>
      <c r="P285" s="188">
        <v>0</v>
      </c>
      <c r="Q285" s="10">
        <v>0</v>
      </c>
    </row>
    <row r="286" spans="1:17" x14ac:dyDescent="0.3">
      <c r="A286" s="9" t="s">
        <v>30</v>
      </c>
      <c r="B286" s="10">
        <v>47</v>
      </c>
      <c r="C286" s="10">
        <v>0</v>
      </c>
      <c r="D286" s="10">
        <v>0</v>
      </c>
      <c r="E286" s="10">
        <v>47</v>
      </c>
      <c r="G286" s="9" t="s">
        <v>30</v>
      </c>
      <c r="H286" s="10">
        <v>122</v>
      </c>
      <c r="I286" s="10">
        <v>70</v>
      </c>
      <c r="J286" s="10">
        <v>0</v>
      </c>
      <c r="K286" s="10">
        <v>52</v>
      </c>
      <c r="M286" s="9" t="s">
        <v>30</v>
      </c>
      <c r="N286" s="10">
        <v>32</v>
      </c>
      <c r="O286" s="10">
        <v>15</v>
      </c>
      <c r="P286" s="188">
        <v>0</v>
      </c>
      <c r="Q286" s="10">
        <v>17</v>
      </c>
    </row>
    <row r="287" spans="1:17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G287" s="9" t="s">
        <v>31</v>
      </c>
      <c r="H287" s="10">
        <v>0</v>
      </c>
      <c r="I287" s="10">
        <v>0</v>
      </c>
      <c r="J287" s="10">
        <v>0</v>
      </c>
      <c r="K287" s="10">
        <v>0</v>
      </c>
      <c r="M287" s="9" t="s">
        <v>31</v>
      </c>
      <c r="N287" s="10">
        <v>0</v>
      </c>
      <c r="O287" s="10">
        <v>0</v>
      </c>
      <c r="P287" s="188">
        <v>0</v>
      </c>
      <c r="Q287" s="10">
        <v>0</v>
      </c>
    </row>
    <row r="288" spans="1:17" x14ac:dyDescent="0.3">
      <c r="A288" s="11" t="s">
        <v>32</v>
      </c>
      <c r="B288" s="12">
        <v>8</v>
      </c>
      <c r="C288" s="12">
        <v>5</v>
      </c>
      <c r="D288" s="12">
        <v>0</v>
      </c>
      <c r="E288" s="12">
        <v>3</v>
      </c>
      <c r="G288" s="11" t="s">
        <v>32</v>
      </c>
      <c r="H288" s="12">
        <v>84</v>
      </c>
      <c r="I288" s="12">
        <v>35</v>
      </c>
      <c r="J288" s="12">
        <v>0</v>
      </c>
      <c r="K288" s="12">
        <v>49</v>
      </c>
      <c r="M288" s="11" t="s">
        <v>32</v>
      </c>
      <c r="N288" s="12">
        <v>68</v>
      </c>
      <c r="O288" s="12">
        <v>36</v>
      </c>
      <c r="P288" s="190">
        <v>0</v>
      </c>
      <c r="Q288" s="12">
        <v>32</v>
      </c>
    </row>
    <row r="289" spans="1:17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G289" s="13" t="s">
        <v>33</v>
      </c>
      <c r="H289" s="14">
        <v>1</v>
      </c>
      <c r="I289" s="14">
        <v>1</v>
      </c>
      <c r="J289" s="14">
        <v>0</v>
      </c>
      <c r="K289" s="14">
        <v>0</v>
      </c>
      <c r="M289" s="13" t="s">
        <v>33</v>
      </c>
      <c r="N289" s="14">
        <v>19</v>
      </c>
      <c r="O289" s="14">
        <v>10</v>
      </c>
      <c r="P289" s="192">
        <v>0</v>
      </c>
      <c r="Q289" s="14">
        <v>9</v>
      </c>
    </row>
    <row r="290" spans="1:17" x14ac:dyDescent="0.3">
      <c r="A290" s="13" t="s">
        <v>34</v>
      </c>
      <c r="B290" s="14">
        <v>8</v>
      </c>
      <c r="C290" s="14">
        <v>5</v>
      </c>
      <c r="D290" s="14">
        <v>0</v>
      </c>
      <c r="E290" s="14">
        <v>3</v>
      </c>
      <c r="G290" s="13" t="s">
        <v>34</v>
      </c>
      <c r="H290" s="14">
        <v>83</v>
      </c>
      <c r="I290" s="14">
        <v>34</v>
      </c>
      <c r="J290" s="14">
        <v>0</v>
      </c>
      <c r="K290" s="14">
        <v>49</v>
      </c>
      <c r="M290" s="13" t="s">
        <v>34</v>
      </c>
      <c r="N290" s="14">
        <v>49</v>
      </c>
      <c r="O290" s="14">
        <v>26</v>
      </c>
      <c r="P290" s="192">
        <v>0</v>
      </c>
      <c r="Q290" s="14">
        <v>23</v>
      </c>
    </row>
    <row r="291" spans="1:17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G291" s="15" t="s">
        <v>35</v>
      </c>
      <c r="H291" s="16">
        <v>1</v>
      </c>
      <c r="I291" s="16">
        <v>1</v>
      </c>
      <c r="J291" s="16">
        <v>0</v>
      </c>
      <c r="K291" s="16">
        <v>0</v>
      </c>
      <c r="M291" s="15" t="s">
        <v>35</v>
      </c>
      <c r="N291" s="16">
        <v>0</v>
      </c>
      <c r="O291" s="16">
        <v>0</v>
      </c>
      <c r="P291" s="194">
        <v>0</v>
      </c>
      <c r="Q291" s="16">
        <v>0</v>
      </c>
    </row>
    <row r="292" spans="1:17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G292" s="17" t="s">
        <v>36</v>
      </c>
      <c r="H292" s="88">
        <v>1</v>
      </c>
      <c r="I292" s="88">
        <v>1</v>
      </c>
      <c r="J292" s="88">
        <v>0</v>
      </c>
      <c r="K292" s="88">
        <v>0</v>
      </c>
      <c r="M292" s="17" t="s">
        <v>36</v>
      </c>
      <c r="N292" s="130">
        <v>0</v>
      </c>
      <c r="O292" s="130">
        <v>0</v>
      </c>
      <c r="P292" s="196">
        <v>0</v>
      </c>
      <c r="Q292" s="130">
        <v>0</v>
      </c>
    </row>
    <row r="293" spans="1:17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G293" s="17" t="s">
        <v>37</v>
      </c>
      <c r="H293" s="88">
        <v>0</v>
      </c>
      <c r="I293" s="88">
        <v>0</v>
      </c>
      <c r="J293" s="88">
        <v>0</v>
      </c>
      <c r="K293" s="88">
        <v>0</v>
      </c>
      <c r="M293" s="17" t="s">
        <v>37</v>
      </c>
      <c r="N293" s="130">
        <v>0</v>
      </c>
      <c r="O293" s="130">
        <v>0</v>
      </c>
      <c r="P293" s="196">
        <v>0</v>
      </c>
      <c r="Q293" s="130">
        <v>0</v>
      </c>
    </row>
    <row r="294" spans="1:17" x14ac:dyDescent="0.3">
      <c r="A294" s="17" t="s">
        <v>38</v>
      </c>
      <c r="B294" s="172" t="s">
        <v>209</v>
      </c>
      <c r="C294" s="173"/>
      <c r="D294" s="173"/>
      <c r="E294" s="173"/>
      <c r="G294" s="17" t="s">
        <v>38</v>
      </c>
      <c r="H294" s="172" t="s">
        <v>1674</v>
      </c>
      <c r="I294" s="173"/>
      <c r="J294" s="173"/>
      <c r="K294" s="173"/>
      <c r="M294" s="17" t="s">
        <v>38</v>
      </c>
      <c r="N294" s="172" t="s">
        <v>209</v>
      </c>
      <c r="O294" s="173"/>
      <c r="P294" s="173"/>
      <c r="Q294" s="173"/>
    </row>
    <row r="295" spans="1:17" ht="19.8" x14ac:dyDescent="0.3">
      <c r="A295" s="171">
        <v>46099</v>
      </c>
      <c r="B295" s="171"/>
      <c r="C295" s="171"/>
      <c r="D295" s="171"/>
      <c r="E295" s="171"/>
      <c r="G295" s="171">
        <v>46129</v>
      </c>
      <c r="H295" s="171"/>
      <c r="I295" s="171"/>
      <c r="J295" s="171"/>
      <c r="K295" s="171"/>
      <c r="M295" s="171">
        <v>46161</v>
      </c>
      <c r="N295" s="171"/>
      <c r="O295" s="171"/>
      <c r="P295" s="171"/>
      <c r="Q295" s="171"/>
    </row>
    <row r="296" spans="1:17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G296" s="1" t="s">
        <v>0</v>
      </c>
      <c r="H296" s="1" t="s">
        <v>1</v>
      </c>
      <c r="I296" s="1" t="s">
        <v>2</v>
      </c>
      <c r="J296" s="1" t="s">
        <v>3</v>
      </c>
      <c r="K296" s="1" t="s">
        <v>40</v>
      </c>
      <c r="M296" s="1" t="s">
        <v>0</v>
      </c>
      <c r="N296" s="1" t="s">
        <v>1</v>
      </c>
      <c r="O296" s="1" t="s">
        <v>2</v>
      </c>
      <c r="P296" s="179" t="s">
        <v>3</v>
      </c>
      <c r="Q296" s="1" t="s">
        <v>40</v>
      </c>
    </row>
    <row r="297" spans="1:17" x14ac:dyDescent="0.3">
      <c r="A297" s="2" t="s">
        <v>5</v>
      </c>
      <c r="B297" s="3">
        <v>2746</v>
      </c>
      <c r="C297" s="3">
        <v>1541</v>
      </c>
      <c r="D297" s="3">
        <v>0</v>
      </c>
      <c r="E297" s="3">
        <v>1205</v>
      </c>
      <c r="G297" s="2" t="s">
        <v>5</v>
      </c>
      <c r="H297" s="3">
        <v>3142</v>
      </c>
      <c r="I297" s="3">
        <v>1537</v>
      </c>
      <c r="J297" s="3">
        <v>0</v>
      </c>
      <c r="K297" s="3">
        <v>1605</v>
      </c>
      <c r="M297" s="2" t="s">
        <v>5</v>
      </c>
      <c r="N297" s="3">
        <v>2205</v>
      </c>
      <c r="O297" s="3">
        <v>1295</v>
      </c>
      <c r="P297" s="181">
        <v>0</v>
      </c>
      <c r="Q297" s="3">
        <v>910</v>
      </c>
    </row>
    <row r="298" spans="1:17" x14ac:dyDescent="0.3">
      <c r="A298" s="2" t="s">
        <v>6</v>
      </c>
      <c r="B298" s="3">
        <v>100</v>
      </c>
      <c r="C298" s="6">
        <v>13</v>
      </c>
      <c r="D298" s="3">
        <v>0</v>
      </c>
      <c r="E298" s="5">
        <v>87</v>
      </c>
      <c r="G298" s="2" t="s">
        <v>6</v>
      </c>
      <c r="H298" s="3">
        <v>270</v>
      </c>
      <c r="I298" s="5">
        <v>139</v>
      </c>
      <c r="J298" s="3">
        <v>0</v>
      </c>
      <c r="K298" s="6">
        <v>131</v>
      </c>
      <c r="M298" s="2" t="s">
        <v>6</v>
      </c>
      <c r="N298" s="3">
        <v>205</v>
      </c>
      <c r="O298" s="5">
        <v>129</v>
      </c>
      <c r="P298" s="181">
        <v>0</v>
      </c>
      <c r="Q298" s="6">
        <v>76</v>
      </c>
    </row>
    <row r="299" spans="1:17" x14ac:dyDescent="0.3">
      <c r="A299" s="2" t="s">
        <v>7</v>
      </c>
      <c r="B299" s="3" t="s">
        <v>886</v>
      </c>
      <c r="C299" s="6" t="s">
        <v>717</v>
      </c>
      <c r="D299" s="3">
        <v>0</v>
      </c>
      <c r="E299" s="5" t="s">
        <v>262</v>
      </c>
      <c r="G299" s="2" t="s">
        <v>7</v>
      </c>
      <c r="H299" s="3" t="s">
        <v>483</v>
      </c>
      <c r="I299" s="5" t="s">
        <v>1164</v>
      </c>
      <c r="J299" s="3">
        <v>0</v>
      </c>
      <c r="K299" s="6" t="s">
        <v>1290</v>
      </c>
      <c r="M299" s="2" t="s">
        <v>7</v>
      </c>
      <c r="N299" s="3" t="s">
        <v>1761</v>
      </c>
      <c r="O299" s="5" t="s">
        <v>163</v>
      </c>
      <c r="P299" s="181">
        <v>0</v>
      </c>
      <c r="Q299" s="6" t="s">
        <v>1226</v>
      </c>
    </row>
    <row r="300" spans="1:17" x14ac:dyDescent="0.3">
      <c r="A300" s="2" t="s">
        <v>12</v>
      </c>
      <c r="B300" s="3" t="s">
        <v>626</v>
      </c>
      <c r="C300" s="6" t="s">
        <v>268</v>
      </c>
      <c r="D300" s="3">
        <v>0</v>
      </c>
      <c r="E300" s="5" t="s">
        <v>318</v>
      </c>
      <c r="G300" s="2" t="s">
        <v>12</v>
      </c>
      <c r="H300" s="3" t="s">
        <v>651</v>
      </c>
      <c r="I300" s="5" t="s">
        <v>294</v>
      </c>
      <c r="J300" s="3">
        <v>0</v>
      </c>
      <c r="K300" s="6" t="s">
        <v>817</v>
      </c>
      <c r="M300" s="2" t="s">
        <v>12</v>
      </c>
      <c r="N300" s="3" t="s">
        <v>1224</v>
      </c>
      <c r="O300" s="5" t="s">
        <v>1089</v>
      </c>
      <c r="P300" s="181">
        <v>0</v>
      </c>
      <c r="Q300" s="6" t="s">
        <v>473</v>
      </c>
    </row>
    <row r="301" spans="1:17" x14ac:dyDescent="0.3">
      <c r="A301" s="2" t="s">
        <v>17</v>
      </c>
      <c r="B301" s="3" t="s">
        <v>887</v>
      </c>
      <c r="C301" s="6" t="s">
        <v>137</v>
      </c>
      <c r="D301" s="3" t="s">
        <v>25</v>
      </c>
      <c r="E301" s="5" t="s">
        <v>509</v>
      </c>
      <c r="G301" s="2" t="s">
        <v>17</v>
      </c>
      <c r="H301" s="3" t="s">
        <v>131</v>
      </c>
      <c r="I301" s="6" t="s">
        <v>648</v>
      </c>
      <c r="J301" s="3" t="s">
        <v>25</v>
      </c>
      <c r="K301" s="5" t="s">
        <v>59</v>
      </c>
      <c r="M301" s="2" t="s">
        <v>17</v>
      </c>
      <c r="N301" s="3" t="s">
        <v>904</v>
      </c>
      <c r="O301" s="6" t="s">
        <v>693</v>
      </c>
      <c r="P301" s="181" t="s">
        <v>25</v>
      </c>
      <c r="Q301" s="5" t="s">
        <v>409</v>
      </c>
    </row>
    <row r="302" spans="1:17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G302" s="2" t="s">
        <v>22</v>
      </c>
      <c r="H302" s="3" t="s">
        <v>25</v>
      </c>
      <c r="I302" s="3" t="s">
        <v>25</v>
      </c>
      <c r="J302" s="3" t="s">
        <v>25</v>
      </c>
      <c r="K302" s="3" t="s">
        <v>25</v>
      </c>
      <c r="M302" s="2" t="s">
        <v>22</v>
      </c>
      <c r="N302" s="3" t="s">
        <v>25</v>
      </c>
      <c r="O302" s="3" t="s">
        <v>25</v>
      </c>
      <c r="P302" s="181" t="s">
        <v>25</v>
      </c>
      <c r="Q302" s="3" t="s">
        <v>25</v>
      </c>
    </row>
    <row r="303" spans="1:17" x14ac:dyDescent="0.3">
      <c r="A303" s="7" t="s">
        <v>26</v>
      </c>
      <c r="B303" s="8">
        <v>83</v>
      </c>
      <c r="C303" s="8">
        <v>1</v>
      </c>
      <c r="D303" s="8">
        <v>0</v>
      </c>
      <c r="E303" s="8">
        <v>82</v>
      </c>
      <c r="G303" s="7" t="s">
        <v>26</v>
      </c>
      <c r="H303" s="8">
        <v>207</v>
      </c>
      <c r="I303" s="8">
        <v>113</v>
      </c>
      <c r="J303" s="8">
        <v>0</v>
      </c>
      <c r="K303" s="8">
        <v>94</v>
      </c>
      <c r="M303" s="7" t="s">
        <v>26</v>
      </c>
      <c r="N303" s="8">
        <v>87</v>
      </c>
      <c r="O303" s="8">
        <v>61</v>
      </c>
      <c r="P303" s="186">
        <v>0</v>
      </c>
      <c r="Q303" s="8">
        <v>26</v>
      </c>
    </row>
    <row r="304" spans="1:17" x14ac:dyDescent="0.3">
      <c r="A304" s="9" t="s">
        <v>27</v>
      </c>
      <c r="B304" s="10">
        <v>58</v>
      </c>
      <c r="C304" s="10">
        <v>1</v>
      </c>
      <c r="D304" s="10">
        <v>0</v>
      </c>
      <c r="E304" s="10">
        <v>57</v>
      </c>
      <c r="G304" s="9" t="s">
        <v>27</v>
      </c>
      <c r="H304" s="10">
        <v>35</v>
      </c>
      <c r="I304" s="10">
        <v>14</v>
      </c>
      <c r="J304" s="10">
        <v>0</v>
      </c>
      <c r="K304" s="10">
        <v>21</v>
      </c>
      <c r="M304" s="9" t="s">
        <v>27</v>
      </c>
      <c r="N304" s="10">
        <v>15</v>
      </c>
      <c r="O304" s="10">
        <v>10</v>
      </c>
      <c r="P304" s="188">
        <v>0</v>
      </c>
      <c r="Q304" s="10">
        <v>5</v>
      </c>
    </row>
    <row r="305" spans="1:17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G305" s="9" t="s">
        <v>28</v>
      </c>
      <c r="H305" s="10">
        <v>88</v>
      </c>
      <c r="I305" s="10">
        <v>44</v>
      </c>
      <c r="J305" s="10">
        <v>0</v>
      </c>
      <c r="K305" s="10">
        <v>44</v>
      </c>
      <c r="M305" s="9" t="s">
        <v>28</v>
      </c>
      <c r="N305" s="10">
        <v>23</v>
      </c>
      <c r="O305" s="10">
        <v>17</v>
      </c>
      <c r="P305" s="188">
        <v>0</v>
      </c>
      <c r="Q305" s="10">
        <v>6</v>
      </c>
    </row>
    <row r="306" spans="1:17" x14ac:dyDescent="0.3">
      <c r="A306" s="9" t="s">
        <v>29</v>
      </c>
      <c r="B306" s="10">
        <v>11</v>
      </c>
      <c r="C306" s="10">
        <v>0</v>
      </c>
      <c r="D306" s="10">
        <v>0</v>
      </c>
      <c r="E306" s="10">
        <v>11</v>
      </c>
      <c r="G306" s="9" t="s">
        <v>29</v>
      </c>
      <c r="H306" s="10">
        <v>7</v>
      </c>
      <c r="I306" s="10">
        <v>7</v>
      </c>
      <c r="J306" s="10">
        <v>0</v>
      </c>
      <c r="K306" s="10">
        <v>0</v>
      </c>
      <c r="M306" s="9" t="s">
        <v>29</v>
      </c>
      <c r="N306" s="10">
        <v>10</v>
      </c>
      <c r="O306" s="10">
        <v>10</v>
      </c>
      <c r="P306" s="188">
        <v>0</v>
      </c>
      <c r="Q306" s="10">
        <v>0</v>
      </c>
    </row>
    <row r="307" spans="1:17" x14ac:dyDescent="0.3">
      <c r="A307" s="9" t="s">
        <v>30</v>
      </c>
      <c r="B307" s="10">
        <v>14</v>
      </c>
      <c r="C307" s="10">
        <v>0</v>
      </c>
      <c r="D307" s="10">
        <v>0</v>
      </c>
      <c r="E307" s="10">
        <v>14</v>
      </c>
      <c r="G307" s="9" t="s">
        <v>30</v>
      </c>
      <c r="H307" s="10">
        <v>77</v>
      </c>
      <c r="I307" s="10">
        <v>48</v>
      </c>
      <c r="J307" s="10">
        <v>0</v>
      </c>
      <c r="K307" s="10">
        <v>29</v>
      </c>
      <c r="M307" s="9" t="s">
        <v>30</v>
      </c>
      <c r="N307" s="10">
        <v>39</v>
      </c>
      <c r="O307" s="10">
        <v>24</v>
      </c>
      <c r="P307" s="188">
        <v>0</v>
      </c>
      <c r="Q307" s="10">
        <v>15</v>
      </c>
    </row>
    <row r="308" spans="1:17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G308" s="9" t="s">
        <v>31</v>
      </c>
      <c r="H308" s="10">
        <v>0</v>
      </c>
      <c r="I308" s="10">
        <v>0</v>
      </c>
      <c r="J308" s="10">
        <v>0</v>
      </c>
      <c r="K308" s="10">
        <v>0</v>
      </c>
      <c r="M308" s="9" t="s">
        <v>31</v>
      </c>
      <c r="N308" s="10">
        <v>0</v>
      </c>
      <c r="O308" s="10">
        <v>0</v>
      </c>
      <c r="P308" s="188">
        <v>0</v>
      </c>
      <c r="Q308" s="10">
        <v>0</v>
      </c>
    </row>
    <row r="309" spans="1:17" x14ac:dyDescent="0.3">
      <c r="A309" s="11" t="s">
        <v>32</v>
      </c>
      <c r="B309" s="12">
        <v>25</v>
      </c>
      <c r="C309" s="12">
        <v>9</v>
      </c>
      <c r="D309" s="12">
        <v>0</v>
      </c>
      <c r="E309" s="12">
        <v>16</v>
      </c>
      <c r="G309" s="11" t="s">
        <v>32</v>
      </c>
      <c r="H309" s="12">
        <v>61</v>
      </c>
      <c r="I309" s="12">
        <v>26</v>
      </c>
      <c r="J309" s="12">
        <v>0</v>
      </c>
      <c r="K309" s="12">
        <v>35</v>
      </c>
      <c r="M309" s="11" t="s">
        <v>32</v>
      </c>
      <c r="N309" s="12">
        <v>118</v>
      </c>
      <c r="O309" s="12">
        <v>69</v>
      </c>
      <c r="P309" s="190">
        <v>0</v>
      </c>
      <c r="Q309" s="12">
        <v>49</v>
      </c>
    </row>
    <row r="310" spans="1:17" x14ac:dyDescent="0.3">
      <c r="A310" s="13" t="s">
        <v>33</v>
      </c>
      <c r="B310" s="14">
        <v>14</v>
      </c>
      <c r="C310" s="14">
        <v>3</v>
      </c>
      <c r="D310" s="14">
        <v>0</v>
      </c>
      <c r="E310" s="14">
        <v>11</v>
      </c>
      <c r="G310" s="13" t="s">
        <v>33</v>
      </c>
      <c r="H310" s="14">
        <v>0</v>
      </c>
      <c r="I310" s="14">
        <v>0</v>
      </c>
      <c r="J310" s="14">
        <v>0</v>
      </c>
      <c r="K310" s="14">
        <v>0</v>
      </c>
      <c r="M310" s="13" t="s">
        <v>33</v>
      </c>
      <c r="N310" s="14">
        <v>50</v>
      </c>
      <c r="O310" s="14">
        <v>27</v>
      </c>
      <c r="P310" s="192">
        <v>0</v>
      </c>
      <c r="Q310" s="14">
        <v>23</v>
      </c>
    </row>
    <row r="311" spans="1:17" x14ac:dyDescent="0.3">
      <c r="A311" s="13" t="s">
        <v>34</v>
      </c>
      <c r="B311" s="14">
        <v>11</v>
      </c>
      <c r="C311" s="14">
        <v>6</v>
      </c>
      <c r="D311" s="14">
        <v>0</v>
      </c>
      <c r="E311" s="14">
        <v>5</v>
      </c>
      <c r="G311" s="13" t="s">
        <v>34</v>
      </c>
      <c r="H311" s="14">
        <v>61</v>
      </c>
      <c r="I311" s="14">
        <v>26</v>
      </c>
      <c r="J311" s="14">
        <v>0</v>
      </c>
      <c r="K311" s="14">
        <v>35</v>
      </c>
      <c r="M311" s="13" t="s">
        <v>34</v>
      </c>
      <c r="N311" s="14">
        <v>68</v>
      </c>
      <c r="O311" s="14">
        <v>42</v>
      </c>
      <c r="P311" s="192">
        <v>0</v>
      </c>
      <c r="Q311" s="14">
        <v>26</v>
      </c>
    </row>
    <row r="312" spans="1:17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G312" s="15" t="s">
        <v>35</v>
      </c>
      <c r="H312" s="16">
        <v>0</v>
      </c>
      <c r="I312" s="16">
        <v>0</v>
      </c>
      <c r="J312" s="16">
        <v>0</v>
      </c>
      <c r="K312" s="16">
        <v>0</v>
      </c>
      <c r="M312" s="15" t="s">
        <v>35</v>
      </c>
      <c r="N312" s="16">
        <v>0</v>
      </c>
      <c r="O312" s="16">
        <v>0</v>
      </c>
      <c r="P312" s="194">
        <v>0</v>
      </c>
      <c r="Q312" s="16">
        <v>0</v>
      </c>
    </row>
    <row r="313" spans="1:17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G313" s="17" t="s">
        <v>36</v>
      </c>
      <c r="H313" s="99">
        <v>0</v>
      </c>
      <c r="I313" s="99">
        <v>0</v>
      </c>
      <c r="J313" s="99">
        <v>0</v>
      </c>
      <c r="K313" s="99">
        <v>0</v>
      </c>
      <c r="M313" s="17" t="s">
        <v>36</v>
      </c>
      <c r="N313" s="130">
        <v>0</v>
      </c>
      <c r="O313" s="130">
        <v>0</v>
      </c>
      <c r="P313" s="196">
        <v>0</v>
      </c>
      <c r="Q313" s="130">
        <v>0</v>
      </c>
    </row>
    <row r="314" spans="1:17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G314" s="17" t="s">
        <v>37</v>
      </c>
      <c r="H314" s="99">
        <v>0</v>
      </c>
      <c r="I314" s="99">
        <v>0</v>
      </c>
      <c r="J314" s="99">
        <v>0</v>
      </c>
      <c r="K314" s="99">
        <v>0</v>
      </c>
      <c r="M314" s="17" t="s">
        <v>37</v>
      </c>
      <c r="N314" s="130">
        <v>0</v>
      </c>
      <c r="O314" s="130">
        <v>0</v>
      </c>
      <c r="P314" s="196">
        <v>0</v>
      </c>
      <c r="Q314" s="130">
        <v>0</v>
      </c>
    </row>
    <row r="315" spans="1:17" x14ac:dyDescent="0.3">
      <c r="A315" s="17" t="s">
        <v>38</v>
      </c>
      <c r="B315" s="172" t="s">
        <v>209</v>
      </c>
      <c r="C315" s="173"/>
      <c r="D315" s="173"/>
      <c r="E315" s="173"/>
      <c r="G315" s="17" t="s">
        <v>38</v>
      </c>
      <c r="H315" s="172" t="s">
        <v>85</v>
      </c>
      <c r="I315" s="173"/>
      <c r="J315" s="173"/>
      <c r="K315" s="173"/>
      <c r="M315" s="17" t="s">
        <v>38</v>
      </c>
      <c r="N315" s="172" t="s">
        <v>1935</v>
      </c>
      <c r="O315" s="173"/>
      <c r="P315" s="173"/>
      <c r="Q315" s="173"/>
    </row>
    <row r="316" spans="1:17" ht="19.8" x14ac:dyDescent="0.3">
      <c r="A316" s="171">
        <v>46100</v>
      </c>
      <c r="B316" s="171"/>
      <c r="C316" s="171"/>
      <c r="D316" s="171"/>
      <c r="E316" s="171"/>
      <c r="G316" s="170">
        <v>46130</v>
      </c>
      <c r="H316" s="169"/>
      <c r="I316" s="169"/>
      <c r="J316" s="169"/>
      <c r="K316" s="169"/>
      <c r="M316" s="171">
        <v>46162</v>
      </c>
      <c r="N316" s="171"/>
      <c r="O316" s="171"/>
      <c r="P316" s="171"/>
      <c r="Q316" s="171"/>
    </row>
    <row r="317" spans="1:17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G317" s="1" t="s">
        <v>0</v>
      </c>
      <c r="H317" s="1" t="s">
        <v>1</v>
      </c>
      <c r="I317" s="1" t="s">
        <v>2</v>
      </c>
      <c r="J317" s="1" t="s">
        <v>3</v>
      </c>
      <c r="K317" s="1" t="s">
        <v>40</v>
      </c>
      <c r="M317" s="1" t="s">
        <v>0</v>
      </c>
      <c r="N317" s="1" t="s">
        <v>1</v>
      </c>
      <c r="O317" s="1" t="s">
        <v>2</v>
      </c>
      <c r="P317" s="179" t="s">
        <v>3</v>
      </c>
      <c r="Q317" s="1" t="s">
        <v>40</v>
      </c>
    </row>
    <row r="318" spans="1:17" x14ac:dyDescent="0.3">
      <c r="A318" s="2" t="s">
        <v>5</v>
      </c>
      <c r="B318" s="3">
        <v>2938</v>
      </c>
      <c r="C318" s="3">
        <v>1600</v>
      </c>
      <c r="D318" s="3">
        <v>0</v>
      </c>
      <c r="E318" s="3">
        <v>1338</v>
      </c>
      <c r="G318" s="2" t="s">
        <v>5</v>
      </c>
      <c r="H318" s="3">
        <v>2952</v>
      </c>
      <c r="I318" s="3">
        <v>1457</v>
      </c>
      <c r="J318" s="3">
        <v>0</v>
      </c>
      <c r="K318" s="3">
        <v>1495</v>
      </c>
      <c r="M318" s="2" t="s">
        <v>5</v>
      </c>
      <c r="N318" s="3">
        <v>2566</v>
      </c>
      <c r="O318" s="3">
        <v>1398</v>
      </c>
      <c r="P318" s="181">
        <v>0</v>
      </c>
      <c r="Q318" s="3">
        <v>1168</v>
      </c>
    </row>
    <row r="319" spans="1:17" x14ac:dyDescent="0.3">
      <c r="A319" s="2" t="s">
        <v>6</v>
      </c>
      <c r="B319" s="3">
        <v>175</v>
      </c>
      <c r="C319" s="6">
        <v>43</v>
      </c>
      <c r="D319" s="3">
        <v>0</v>
      </c>
      <c r="E319" s="5">
        <v>132</v>
      </c>
      <c r="G319" s="2" t="s">
        <v>6</v>
      </c>
      <c r="H319" s="3">
        <v>247</v>
      </c>
      <c r="I319" s="5">
        <v>124</v>
      </c>
      <c r="J319" s="3">
        <v>0</v>
      </c>
      <c r="K319" s="6">
        <v>123</v>
      </c>
      <c r="M319" s="2" t="s">
        <v>6</v>
      </c>
      <c r="N319" s="3">
        <v>209</v>
      </c>
      <c r="O319" s="5">
        <v>120</v>
      </c>
      <c r="P319" s="181">
        <v>0</v>
      </c>
      <c r="Q319" s="6">
        <v>89</v>
      </c>
    </row>
    <row r="320" spans="1:17" x14ac:dyDescent="0.3">
      <c r="A320" s="2" t="s">
        <v>7</v>
      </c>
      <c r="B320" s="3" t="s">
        <v>307</v>
      </c>
      <c r="C320" s="6" t="s">
        <v>888</v>
      </c>
      <c r="D320" s="3">
        <v>0</v>
      </c>
      <c r="E320" s="5" t="s">
        <v>889</v>
      </c>
      <c r="G320" s="2" t="s">
        <v>7</v>
      </c>
      <c r="H320" s="3" t="s">
        <v>90</v>
      </c>
      <c r="I320" s="5" t="s">
        <v>242</v>
      </c>
      <c r="J320" s="3">
        <v>0</v>
      </c>
      <c r="K320" s="6" t="s">
        <v>283</v>
      </c>
      <c r="M320" s="2" t="s">
        <v>7</v>
      </c>
      <c r="N320" s="3" t="s">
        <v>822</v>
      </c>
      <c r="O320" s="5" t="s">
        <v>420</v>
      </c>
      <c r="P320" s="181">
        <v>0</v>
      </c>
      <c r="Q320" s="6" t="s">
        <v>1012</v>
      </c>
    </row>
    <row r="321" spans="1:17" x14ac:dyDescent="0.3">
      <c r="A321" s="2" t="s">
        <v>12</v>
      </c>
      <c r="B321" s="3" t="s">
        <v>890</v>
      </c>
      <c r="C321" s="3" t="s">
        <v>25</v>
      </c>
      <c r="D321" s="3">
        <v>0</v>
      </c>
      <c r="E321" s="5" t="s">
        <v>891</v>
      </c>
      <c r="G321" s="2" t="s">
        <v>12</v>
      </c>
      <c r="H321" s="3" t="s">
        <v>865</v>
      </c>
      <c r="I321" s="5" t="s">
        <v>1051</v>
      </c>
      <c r="J321" s="3">
        <v>0</v>
      </c>
      <c r="K321" s="6" t="s">
        <v>646</v>
      </c>
      <c r="M321" s="2" t="s">
        <v>12</v>
      </c>
      <c r="N321" s="3" t="s">
        <v>1187</v>
      </c>
      <c r="O321" s="5" t="s">
        <v>1512</v>
      </c>
      <c r="P321" s="181">
        <v>0</v>
      </c>
      <c r="Q321" s="6" t="s">
        <v>972</v>
      </c>
    </row>
    <row r="322" spans="1:17" x14ac:dyDescent="0.3">
      <c r="A322" s="2" t="s">
        <v>17</v>
      </c>
      <c r="B322" s="3" t="s">
        <v>440</v>
      </c>
      <c r="C322" s="6" t="s">
        <v>43</v>
      </c>
      <c r="D322" s="3" t="s">
        <v>25</v>
      </c>
      <c r="E322" s="5" t="s">
        <v>225</v>
      </c>
      <c r="G322" s="2" t="s">
        <v>17</v>
      </c>
      <c r="H322" s="3" t="s">
        <v>183</v>
      </c>
      <c r="I322" s="5" t="s">
        <v>187</v>
      </c>
      <c r="J322" s="3" t="s">
        <v>25</v>
      </c>
      <c r="K322" s="6" t="s">
        <v>510</v>
      </c>
      <c r="M322" s="2" t="s">
        <v>17</v>
      </c>
      <c r="N322" s="3" t="s">
        <v>654</v>
      </c>
      <c r="O322" s="6" t="s">
        <v>50</v>
      </c>
      <c r="P322" s="181" t="s">
        <v>25</v>
      </c>
      <c r="Q322" s="5" t="s">
        <v>654</v>
      </c>
    </row>
    <row r="323" spans="1:17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G323" s="2" t="s">
        <v>22</v>
      </c>
      <c r="H323" s="3" t="s">
        <v>552</v>
      </c>
      <c r="I323" s="3" t="s">
        <v>25</v>
      </c>
      <c r="J323" s="3" t="s">
        <v>25</v>
      </c>
      <c r="K323" s="5" t="s">
        <v>138</v>
      </c>
      <c r="M323" s="2" t="s">
        <v>22</v>
      </c>
      <c r="N323" s="3" t="s">
        <v>257</v>
      </c>
      <c r="O323" s="3" t="s">
        <v>25</v>
      </c>
      <c r="P323" s="181" t="s">
        <v>25</v>
      </c>
      <c r="Q323" s="5" t="s">
        <v>84</v>
      </c>
    </row>
    <row r="324" spans="1:17" x14ac:dyDescent="0.3">
      <c r="A324" s="7" t="s">
        <v>26</v>
      </c>
      <c r="B324" s="8">
        <v>101</v>
      </c>
      <c r="C324" s="8">
        <v>0</v>
      </c>
      <c r="D324" s="8">
        <v>0</v>
      </c>
      <c r="E324" s="8">
        <v>101</v>
      </c>
      <c r="G324" s="7" t="s">
        <v>26</v>
      </c>
      <c r="H324" s="8">
        <v>201</v>
      </c>
      <c r="I324" s="8">
        <v>101</v>
      </c>
      <c r="J324" s="8">
        <v>0</v>
      </c>
      <c r="K324" s="8">
        <v>100</v>
      </c>
      <c r="M324" s="7" t="s">
        <v>26</v>
      </c>
      <c r="N324" s="8">
        <v>198</v>
      </c>
      <c r="O324" s="8">
        <v>114</v>
      </c>
      <c r="P324" s="186">
        <v>0</v>
      </c>
      <c r="Q324" s="8">
        <v>84</v>
      </c>
    </row>
    <row r="325" spans="1:17" x14ac:dyDescent="0.3">
      <c r="A325" s="9" t="s">
        <v>27</v>
      </c>
      <c r="B325" s="10">
        <v>45</v>
      </c>
      <c r="C325" s="10">
        <v>0</v>
      </c>
      <c r="D325" s="10">
        <v>0</v>
      </c>
      <c r="E325" s="10">
        <v>45</v>
      </c>
      <c r="G325" s="9" t="s">
        <v>27</v>
      </c>
      <c r="H325" s="10">
        <v>32</v>
      </c>
      <c r="I325" s="10">
        <v>15</v>
      </c>
      <c r="J325" s="10">
        <v>0</v>
      </c>
      <c r="K325" s="10">
        <v>17</v>
      </c>
      <c r="M325" s="9" t="s">
        <v>27</v>
      </c>
      <c r="N325" s="10">
        <v>37</v>
      </c>
      <c r="O325" s="10">
        <v>18</v>
      </c>
      <c r="P325" s="188">
        <v>0</v>
      </c>
      <c r="Q325" s="10">
        <v>19</v>
      </c>
    </row>
    <row r="326" spans="1:17" x14ac:dyDescent="0.3">
      <c r="A326" s="9" t="s">
        <v>28</v>
      </c>
      <c r="B326" s="10">
        <v>4</v>
      </c>
      <c r="C326" s="10">
        <v>0</v>
      </c>
      <c r="D326" s="10">
        <v>0</v>
      </c>
      <c r="E326" s="10">
        <v>4</v>
      </c>
      <c r="G326" s="9" t="s">
        <v>28</v>
      </c>
      <c r="H326" s="10">
        <v>84</v>
      </c>
      <c r="I326" s="10">
        <v>43</v>
      </c>
      <c r="J326" s="10">
        <v>0</v>
      </c>
      <c r="K326" s="10">
        <v>41</v>
      </c>
      <c r="M326" s="9" t="s">
        <v>28</v>
      </c>
      <c r="N326" s="10">
        <v>67</v>
      </c>
      <c r="O326" s="10">
        <v>37</v>
      </c>
      <c r="P326" s="188">
        <v>0</v>
      </c>
      <c r="Q326" s="10">
        <v>30</v>
      </c>
    </row>
    <row r="327" spans="1:17" x14ac:dyDescent="0.3">
      <c r="A327" s="9" t="s">
        <v>29</v>
      </c>
      <c r="B327" s="10">
        <v>23</v>
      </c>
      <c r="C327" s="10">
        <v>0</v>
      </c>
      <c r="D327" s="10">
        <v>0</v>
      </c>
      <c r="E327" s="10">
        <v>23</v>
      </c>
      <c r="G327" s="9" t="s">
        <v>29</v>
      </c>
      <c r="H327" s="10">
        <v>5</v>
      </c>
      <c r="I327" s="10">
        <v>5</v>
      </c>
      <c r="J327" s="10">
        <v>0</v>
      </c>
      <c r="K327" s="10">
        <v>0</v>
      </c>
      <c r="M327" s="9" t="s">
        <v>29</v>
      </c>
      <c r="N327" s="10">
        <v>14</v>
      </c>
      <c r="O327" s="10">
        <v>14</v>
      </c>
      <c r="P327" s="188">
        <v>0</v>
      </c>
      <c r="Q327" s="10">
        <v>0</v>
      </c>
    </row>
    <row r="328" spans="1:17" x14ac:dyDescent="0.3">
      <c r="A328" s="9" t="s">
        <v>30</v>
      </c>
      <c r="B328" s="10">
        <v>29</v>
      </c>
      <c r="C328" s="10">
        <v>0</v>
      </c>
      <c r="D328" s="10">
        <v>0</v>
      </c>
      <c r="E328" s="10">
        <v>29</v>
      </c>
      <c r="G328" s="9" t="s">
        <v>30</v>
      </c>
      <c r="H328" s="10">
        <v>80</v>
      </c>
      <c r="I328" s="10">
        <v>38</v>
      </c>
      <c r="J328" s="10">
        <v>0</v>
      </c>
      <c r="K328" s="10">
        <v>42</v>
      </c>
      <c r="M328" s="9" t="s">
        <v>30</v>
      </c>
      <c r="N328" s="10">
        <v>80</v>
      </c>
      <c r="O328" s="10">
        <v>45</v>
      </c>
      <c r="P328" s="188">
        <v>0</v>
      </c>
      <c r="Q328" s="10">
        <v>35</v>
      </c>
    </row>
    <row r="329" spans="1:17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G329" s="9" t="s">
        <v>31</v>
      </c>
      <c r="H329" s="10">
        <v>0</v>
      </c>
      <c r="I329" s="10">
        <v>0</v>
      </c>
      <c r="J329" s="10">
        <v>0</v>
      </c>
      <c r="K329" s="10">
        <v>0</v>
      </c>
      <c r="M329" s="9" t="s">
        <v>31</v>
      </c>
      <c r="N329" s="10">
        <v>0</v>
      </c>
      <c r="O329" s="10">
        <v>0</v>
      </c>
      <c r="P329" s="188">
        <v>0</v>
      </c>
      <c r="Q329" s="10">
        <v>0</v>
      </c>
    </row>
    <row r="330" spans="1:17" x14ac:dyDescent="0.3">
      <c r="A330" s="11" t="s">
        <v>32</v>
      </c>
      <c r="B330" s="12">
        <v>80</v>
      </c>
      <c r="C330" s="12">
        <v>37</v>
      </c>
      <c r="D330" s="12">
        <v>0</v>
      </c>
      <c r="E330" s="12">
        <v>43</v>
      </c>
      <c r="G330" s="11" t="s">
        <v>32</v>
      </c>
      <c r="H330" s="12">
        <v>46</v>
      </c>
      <c r="I330" s="12">
        <v>23</v>
      </c>
      <c r="J330" s="12">
        <v>0</v>
      </c>
      <c r="K330" s="12">
        <v>23</v>
      </c>
      <c r="M330" s="11" t="s">
        <v>32</v>
      </c>
      <c r="N330" s="12">
        <v>13</v>
      </c>
      <c r="O330" s="12">
        <v>7</v>
      </c>
      <c r="P330" s="190">
        <v>0</v>
      </c>
      <c r="Q330" s="12">
        <v>6</v>
      </c>
    </row>
    <row r="331" spans="1:17" x14ac:dyDescent="0.3">
      <c r="A331" s="13" t="s">
        <v>33</v>
      </c>
      <c r="B331" s="14">
        <v>46</v>
      </c>
      <c r="C331" s="14">
        <v>23</v>
      </c>
      <c r="D331" s="14">
        <v>0</v>
      </c>
      <c r="E331" s="14">
        <v>23</v>
      </c>
      <c r="G331" s="13" t="s">
        <v>33</v>
      </c>
      <c r="H331" s="14">
        <v>0</v>
      </c>
      <c r="I331" s="14">
        <v>0</v>
      </c>
      <c r="J331" s="14">
        <v>0</v>
      </c>
      <c r="K331" s="14">
        <v>0</v>
      </c>
      <c r="M331" s="13" t="s">
        <v>33</v>
      </c>
      <c r="N331" s="14">
        <v>2</v>
      </c>
      <c r="O331" s="14">
        <v>1</v>
      </c>
      <c r="P331" s="192">
        <v>0</v>
      </c>
      <c r="Q331" s="14">
        <v>1</v>
      </c>
    </row>
    <row r="332" spans="1:17" x14ac:dyDescent="0.3">
      <c r="A332" s="13" t="s">
        <v>34</v>
      </c>
      <c r="B332" s="14">
        <v>34</v>
      </c>
      <c r="C332" s="14">
        <v>14</v>
      </c>
      <c r="D332" s="14">
        <v>0</v>
      </c>
      <c r="E332" s="14">
        <v>20</v>
      </c>
      <c r="G332" s="13" t="s">
        <v>34</v>
      </c>
      <c r="H332" s="14">
        <v>46</v>
      </c>
      <c r="I332" s="14">
        <v>23</v>
      </c>
      <c r="J332" s="14">
        <v>0</v>
      </c>
      <c r="K332" s="14">
        <v>23</v>
      </c>
      <c r="M332" s="13" t="s">
        <v>34</v>
      </c>
      <c r="N332" s="14">
        <v>11</v>
      </c>
      <c r="O332" s="14">
        <v>6</v>
      </c>
      <c r="P332" s="192">
        <v>0</v>
      </c>
      <c r="Q332" s="14">
        <v>5</v>
      </c>
    </row>
    <row r="333" spans="1:17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G333" s="15" t="s">
        <v>35</v>
      </c>
      <c r="H333" s="16">
        <v>1</v>
      </c>
      <c r="I333" s="16">
        <v>0</v>
      </c>
      <c r="J333" s="16">
        <v>0</v>
      </c>
      <c r="K333" s="16">
        <v>1</v>
      </c>
      <c r="M333" s="15" t="s">
        <v>35</v>
      </c>
      <c r="N333" s="16">
        <v>1</v>
      </c>
      <c r="O333" s="16">
        <v>0</v>
      </c>
      <c r="P333" s="194">
        <v>0</v>
      </c>
      <c r="Q333" s="16">
        <v>1</v>
      </c>
    </row>
    <row r="334" spans="1:17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G334" s="17" t="s">
        <v>36</v>
      </c>
      <c r="H334" s="99">
        <v>1</v>
      </c>
      <c r="I334" s="99">
        <v>0</v>
      </c>
      <c r="J334" s="99">
        <v>0</v>
      </c>
      <c r="K334" s="99">
        <v>1</v>
      </c>
      <c r="M334" s="17" t="s">
        <v>36</v>
      </c>
      <c r="N334" s="130">
        <v>1</v>
      </c>
      <c r="O334" s="130">
        <v>0</v>
      </c>
      <c r="P334" s="196">
        <v>0</v>
      </c>
      <c r="Q334" s="130">
        <v>1</v>
      </c>
    </row>
    <row r="335" spans="1:17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G335" s="17" t="s">
        <v>37</v>
      </c>
      <c r="H335" s="99">
        <v>1</v>
      </c>
      <c r="I335" s="99">
        <v>0</v>
      </c>
      <c r="J335" s="99">
        <v>0</v>
      </c>
      <c r="K335" s="99">
        <v>1</v>
      </c>
      <c r="M335" s="17" t="s">
        <v>37</v>
      </c>
      <c r="N335" s="130">
        <v>1</v>
      </c>
      <c r="O335" s="130">
        <v>0</v>
      </c>
      <c r="P335" s="196">
        <v>0</v>
      </c>
      <c r="Q335" s="130">
        <v>1</v>
      </c>
    </row>
    <row r="336" spans="1:17" x14ac:dyDescent="0.3">
      <c r="A336" s="17" t="s">
        <v>38</v>
      </c>
      <c r="B336" s="172" t="s">
        <v>209</v>
      </c>
      <c r="C336" s="173"/>
      <c r="D336" s="173"/>
      <c r="E336" s="173"/>
      <c r="G336" s="17" t="s">
        <v>38</v>
      </c>
      <c r="H336" s="172" t="s">
        <v>151</v>
      </c>
      <c r="I336" s="173"/>
      <c r="J336" s="173"/>
      <c r="K336" s="173"/>
      <c r="M336" s="17" t="s">
        <v>38</v>
      </c>
      <c r="N336" s="172" t="s">
        <v>1600</v>
      </c>
      <c r="O336" s="173"/>
      <c r="P336" s="173"/>
      <c r="Q336" s="173"/>
    </row>
    <row r="337" spans="1:17" ht="19.8" x14ac:dyDescent="0.3">
      <c r="A337" s="171">
        <v>46101</v>
      </c>
      <c r="B337" s="171"/>
      <c r="C337" s="171"/>
      <c r="D337" s="171"/>
      <c r="E337" s="171"/>
      <c r="G337" s="171">
        <v>46132</v>
      </c>
      <c r="H337" s="174"/>
      <c r="I337" s="174"/>
      <c r="J337" s="174"/>
      <c r="K337" s="174"/>
      <c r="M337" s="171">
        <v>46163</v>
      </c>
      <c r="N337" s="171"/>
      <c r="O337" s="171"/>
      <c r="P337" s="171"/>
      <c r="Q337" s="171"/>
    </row>
    <row r="338" spans="1:17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G338" s="1" t="s">
        <v>0</v>
      </c>
      <c r="H338" s="1" t="s">
        <v>1</v>
      </c>
      <c r="I338" s="1" t="s">
        <v>2</v>
      </c>
      <c r="J338" s="1" t="s">
        <v>3</v>
      </c>
      <c r="K338" s="1" t="s">
        <v>40</v>
      </c>
      <c r="M338" s="1" t="s">
        <v>0</v>
      </c>
      <c r="N338" s="1" t="s">
        <v>1</v>
      </c>
      <c r="O338" s="1" t="s">
        <v>2</v>
      </c>
      <c r="P338" s="179" t="s">
        <v>3</v>
      </c>
      <c r="Q338" s="1" t="s">
        <v>40</v>
      </c>
    </row>
    <row r="339" spans="1:17" x14ac:dyDescent="0.3">
      <c r="A339" s="2" t="s">
        <v>5</v>
      </c>
      <c r="B339" s="3">
        <v>3024</v>
      </c>
      <c r="C339" s="3">
        <v>1685</v>
      </c>
      <c r="D339" s="3">
        <v>0</v>
      </c>
      <c r="E339" s="3">
        <v>1339</v>
      </c>
      <c r="G339" s="2" t="s">
        <v>5</v>
      </c>
      <c r="H339" s="3">
        <v>1820</v>
      </c>
      <c r="I339" s="3">
        <v>876</v>
      </c>
      <c r="J339" s="3">
        <v>0</v>
      </c>
      <c r="K339" s="3">
        <v>944</v>
      </c>
      <c r="M339" s="2" t="s">
        <v>5</v>
      </c>
      <c r="N339" s="3">
        <v>3001</v>
      </c>
      <c r="O339" s="3">
        <v>1537</v>
      </c>
      <c r="P339" s="181">
        <v>0</v>
      </c>
      <c r="Q339" s="3">
        <v>1464</v>
      </c>
    </row>
    <row r="340" spans="1:17" x14ac:dyDescent="0.3">
      <c r="A340" s="2" t="s">
        <v>6</v>
      </c>
      <c r="B340" s="3">
        <v>133</v>
      </c>
      <c r="C340" s="6">
        <v>46</v>
      </c>
      <c r="D340" s="3">
        <v>0</v>
      </c>
      <c r="E340" s="5">
        <v>87</v>
      </c>
      <c r="G340" s="2" t="s">
        <v>6</v>
      </c>
      <c r="H340" s="3">
        <v>185</v>
      </c>
      <c r="I340" s="6">
        <v>84</v>
      </c>
      <c r="J340" s="3">
        <v>0</v>
      </c>
      <c r="K340" s="5">
        <v>101</v>
      </c>
      <c r="M340" s="2" t="s">
        <v>6</v>
      </c>
      <c r="N340" s="3">
        <v>288</v>
      </c>
      <c r="O340" s="5">
        <v>161</v>
      </c>
      <c r="P340" s="181">
        <v>0</v>
      </c>
      <c r="Q340" s="6">
        <v>127</v>
      </c>
    </row>
    <row r="341" spans="1:17" x14ac:dyDescent="0.3">
      <c r="A341" s="2" t="s">
        <v>7</v>
      </c>
      <c r="B341" s="3" t="s">
        <v>660</v>
      </c>
      <c r="C341" s="6" t="s">
        <v>398</v>
      </c>
      <c r="D341" s="3">
        <v>0</v>
      </c>
      <c r="E341" s="5" t="s">
        <v>892</v>
      </c>
      <c r="G341" s="2" t="s">
        <v>7</v>
      </c>
      <c r="H341" s="3" t="s">
        <v>112</v>
      </c>
      <c r="I341" s="6" t="s">
        <v>1558</v>
      </c>
      <c r="J341" s="3">
        <v>0</v>
      </c>
      <c r="K341" s="5" t="s">
        <v>1559</v>
      </c>
      <c r="M341" s="2" t="s">
        <v>7</v>
      </c>
      <c r="N341" s="3" t="s">
        <v>1969</v>
      </c>
      <c r="O341" s="5" t="s">
        <v>1302</v>
      </c>
      <c r="P341" s="181">
        <v>0</v>
      </c>
      <c r="Q341" s="6" t="s">
        <v>128</v>
      </c>
    </row>
    <row r="342" spans="1:17" x14ac:dyDescent="0.3">
      <c r="A342" s="2" t="s">
        <v>12</v>
      </c>
      <c r="B342" s="3" t="s">
        <v>117</v>
      </c>
      <c r="C342" s="6" t="s">
        <v>268</v>
      </c>
      <c r="D342" s="3">
        <v>0</v>
      </c>
      <c r="E342" s="5" t="s">
        <v>495</v>
      </c>
      <c r="G342" s="2" t="s">
        <v>12</v>
      </c>
      <c r="H342" s="3" t="s">
        <v>807</v>
      </c>
      <c r="I342" s="6" t="s">
        <v>1513</v>
      </c>
      <c r="J342" s="3">
        <v>0</v>
      </c>
      <c r="K342" s="5" t="s">
        <v>21</v>
      </c>
      <c r="M342" s="2" t="s">
        <v>12</v>
      </c>
      <c r="N342" s="3" t="s">
        <v>308</v>
      </c>
      <c r="O342" s="5" t="s">
        <v>336</v>
      </c>
      <c r="P342" s="181">
        <v>0</v>
      </c>
      <c r="Q342" s="6" t="s">
        <v>1970</v>
      </c>
    </row>
    <row r="343" spans="1:17" x14ac:dyDescent="0.3">
      <c r="A343" s="2" t="s">
        <v>17</v>
      </c>
      <c r="B343" s="3" t="s">
        <v>525</v>
      </c>
      <c r="C343" s="6" t="s">
        <v>803</v>
      </c>
      <c r="D343" s="3" t="s">
        <v>25</v>
      </c>
      <c r="E343" s="5" t="s">
        <v>511</v>
      </c>
      <c r="G343" s="2" t="s">
        <v>17</v>
      </c>
      <c r="H343" s="3" t="s">
        <v>122</v>
      </c>
      <c r="I343" s="6" t="s">
        <v>49</v>
      </c>
      <c r="J343" s="3" t="s">
        <v>25</v>
      </c>
      <c r="K343" s="5" t="s">
        <v>146</v>
      </c>
      <c r="M343" s="2" t="s">
        <v>17</v>
      </c>
      <c r="N343" s="3" t="s">
        <v>503</v>
      </c>
      <c r="O343" s="5" t="s">
        <v>1318</v>
      </c>
      <c r="P343" s="181" t="s">
        <v>25</v>
      </c>
      <c r="Q343" s="6" t="s">
        <v>126</v>
      </c>
    </row>
    <row r="344" spans="1:17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G344" s="2" t="s">
        <v>22</v>
      </c>
      <c r="H344" s="3" t="s">
        <v>25</v>
      </c>
      <c r="I344" s="3" t="s">
        <v>25</v>
      </c>
      <c r="J344" s="3" t="s">
        <v>25</v>
      </c>
      <c r="K344" s="3" t="s">
        <v>25</v>
      </c>
      <c r="M344" s="2" t="s">
        <v>22</v>
      </c>
      <c r="N344" s="3" t="s">
        <v>25</v>
      </c>
      <c r="O344" s="3" t="s">
        <v>25</v>
      </c>
      <c r="P344" s="181" t="s">
        <v>25</v>
      </c>
      <c r="Q344" s="3" t="s">
        <v>25</v>
      </c>
    </row>
    <row r="345" spans="1:17" x14ac:dyDescent="0.3">
      <c r="A345" s="7" t="s">
        <v>26</v>
      </c>
      <c r="B345" s="8">
        <v>53</v>
      </c>
      <c r="C345" s="8">
        <v>1</v>
      </c>
      <c r="D345" s="8">
        <v>0</v>
      </c>
      <c r="E345" s="8">
        <v>52</v>
      </c>
      <c r="G345" s="7" t="s">
        <v>26</v>
      </c>
      <c r="H345" s="8">
        <v>180</v>
      </c>
      <c r="I345" s="8">
        <v>83</v>
      </c>
      <c r="J345" s="8">
        <v>0</v>
      </c>
      <c r="K345" s="8">
        <v>97</v>
      </c>
      <c r="M345" s="7" t="s">
        <v>26</v>
      </c>
      <c r="N345" s="8">
        <v>215</v>
      </c>
      <c r="O345" s="8">
        <v>120</v>
      </c>
      <c r="P345" s="186">
        <v>0</v>
      </c>
      <c r="Q345" s="8">
        <v>95</v>
      </c>
    </row>
    <row r="346" spans="1:17" x14ac:dyDescent="0.3">
      <c r="A346" s="9" t="s">
        <v>27</v>
      </c>
      <c r="B346" s="10">
        <v>33</v>
      </c>
      <c r="C346" s="10">
        <v>1</v>
      </c>
      <c r="D346" s="10">
        <v>0</v>
      </c>
      <c r="E346" s="10">
        <v>32</v>
      </c>
      <c r="G346" s="9" t="s">
        <v>27</v>
      </c>
      <c r="H346" s="10">
        <v>28</v>
      </c>
      <c r="I346" s="10">
        <v>11</v>
      </c>
      <c r="J346" s="10">
        <v>0</v>
      </c>
      <c r="K346" s="10">
        <v>17</v>
      </c>
      <c r="M346" s="9" t="s">
        <v>27</v>
      </c>
      <c r="N346" s="10">
        <v>24</v>
      </c>
      <c r="O346" s="10">
        <v>11</v>
      </c>
      <c r="P346" s="188">
        <v>0</v>
      </c>
      <c r="Q346" s="10">
        <v>13</v>
      </c>
    </row>
    <row r="347" spans="1:17" x14ac:dyDescent="0.3">
      <c r="A347" s="9" t="s">
        <v>28</v>
      </c>
      <c r="B347" s="10">
        <v>1</v>
      </c>
      <c r="C347" s="10">
        <v>0</v>
      </c>
      <c r="D347" s="10">
        <v>0</v>
      </c>
      <c r="E347" s="10">
        <v>1</v>
      </c>
      <c r="G347" s="9" t="s">
        <v>28</v>
      </c>
      <c r="H347" s="10">
        <v>82</v>
      </c>
      <c r="I347" s="10">
        <v>34</v>
      </c>
      <c r="J347" s="10">
        <v>0</v>
      </c>
      <c r="K347" s="10">
        <v>48</v>
      </c>
      <c r="M347" s="9" t="s">
        <v>28</v>
      </c>
      <c r="N347" s="10">
        <v>95</v>
      </c>
      <c r="O347" s="10">
        <v>55</v>
      </c>
      <c r="P347" s="188">
        <v>0</v>
      </c>
      <c r="Q347" s="10">
        <v>40</v>
      </c>
    </row>
    <row r="348" spans="1:17" x14ac:dyDescent="0.3">
      <c r="A348" s="9" t="s">
        <v>29</v>
      </c>
      <c r="B348" s="10">
        <v>1</v>
      </c>
      <c r="C348" s="10">
        <v>0</v>
      </c>
      <c r="D348" s="10">
        <v>0</v>
      </c>
      <c r="E348" s="10">
        <v>1</v>
      </c>
      <c r="G348" s="9" t="s">
        <v>29</v>
      </c>
      <c r="H348" s="10">
        <v>5</v>
      </c>
      <c r="I348" s="10">
        <v>5</v>
      </c>
      <c r="J348" s="10">
        <v>0</v>
      </c>
      <c r="K348" s="10">
        <v>0</v>
      </c>
      <c r="M348" s="9" t="s">
        <v>29</v>
      </c>
      <c r="N348" s="10">
        <v>8</v>
      </c>
      <c r="O348" s="10">
        <v>8</v>
      </c>
      <c r="P348" s="188">
        <v>0</v>
      </c>
      <c r="Q348" s="10">
        <v>0</v>
      </c>
    </row>
    <row r="349" spans="1:17" x14ac:dyDescent="0.3">
      <c r="A349" s="9" t="s">
        <v>30</v>
      </c>
      <c r="B349" s="10">
        <v>18</v>
      </c>
      <c r="C349" s="10">
        <v>0</v>
      </c>
      <c r="D349" s="10">
        <v>0</v>
      </c>
      <c r="E349" s="10">
        <v>18</v>
      </c>
      <c r="G349" s="9" t="s">
        <v>30</v>
      </c>
      <c r="H349" s="10">
        <v>65</v>
      </c>
      <c r="I349" s="10">
        <v>33</v>
      </c>
      <c r="J349" s="10">
        <v>0</v>
      </c>
      <c r="K349" s="10">
        <v>32</v>
      </c>
      <c r="M349" s="9" t="s">
        <v>30</v>
      </c>
      <c r="N349" s="10">
        <v>88</v>
      </c>
      <c r="O349" s="10">
        <v>46</v>
      </c>
      <c r="P349" s="188">
        <v>0</v>
      </c>
      <c r="Q349" s="10">
        <v>42</v>
      </c>
    </row>
    <row r="350" spans="1:17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G350" s="9" t="s">
        <v>31</v>
      </c>
      <c r="H350" s="10">
        <v>0</v>
      </c>
      <c r="I350" s="10">
        <v>0</v>
      </c>
      <c r="J350" s="10">
        <v>0</v>
      </c>
      <c r="K350" s="10">
        <v>0</v>
      </c>
      <c r="M350" s="9" t="s">
        <v>31</v>
      </c>
      <c r="N350" s="10">
        <v>0</v>
      </c>
      <c r="O350" s="10">
        <v>0</v>
      </c>
      <c r="P350" s="188">
        <v>0</v>
      </c>
      <c r="Q350" s="10">
        <v>0</v>
      </c>
    </row>
    <row r="351" spans="1:17" x14ac:dyDescent="0.3">
      <c r="A351" s="11" t="s">
        <v>32</v>
      </c>
      <c r="B351" s="12">
        <v>62</v>
      </c>
      <c r="C351" s="12">
        <v>34</v>
      </c>
      <c r="D351" s="12">
        <v>0</v>
      </c>
      <c r="E351" s="12">
        <v>28</v>
      </c>
      <c r="G351" s="11" t="s">
        <v>32</v>
      </c>
      <c r="H351" s="12">
        <v>4</v>
      </c>
      <c r="I351" s="12">
        <v>1</v>
      </c>
      <c r="J351" s="12">
        <v>0</v>
      </c>
      <c r="K351" s="12">
        <v>3</v>
      </c>
      <c r="M351" s="11" t="s">
        <v>32</v>
      </c>
      <c r="N351" s="12">
        <v>71</v>
      </c>
      <c r="O351" s="12">
        <v>40</v>
      </c>
      <c r="P351" s="190">
        <v>0</v>
      </c>
      <c r="Q351" s="12">
        <v>31</v>
      </c>
    </row>
    <row r="352" spans="1:17" x14ac:dyDescent="0.3">
      <c r="A352" s="13" t="s">
        <v>33</v>
      </c>
      <c r="B352" s="14">
        <v>1</v>
      </c>
      <c r="C352" s="14">
        <v>0</v>
      </c>
      <c r="D352" s="14">
        <v>0</v>
      </c>
      <c r="E352" s="14">
        <v>1</v>
      </c>
      <c r="G352" s="13" t="s">
        <v>33</v>
      </c>
      <c r="H352" s="14">
        <v>0</v>
      </c>
      <c r="I352" s="14">
        <v>0</v>
      </c>
      <c r="J352" s="14">
        <v>0</v>
      </c>
      <c r="K352" s="14">
        <v>0</v>
      </c>
      <c r="M352" s="13" t="s">
        <v>33</v>
      </c>
      <c r="N352" s="14">
        <v>0</v>
      </c>
      <c r="O352" s="14">
        <v>0</v>
      </c>
      <c r="P352" s="192">
        <v>0</v>
      </c>
      <c r="Q352" s="14">
        <v>0</v>
      </c>
    </row>
    <row r="353" spans="1:17" x14ac:dyDescent="0.3">
      <c r="A353" s="13" t="s">
        <v>34</v>
      </c>
      <c r="B353" s="14">
        <v>61</v>
      </c>
      <c r="C353" s="14">
        <v>34</v>
      </c>
      <c r="D353" s="14">
        <v>0</v>
      </c>
      <c r="E353" s="14">
        <v>27</v>
      </c>
      <c r="G353" s="13" t="s">
        <v>34</v>
      </c>
      <c r="H353" s="14">
        <v>4</v>
      </c>
      <c r="I353" s="14">
        <v>1</v>
      </c>
      <c r="J353" s="14">
        <v>0</v>
      </c>
      <c r="K353" s="14">
        <v>3</v>
      </c>
      <c r="M353" s="13" t="s">
        <v>34</v>
      </c>
      <c r="N353" s="14">
        <v>71</v>
      </c>
      <c r="O353" s="14">
        <v>40</v>
      </c>
      <c r="P353" s="192">
        <v>0</v>
      </c>
      <c r="Q353" s="14">
        <v>31</v>
      </c>
    </row>
    <row r="354" spans="1:17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G354" s="15" t="s">
        <v>35</v>
      </c>
      <c r="H354" s="16">
        <v>0</v>
      </c>
      <c r="I354" s="16">
        <v>0</v>
      </c>
      <c r="J354" s="16">
        <v>0</v>
      </c>
      <c r="K354" s="16">
        <v>0</v>
      </c>
      <c r="M354" s="15" t="s">
        <v>35</v>
      </c>
      <c r="N354" s="16">
        <v>0</v>
      </c>
      <c r="O354" s="16">
        <v>0</v>
      </c>
      <c r="P354" s="194">
        <v>0</v>
      </c>
      <c r="Q354" s="16">
        <v>0</v>
      </c>
    </row>
    <row r="355" spans="1:17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G355" s="17" t="s">
        <v>36</v>
      </c>
      <c r="H355" s="99">
        <v>0</v>
      </c>
      <c r="I355" s="99">
        <v>0</v>
      </c>
      <c r="J355" s="99">
        <v>0</v>
      </c>
      <c r="K355" s="99">
        <v>0</v>
      </c>
      <c r="M355" s="17" t="s">
        <v>36</v>
      </c>
      <c r="N355" s="138">
        <v>0</v>
      </c>
      <c r="O355" s="138">
        <v>0</v>
      </c>
      <c r="P355" s="196">
        <v>0</v>
      </c>
      <c r="Q355" s="138">
        <v>0</v>
      </c>
    </row>
    <row r="356" spans="1:17" x14ac:dyDescent="0.3">
      <c r="A356" s="17" t="s">
        <v>37</v>
      </c>
      <c r="B356" s="18">
        <v>0</v>
      </c>
      <c r="C356" s="18">
        <v>0</v>
      </c>
      <c r="D356" s="18">
        <v>0</v>
      </c>
      <c r="E356" s="18">
        <v>0</v>
      </c>
      <c r="G356" s="17" t="s">
        <v>37</v>
      </c>
      <c r="H356" s="99">
        <v>0</v>
      </c>
      <c r="I356" s="99">
        <v>0</v>
      </c>
      <c r="J356" s="99">
        <v>0</v>
      </c>
      <c r="K356" s="99">
        <v>0</v>
      </c>
      <c r="M356" s="17" t="s">
        <v>37</v>
      </c>
      <c r="N356" s="138">
        <v>0</v>
      </c>
      <c r="O356" s="138">
        <v>0</v>
      </c>
      <c r="P356" s="196">
        <v>0</v>
      </c>
      <c r="Q356" s="138">
        <v>0</v>
      </c>
    </row>
    <row r="357" spans="1:17" x14ac:dyDescent="0.3">
      <c r="A357" s="17" t="s">
        <v>38</v>
      </c>
      <c r="B357" s="172" t="s">
        <v>209</v>
      </c>
      <c r="C357" s="173"/>
      <c r="D357" s="173"/>
      <c r="E357" s="173"/>
      <c r="G357" s="17" t="s">
        <v>38</v>
      </c>
      <c r="H357" s="172" t="s">
        <v>209</v>
      </c>
      <c r="I357" s="173"/>
      <c r="J357" s="173"/>
      <c r="K357" s="173"/>
      <c r="M357" s="17" t="s">
        <v>38</v>
      </c>
      <c r="N357" s="172" t="s">
        <v>1600</v>
      </c>
      <c r="O357" s="173"/>
      <c r="P357" s="173"/>
      <c r="Q357" s="173"/>
    </row>
    <row r="358" spans="1:17" ht="19.8" x14ac:dyDescent="0.3">
      <c r="A358" s="171">
        <v>46102</v>
      </c>
      <c r="B358" s="171"/>
      <c r="C358" s="171"/>
      <c r="D358" s="171"/>
      <c r="E358" s="171"/>
      <c r="G358" s="171">
        <v>46133</v>
      </c>
      <c r="H358" s="171"/>
      <c r="I358" s="171"/>
      <c r="J358" s="171"/>
      <c r="K358" s="171"/>
      <c r="M358" s="171">
        <v>46164</v>
      </c>
      <c r="N358" s="171"/>
      <c r="O358" s="171"/>
      <c r="P358" s="171"/>
      <c r="Q358" s="171"/>
    </row>
    <row r="359" spans="1:17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G359" s="1" t="s">
        <v>0</v>
      </c>
      <c r="H359" s="1" t="s">
        <v>1</v>
      </c>
      <c r="I359" s="1" t="s">
        <v>2</v>
      </c>
      <c r="J359" s="1" t="s">
        <v>3</v>
      </c>
      <c r="K359" s="1" t="s">
        <v>40</v>
      </c>
      <c r="M359" s="1" t="s">
        <v>0</v>
      </c>
      <c r="N359" s="1" t="s">
        <v>1</v>
      </c>
      <c r="O359" s="1" t="s">
        <v>2</v>
      </c>
      <c r="P359" s="179" t="s">
        <v>3</v>
      </c>
      <c r="Q359" s="1" t="s">
        <v>40</v>
      </c>
    </row>
    <row r="360" spans="1:17" x14ac:dyDescent="0.3">
      <c r="A360" s="2" t="s">
        <v>5</v>
      </c>
      <c r="B360" s="3">
        <v>2229</v>
      </c>
      <c r="C360" s="3">
        <v>1218</v>
      </c>
      <c r="D360" s="3">
        <v>0</v>
      </c>
      <c r="E360" s="3">
        <v>1011</v>
      </c>
      <c r="G360" s="2" t="s">
        <v>5</v>
      </c>
      <c r="H360" s="3">
        <v>3150</v>
      </c>
      <c r="I360" s="3">
        <v>1536</v>
      </c>
      <c r="J360" s="3">
        <v>0</v>
      </c>
      <c r="K360" s="3">
        <v>1614</v>
      </c>
      <c r="M360" s="2" t="s">
        <v>5</v>
      </c>
      <c r="N360" s="3">
        <v>2837</v>
      </c>
      <c r="O360" s="3">
        <v>1418</v>
      </c>
      <c r="P360" s="181">
        <v>0</v>
      </c>
      <c r="Q360" s="3">
        <v>1419</v>
      </c>
    </row>
    <row r="361" spans="1:17" x14ac:dyDescent="0.3">
      <c r="A361" s="2" t="s">
        <v>6</v>
      </c>
      <c r="B361" s="3">
        <v>96</v>
      </c>
      <c r="C361" s="6">
        <v>14</v>
      </c>
      <c r="D361" s="3">
        <v>0</v>
      </c>
      <c r="E361" s="5">
        <v>82</v>
      </c>
      <c r="G361" s="2" t="s">
        <v>6</v>
      </c>
      <c r="H361" s="3">
        <v>450</v>
      </c>
      <c r="I361" s="6">
        <v>224</v>
      </c>
      <c r="J361" s="3">
        <v>0</v>
      </c>
      <c r="K361" s="5">
        <v>226</v>
      </c>
      <c r="M361" s="2" t="s">
        <v>6</v>
      </c>
      <c r="N361" s="3">
        <v>435</v>
      </c>
      <c r="O361" s="5">
        <v>237</v>
      </c>
      <c r="P361" s="181">
        <v>0</v>
      </c>
      <c r="Q361" s="6">
        <v>198</v>
      </c>
    </row>
    <row r="362" spans="1:17" x14ac:dyDescent="0.3">
      <c r="A362" s="2" t="s">
        <v>7</v>
      </c>
      <c r="B362" s="3" t="s">
        <v>144</v>
      </c>
      <c r="C362" s="6" t="s">
        <v>417</v>
      </c>
      <c r="D362" s="3">
        <v>0</v>
      </c>
      <c r="E362" s="5" t="s">
        <v>893</v>
      </c>
      <c r="G362" s="2" t="s">
        <v>7</v>
      </c>
      <c r="H362" s="3" t="s">
        <v>554</v>
      </c>
      <c r="I362" s="5" t="s">
        <v>1588</v>
      </c>
      <c r="J362" s="3">
        <v>0</v>
      </c>
      <c r="K362" s="6" t="s">
        <v>1589</v>
      </c>
      <c r="M362" s="2" t="s">
        <v>7</v>
      </c>
      <c r="N362" s="3" t="s">
        <v>1975</v>
      </c>
      <c r="O362" s="5" t="s">
        <v>1976</v>
      </c>
      <c r="P362" s="181">
        <v>0</v>
      </c>
      <c r="Q362" s="6" t="s">
        <v>1385</v>
      </c>
    </row>
    <row r="363" spans="1:17" x14ac:dyDescent="0.3">
      <c r="A363" s="2" t="s">
        <v>12</v>
      </c>
      <c r="B363" s="3" t="s">
        <v>453</v>
      </c>
      <c r="C363" s="3" t="s">
        <v>25</v>
      </c>
      <c r="D363" s="3">
        <v>0</v>
      </c>
      <c r="E363" s="5" t="s">
        <v>894</v>
      </c>
      <c r="G363" s="2" t="s">
        <v>12</v>
      </c>
      <c r="H363" s="3" t="s">
        <v>589</v>
      </c>
      <c r="I363" s="5" t="s">
        <v>1590</v>
      </c>
      <c r="J363" s="3">
        <v>0</v>
      </c>
      <c r="K363" s="6" t="s">
        <v>1591</v>
      </c>
      <c r="M363" s="2" t="s">
        <v>12</v>
      </c>
      <c r="N363" s="3" t="s">
        <v>1977</v>
      </c>
      <c r="O363" s="5" t="s">
        <v>341</v>
      </c>
      <c r="P363" s="181">
        <v>0</v>
      </c>
      <c r="Q363" s="6" t="s">
        <v>1599</v>
      </c>
    </row>
    <row r="364" spans="1:17" x14ac:dyDescent="0.3">
      <c r="A364" s="2" t="s">
        <v>17</v>
      </c>
      <c r="B364" s="3" t="s">
        <v>354</v>
      </c>
      <c r="C364" s="6" t="s">
        <v>76</v>
      </c>
      <c r="D364" s="3" t="s">
        <v>25</v>
      </c>
      <c r="E364" s="5" t="s">
        <v>66</v>
      </c>
      <c r="G364" s="2" t="s">
        <v>17</v>
      </c>
      <c r="H364" s="3" t="s">
        <v>146</v>
      </c>
      <c r="I364" s="6" t="s">
        <v>101</v>
      </c>
      <c r="J364" s="3" t="s">
        <v>25</v>
      </c>
      <c r="K364" s="5" t="s">
        <v>200</v>
      </c>
      <c r="M364" s="2" t="s">
        <v>17</v>
      </c>
      <c r="N364" s="3" t="s">
        <v>116</v>
      </c>
      <c r="O364" s="6" t="s">
        <v>126</v>
      </c>
      <c r="P364" s="181" t="s">
        <v>25</v>
      </c>
      <c r="Q364" s="5" t="s">
        <v>742</v>
      </c>
    </row>
    <row r="365" spans="1:17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G365" s="2" t="s">
        <v>22</v>
      </c>
      <c r="H365" s="3" t="s">
        <v>552</v>
      </c>
      <c r="I365" s="5" t="s">
        <v>138</v>
      </c>
      <c r="J365" s="3" t="s">
        <v>25</v>
      </c>
      <c r="K365" s="3" t="s">
        <v>25</v>
      </c>
      <c r="M365" s="2" t="s">
        <v>22</v>
      </c>
      <c r="N365" s="3" t="s">
        <v>25</v>
      </c>
      <c r="O365" s="3" t="s">
        <v>25</v>
      </c>
      <c r="P365" s="181" t="s">
        <v>25</v>
      </c>
      <c r="Q365" s="3" t="s">
        <v>25</v>
      </c>
    </row>
    <row r="366" spans="1:17" x14ac:dyDescent="0.3">
      <c r="A366" s="7" t="s">
        <v>26</v>
      </c>
      <c r="B366" s="8">
        <v>71</v>
      </c>
      <c r="C366" s="8">
        <v>0</v>
      </c>
      <c r="D366" s="8">
        <v>0</v>
      </c>
      <c r="E366" s="8">
        <v>71</v>
      </c>
      <c r="G366" s="7" t="s">
        <v>26</v>
      </c>
      <c r="H366" s="8">
        <v>439</v>
      </c>
      <c r="I366" s="8">
        <v>220</v>
      </c>
      <c r="J366" s="8">
        <v>0</v>
      </c>
      <c r="K366" s="8">
        <v>219</v>
      </c>
      <c r="M366" s="7" t="s">
        <v>26</v>
      </c>
      <c r="N366" s="8">
        <v>365</v>
      </c>
      <c r="O366" s="8">
        <v>207</v>
      </c>
      <c r="P366" s="186">
        <v>0</v>
      </c>
      <c r="Q366" s="8">
        <v>158</v>
      </c>
    </row>
    <row r="367" spans="1:17" x14ac:dyDescent="0.3">
      <c r="A367" s="9" t="s">
        <v>27</v>
      </c>
      <c r="B367" s="10">
        <v>39</v>
      </c>
      <c r="C367" s="10">
        <v>0</v>
      </c>
      <c r="D367" s="10">
        <v>0</v>
      </c>
      <c r="E367" s="10">
        <v>39</v>
      </c>
      <c r="G367" s="9" t="s">
        <v>27</v>
      </c>
      <c r="H367" s="10">
        <v>34</v>
      </c>
      <c r="I367" s="10">
        <v>17</v>
      </c>
      <c r="J367" s="10">
        <v>0</v>
      </c>
      <c r="K367" s="10">
        <v>17</v>
      </c>
      <c r="M367" s="9" t="s">
        <v>27</v>
      </c>
      <c r="N367" s="10">
        <v>31</v>
      </c>
      <c r="O367" s="10">
        <v>19</v>
      </c>
      <c r="P367" s="188">
        <v>0</v>
      </c>
      <c r="Q367" s="10">
        <v>12</v>
      </c>
    </row>
    <row r="368" spans="1:17" x14ac:dyDescent="0.3">
      <c r="A368" s="9" t="s">
        <v>28</v>
      </c>
      <c r="B368" s="10">
        <v>2</v>
      </c>
      <c r="C368" s="10">
        <v>0</v>
      </c>
      <c r="D368" s="10">
        <v>0</v>
      </c>
      <c r="E368" s="10">
        <v>2</v>
      </c>
      <c r="G368" s="9" t="s">
        <v>28</v>
      </c>
      <c r="H368" s="10">
        <v>277</v>
      </c>
      <c r="I368" s="10">
        <v>124</v>
      </c>
      <c r="J368" s="10">
        <v>0</v>
      </c>
      <c r="K368" s="10">
        <v>153</v>
      </c>
      <c r="M368" s="9" t="s">
        <v>28</v>
      </c>
      <c r="N368" s="10">
        <v>175</v>
      </c>
      <c r="O368" s="10">
        <v>105</v>
      </c>
      <c r="P368" s="188">
        <v>0</v>
      </c>
      <c r="Q368" s="10">
        <v>70</v>
      </c>
    </row>
    <row r="369" spans="1:17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G369" s="9" t="s">
        <v>29</v>
      </c>
      <c r="H369" s="10">
        <v>9</v>
      </c>
      <c r="I369" s="10">
        <v>9</v>
      </c>
      <c r="J369" s="10">
        <v>0</v>
      </c>
      <c r="K369" s="10">
        <v>0</v>
      </c>
      <c r="M369" s="9" t="s">
        <v>29</v>
      </c>
      <c r="N369" s="10">
        <v>15</v>
      </c>
      <c r="O369" s="10">
        <v>15</v>
      </c>
      <c r="P369" s="188">
        <v>0</v>
      </c>
      <c r="Q369" s="10">
        <v>0</v>
      </c>
    </row>
    <row r="370" spans="1:17" x14ac:dyDescent="0.3">
      <c r="A370" s="9" t="s">
        <v>30</v>
      </c>
      <c r="B370" s="10">
        <v>30</v>
      </c>
      <c r="C370" s="10">
        <v>0</v>
      </c>
      <c r="D370" s="10">
        <v>0</v>
      </c>
      <c r="E370" s="10">
        <v>30</v>
      </c>
      <c r="G370" s="9" t="s">
        <v>30</v>
      </c>
      <c r="H370" s="10">
        <v>119</v>
      </c>
      <c r="I370" s="10">
        <v>70</v>
      </c>
      <c r="J370" s="10">
        <v>0</v>
      </c>
      <c r="K370" s="10">
        <v>49</v>
      </c>
      <c r="M370" s="9" t="s">
        <v>30</v>
      </c>
      <c r="N370" s="10">
        <v>144</v>
      </c>
      <c r="O370" s="10">
        <v>68</v>
      </c>
      <c r="P370" s="188">
        <v>0</v>
      </c>
      <c r="Q370" s="10">
        <v>76</v>
      </c>
    </row>
    <row r="371" spans="1:17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G371" s="9" t="s">
        <v>31</v>
      </c>
      <c r="H371" s="10">
        <v>0</v>
      </c>
      <c r="I371" s="10">
        <v>0</v>
      </c>
      <c r="J371" s="10">
        <v>0</v>
      </c>
      <c r="K371" s="10">
        <v>0</v>
      </c>
      <c r="M371" s="9" t="s">
        <v>31</v>
      </c>
      <c r="N371" s="10">
        <v>0</v>
      </c>
      <c r="O371" s="10">
        <v>0</v>
      </c>
      <c r="P371" s="188">
        <v>0</v>
      </c>
      <c r="Q371" s="10">
        <v>0</v>
      </c>
    </row>
    <row r="372" spans="1:17" x14ac:dyDescent="0.3">
      <c r="A372" s="11" t="s">
        <v>32</v>
      </c>
      <c r="B372" s="12">
        <v>12</v>
      </c>
      <c r="C372" s="12">
        <v>6</v>
      </c>
      <c r="D372" s="12">
        <v>0</v>
      </c>
      <c r="E372" s="12">
        <v>6</v>
      </c>
      <c r="G372" s="11" t="s">
        <v>32</v>
      </c>
      <c r="H372" s="12">
        <v>10</v>
      </c>
      <c r="I372" s="12">
        <v>4</v>
      </c>
      <c r="J372" s="12">
        <v>0</v>
      </c>
      <c r="K372" s="12">
        <v>6</v>
      </c>
      <c r="M372" s="11" t="s">
        <v>32</v>
      </c>
      <c r="N372" s="12">
        <v>70</v>
      </c>
      <c r="O372" s="12">
        <v>30</v>
      </c>
      <c r="P372" s="190">
        <v>0</v>
      </c>
      <c r="Q372" s="12">
        <v>40</v>
      </c>
    </row>
    <row r="373" spans="1:17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G373" s="13" t="s">
        <v>33</v>
      </c>
      <c r="H373" s="14">
        <v>0</v>
      </c>
      <c r="I373" s="14">
        <v>0</v>
      </c>
      <c r="J373" s="14">
        <v>0</v>
      </c>
      <c r="K373" s="14">
        <v>0</v>
      </c>
      <c r="M373" s="13" t="s">
        <v>33</v>
      </c>
      <c r="N373" s="14">
        <v>3</v>
      </c>
      <c r="O373" s="14">
        <v>1</v>
      </c>
      <c r="P373" s="192">
        <v>0</v>
      </c>
      <c r="Q373" s="14">
        <v>2</v>
      </c>
    </row>
    <row r="374" spans="1:17" x14ac:dyDescent="0.3">
      <c r="A374" s="13" t="s">
        <v>34</v>
      </c>
      <c r="B374" s="14">
        <v>12</v>
      </c>
      <c r="C374" s="14">
        <v>6</v>
      </c>
      <c r="D374" s="14">
        <v>0</v>
      </c>
      <c r="E374" s="14">
        <v>6</v>
      </c>
      <c r="G374" s="13" t="s">
        <v>34</v>
      </c>
      <c r="H374" s="14">
        <v>10</v>
      </c>
      <c r="I374" s="14">
        <v>4</v>
      </c>
      <c r="J374" s="14">
        <v>0</v>
      </c>
      <c r="K374" s="14">
        <v>6</v>
      </c>
      <c r="M374" s="13" t="s">
        <v>34</v>
      </c>
      <c r="N374" s="14">
        <v>67</v>
      </c>
      <c r="O374" s="14">
        <v>29</v>
      </c>
      <c r="P374" s="192">
        <v>0</v>
      </c>
      <c r="Q374" s="14">
        <v>38</v>
      </c>
    </row>
    <row r="375" spans="1:17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G375" s="15" t="s">
        <v>35</v>
      </c>
      <c r="H375" s="16">
        <v>1</v>
      </c>
      <c r="I375" s="16">
        <v>1</v>
      </c>
      <c r="J375" s="16">
        <v>0</v>
      </c>
      <c r="K375" s="16">
        <v>0</v>
      </c>
      <c r="M375" s="15" t="s">
        <v>35</v>
      </c>
      <c r="N375" s="16">
        <v>0</v>
      </c>
      <c r="O375" s="16">
        <v>0</v>
      </c>
      <c r="P375" s="194">
        <v>0</v>
      </c>
      <c r="Q375" s="16">
        <v>0</v>
      </c>
    </row>
    <row r="376" spans="1:17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G376" s="17" t="s">
        <v>36</v>
      </c>
      <c r="H376" s="100">
        <v>0</v>
      </c>
      <c r="I376" s="100">
        <v>0</v>
      </c>
      <c r="J376" s="100">
        <v>0</v>
      </c>
      <c r="K376" s="100">
        <v>0</v>
      </c>
      <c r="M376" s="17" t="s">
        <v>36</v>
      </c>
      <c r="N376" s="138">
        <v>0</v>
      </c>
      <c r="O376" s="138">
        <v>0</v>
      </c>
      <c r="P376" s="196">
        <v>0</v>
      </c>
      <c r="Q376" s="138">
        <v>0</v>
      </c>
    </row>
    <row r="377" spans="1:17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G377" s="17" t="s">
        <v>37</v>
      </c>
      <c r="H377" s="100">
        <v>1</v>
      </c>
      <c r="I377" s="100">
        <v>1</v>
      </c>
      <c r="J377" s="100">
        <v>0</v>
      </c>
      <c r="K377" s="100">
        <v>0</v>
      </c>
      <c r="M377" s="17" t="s">
        <v>37</v>
      </c>
      <c r="N377" s="138">
        <v>0</v>
      </c>
      <c r="O377" s="138">
        <v>0</v>
      </c>
      <c r="P377" s="196">
        <v>0</v>
      </c>
      <c r="Q377" s="138">
        <v>0</v>
      </c>
    </row>
    <row r="378" spans="1:17" x14ac:dyDescent="0.3">
      <c r="A378" s="17" t="s">
        <v>38</v>
      </c>
      <c r="B378" s="172" t="s">
        <v>209</v>
      </c>
      <c r="C378" s="173"/>
      <c r="D378" s="173"/>
      <c r="E378" s="173"/>
      <c r="G378" s="17" t="s">
        <v>38</v>
      </c>
      <c r="H378" s="172" t="s">
        <v>209</v>
      </c>
      <c r="I378" s="173"/>
      <c r="J378" s="173"/>
      <c r="K378" s="173"/>
      <c r="M378" s="17" t="s">
        <v>38</v>
      </c>
      <c r="N378" s="172" t="s">
        <v>1600</v>
      </c>
      <c r="O378" s="173"/>
      <c r="P378" s="173"/>
      <c r="Q378" s="173"/>
    </row>
    <row r="379" spans="1:17" ht="19.8" x14ac:dyDescent="0.3">
      <c r="A379" s="171">
        <v>46104</v>
      </c>
      <c r="B379" s="171"/>
      <c r="C379" s="171"/>
      <c r="D379" s="171"/>
      <c r="E379" s="171"/>
      <c r="G379" s="171">
        <v>46134</v>
      </c>
      <c r="H379" s="174"/>
      <c r="I379" s="174"/>
      <c r="J379" s="174"/>
      <c r="K379" s="174"/>
      <c r="M379" s="171">
        <v>46165</v>
      </c>
      <c r="N379" s="171"/>
      <c r="O379" s="171"/>
      <c r="P379" s="171"/>
      <c r="Q379" s="171"/>
    </row>
    <row r="380" spans="1:17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G380" s="1" t="s">
        <v>0</v>
      </c>
      <c r="H380" s="1" t="s">
        <v>1</v>
      </c>
      <c r="I380" s="1" t="s">
        <v>2</v>
      </c>
      <c r="J380" s="1" t="s">
        <v>3</v>
      </c>
      <c r="K380" s="1" t="s">
        <v>40</v>
      </c>
      <c r="M380" s="1" t="s">
        <v>0</v>
      </c>
      <c r="N380" s="1" t="s">
        <v>1</v>
      </c>
      <c r="O380" s="1" t="s">
        <v>2</v>
      </c>
      <c r="P380" s="179" t="s">
        <v>3</v>
      </c>
      <c r="Q380" s="1" t="s">
        <v>40</v>
      </c>
    </row>
    <row r="381" spans="1:17" x14ac:dyDescent="0.3">
      <c r="A381" s="2" t="s">
        <v>5</v>
      </c>
      <c r="B381" s="3">
        <v>1135</v>
      </c>
      <c r="C381" s="3">
        <v>675</v>
      </c>
      <c r="D381" s="3">
        <v>0</v>
      </c>
      <c r="E381" s="3">
        <v>460</v>
      </c>
      <c r="G381" s="2" t="s">
        <v>5</v>
      </c>
      <c r="H381" s="3">
        <v>3628</v>
      </c>
      <c r="I381" s="3">
        <v>1797</v>
      </c>
      <c r="J381" s="3">
        <v>0</v>
      </c>
      <c r="K381" s="3">
        <v>1831</v>
      </c>
      <c r="M381" s="2" t="s">
        <v>5</v>
      </c>
      <c r="N381" s="3">
        <v>2952</v>
      </c>
      <c r="O381" s="3">
        <v>1467</v>
      </c>
      <c r="P381" s="181">
        <v>0</v>
      </c>
      <c r="Q381" s="3">
        <v>1485</v>
      </c>
    </row>
    <row r="382" spans="1:17" x14ac:dyDescent="0.3">
      <c r="A382" s="2" t="s">
        <v>6</v>
      </c>
      <c r="B382" s="3">
        <v>50</v>
      </c>
      <c r="C382" s="6">
        <v>7</v>
      </c>
      <c r="D382" s="3">
        <v>0</v>
      </c>
      <c r="E382" s="5">
        <v>43</v>
      </c>
      <c r="G382" s="2" t="s">
        <v>6</v>
      </c>
      <c r="H382" s="3">
        <v>242</v>
      </c>
      <c r="I382" s="5">
        <v>137</v>
      </c>
      <c r="J382" s="3">
        <v>0</v>
      </c>
      <c r="K382" s="6">
        <v>105</v>
      </c>
      <c r="M382" s="2" t="s">
        <v>6</v>
      </c>
      <c r="N382" s="3">
        <v>559</v>
      </c>
      <c r="O382" s="5">
        <v>383</v>
      </c>
      <c r="P382" s="181">
        <v>0</v>
      </c>
      <c r="Q382" s="6">
        <v>176</v>
      </c>
    </row>
    <row r="383" spans="1:17" x14ac:dyDescent="0.3">
      <c r="A383" s="2" t="s">
        <v>7</v>
      </c>
      <c r="B383" s="3" t="s">
        <v>867</v>
      </c>
      <c r="C383" s="6" t="s">
        <v>506</v>
      </c>
      <c r="D383" s="3">
        <v>0</v>
      </c>
      <c r="E383" s="5" t="s">
        <v>895</v>
      </c>
      <c r="G383" s="2" t="s">
        <v>7</v>
      </c>
      <c r="H383" s="3" t="s">
        <v>287</v>
      </c>
      <c r="I383" s="5" t="s">
        <v>1012</v>
      </c>
      <c r="J383" s="3">
        <v>0</v>
      </c>
      <c r="K383" s="6" t="s">
        <v>645</v>
      </c>
      <c r="M383" s="2" t="s">
        <v>7</v>
      </c>
      <c r="N383" s="3" t="s">
        <v>1986</v>
      </c>
      <c r="O383" s="5" t="s">
        <v>1987</v>
      </c>
      <c r="P383" s="181">
        <v>0</v>
      </c>
      <c r="Q383" s="6" t="s">
        <v>687</v>
      </c>
    </row>
    <row r="384" spans="1:17" x14ac:dyDescent="0.3">
      <c r="A384" s="2" t="s">
        <v>12</v>
      </c>
      <c r="B384" s="3" t="s">
        <v>890</v>
      </c>
      <c r="C384" s="6" t="s">
        <v>121</v>
      </c>
      <c r="D384" s="3">
        <v>0</v>
      </c>
      <c r="E384" s="5" t="s">
        <v>896</v>
      </c>
      <c r="G384" s="2" t="s">
        <v>12</v>
      </c>
      <c r="H384" s="3" t="s">
        <v>1604</v>
      </c>
      <c r="I384" s="5" t="s">
        <v>324</v>
      </c>
      <c r="J384" s="3">
        <v>0</v>
      </c>
      <c r="K384" s="6" t="s">
        <v>824</v>
      </c>
      <c r="M384" s="2" t="s">
        <v>12</v>
      </c>
      <c r="N384" s="3" t="s">
        <v>127</v>
      </c>
      <c r="O384" s="5" t="s">
        <v>1988</v>
      </c>
      <c r="P384" s="181">
        <v>0</v>
      </c>
      <c r="Q384" s="6" t="s">
        <v>350</v>
      </c>
    </row>
    <row r="385" spans="1:17" x14ac:dyDescent="0.3">
      <c r="A385" s="2" t="s">
        <v>17</v>
      </c>
      <c r="B385" s="3" t="s">
        <v>119</v>
      </c>
      <c r="C385" s="6" t="s">
        <v>147</v>
      </c>
      <c r="D385" s="3" t="s">
        <v>25</v>
      </c>
      <c r="E385" s="5" t="s">
        <v>83</v>
      </c>
      <c r="G385" s="2" t="s">
        <v>17</v>
      </c>
      <c r="H385" s="3" t="s">
        <v>122</v>
      </c>
      <c r="I385" s="5" t="s">
        <v>122</v>
      </c>
      <c r="J385" s="3" t="s">
        <v>25</v>
      </c>
      <c r="K385" s="6" t="s">
        <v>122</v>
      </c>
      <c r="M385" s="2" t="s">
        <v>17</v>
      </c>
      <c r="N385" s="3" t="s">
        <v>417</v>
      </c>
      <c r="O385" s="5" t="s">
        <v>248</v>
      </c>
      <c r="P385" s="181" t="s">
        <v>25</v>
      </c>
      <c r="Q385" s="6" t="s">
        <v>468</v>
      </c>
    </row>
    <row r="386" spans="1:17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G386" s="2" t="s">
        <v>22</v>
      </c>
      <c r="H386" s="3" t="s">
        <v>25</v>
      </c>
      <c r="I386" s="3" t="s">
        <v>25</v>
      </c>
      <c r="J386" s="3" t="s">
        <v>25</v>
      </c>
      <c r="K386" s="3" t="s">
        <v>25</v>
      </c>
      <c r="M386" s="2" t="s">
        <v>22</v>
      </c>
      <c r="N386" s="3" t="s">
        <v>99</v>
      </c>
      <c r="O386" s="5" t="s">
        <v>100</v>
      </c>
      <c r="P386" s="181" t="s">
        <v>25</v>
      </c>
      <c r="Q386" s="6" t="s">
        <v>138</v>
      </c>
    </row>
    <row r="387" spans="1:17" x14ac:dyDescent="0.3">
      <c r="A387" s="7" t="s">
        <v>26</v>
      </c>
      <c r="B387" s="8">
        <v>39</v>
      </c>
      <c r="C387" s="8">
        <v>1</v>
      </c>
      <c r="D387" s="8">
        <v>0</v>
      </c>
      <c r="E387" s="8">
        <v>38</v>
      </c>
      <c r="G387" s="7" t="s">
        <v>26</v>
      </c>
      <c r="H387" s="8">
        <v>233</v>
      </c>
      <c r="I387" s="8">
        <v>133</v>
      </c>
      <c r="J387" s="8">
        <v>0</v>
      </c>
      <c r="K387" s="8">
        <v>100</v>
      </c>
      <c r="M387" s="7" t="s">
        <v>26</v>
      </c>
      <c r="N387" s="8">
        <v>520</v>
      </c>
      <c r="O387" s="8">
        <v>364</v>
      </c>
      <c r="P387" s="186">
        <v>0</v>
      </c>
      <c r="Q387" s="8">
        <v>156</v>
      </c>
    </row>
    <row r="388" spans="1:17" x14ac:dyDescent="0.3">
      <c r="A388" s="9" t="s">
        <v>27</v>
      </c>
      <c r="B388" s="10">
        <v>19</v>
      </c>
      <c r="C388" s="10">
        <v>1</v>
      </c>
      <c r="D388" s="10">
        <v>0</v>
      </c>
      <c r="E388" s="10">
        <v>18</v>
      </c>
      <c r="G388" s="9" t="s">
        <v>27</v>
      </c>
      <c r="H388" s="10">
        <v>35</v>
      </c>
      <c r="I388" s="10">
        <v>17</v>
      </c>
      <c r="J388" s="10">
        <v>0</v>
      </c>
      <c r="K388" s="10">
        <v>18</v>
      </c>
      <c r="M388" s="9" t="s">
        <v>27</v>
      </c>
      <c r="N388" s="10">
        <v>42</v>
      </c>
      <c r="O388" s="10">
        <v>19</v>
      </c>
      <c r="P388" s="188">
        <v>0</v>
      </c>
      <c r="Q388" s="10">
        <v>23</v>
      </c>
    </row>
    <row r="389" spans="1:17" x14ac:dyDescent="0.3">
      <c r="A389" s="9" t="s">
        <v>28</v>
      </c>
      <c r="B389" s="10">
        <v>1</v>
      </c>
      <c r="C389" s="10">
        <v>0</v>
      </c>
      <c r="D389" s="10">
        <v>0</v>
      </c>
      <c r="E389" s="10">
        <v>1</v>
      </c>
      <c r="G389" s="9" t="s">
        <v>28</v>
      </c>
      <c r="H389" s="10">
        <v>75</v>
      </c>
      <c r="I389" s="10">
        <v>39</v>
      </c>
      <c r="J389" s="10">
        <v>0</v>
      </c>
      <c r="K389" s="10">
        <v>36</v>
      </c>
      <c r="M389" s="9" t="s">
        <v>28</v>
      </c>
      <c r="N389" s="10">
        <v>116</v>
      </c>
      <c r="O389" s="10">
        <v>59</v>
      </c>
      <c r="P389" s="188">
        <v>0</v>
      </c>
      <c r="Q389" s="10">
        <v>57</v>
      </c>
    </row>
    <row r="390" spans="1:17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G390" s="9" t="s">
        <v>29</v>
      </c>
      <c r="H390" s="10">
        <v>10</v>
      </c>
      <c r="I390" s="10">
        <v>10</v>
      </c>
      <c r="J390" s="10">
        <v>0</v>
      </c>
      <c r="K390" s="10">
        <v>0</v>
      </c>
      <c r="M390" s="9" t="s">
        <v>29</v>
      </c>
      <c r="N390" s="10">
        <v>152</v>
      </c>
      <c r="O390" s="10">
        <v>152</v>
      </c>
      <c r="P390" s="188">
        <v>0</v>
      </c>
      <c r="Q390" s="10">
        <v>0</v>
      </c>
    </row>
    <row r="391" spans="1:17" x14ac:dyDescent="0.3">
      <c r="A391" s="9" t="s">
        <v>30</v>
      </c>
      <c r="B391" s="10">
        <v>19</v>
      </c>
      <c r="C391" s="10">
        <v>0</v>
      </c>
      <c r="D391" s="10">
        <v>0</v>
      </c>
      <c r="E391" s="10">
        <v>19</v>
      </c>
      <c r="G391" s="9" t="s">
        <v>30</v>
      </c>
      <c r="H391" s="10">
        <v>113</v>
      </c>
      <c r="I391" s="10">
        <v>67</v>
      </c>
      <c r="J391" s="10">
        <v>0</v>
      </c>
      <c r="K391" s="10">
        <v>46</v>
      </c>
      <c r="M391" s="9" t="s">
        <v>30</v>
      </c>
      <c r="N391" s="10">
        <v>210</v>
      </c>
      <c r="O391" s="10">
        <v>134</v>
      </c>
      <c r="P391" s="188">
        <v>0</v>
      </c>
      <c r="Q391" s="10">
        <v>76</v>
      </c>
    </row>
    <row r="392" spans="1:17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G392" s="9" t="s">
        <v>31</v>
      </c>
      <c r="H392" s="10">
        <v>0</v>
      </c>
      <c r="I392" s="10">
        <v>0</v>
      </c>
      <c r="J392" s="10">
        <v>0</v>
      </c>
      <c r="K392" s="10">
        <v>0</v>
      </c>
      <c r="M392" s="9" t="s">
        <v>31</v>
      </c>
      <c r="N392" s="10">
        <v>0</v>
      </c>
      <c r="O392" s="10">
        <v>0</v>
      </c>
      <c r="P392" s="188">
        <v>0</v>
      </c>
      <c r="Q392" s="10">
        <v>0</v>
      </c>
    </row>
    <row r="393" spans="1:17" x14ac:dyDescent="0.3">
      <c r="A393" s="11" t="s">
        <v>32</v>
      </c>
      <c r="B393" s="12">
        <v>5</v>
      </c>
      <c r="C393" s="12">
        <v>2</v>
      </c>
      <c r="D393" s="12">
        <v>0</v>
      </c>
      <c r="E393" s="12">
        <v>3</v>
      </c>
      <c r="G393" s="11" t="s">
        <v>32</v>
      </c>
      <c r="H393" s="12">
        <v>8</v>
      </c>
      <c r="I393" s="12">
        <v>4</v>
      </c>
      <c r="J393" s="12">
        <v>0</v>
      </c>
      <c r="K393" s="12">
        <v>4</v>
      </c>
      <c r="M393" s="11" t="s">
        <v>32</v>
      </c>
      <c r="N393" s="12">
        <v>34</v>
      </c>
      <c r="O393" s="12">
        <v>20</v>
      </c>
      <c r="P393" s="190">
        <v>0</v>
      </c>
      <c r="Q393" s="12">
        <v>14</v>
      </c>
    </row>
    <row r="394" spans="1:17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G394" s="13" t="s">
        <v>33</v>
      </c>
      <c r="H394" s="14">
        <v>0</v>
      </c>
      <c r="I394" s="14">
        <v>0</v>
      </c>
      <c r="J394" s="14">
        <v>0</v>
      </c>
      <c r="K394" s="14">
        <v>0</v>
      </c>
      <c r="M394" s="13" t="s">
        <v>33</v>
      </c>
      <c r="N394" s="14">
        <v>3</v>
      </c>
      <c r="O394" s="14">
        <v>2</v>
      </c>
      <c r="P394" s="192">
        <v>0</v>
      </c>
      <c r="Q394" s="14">
        <v>1</v>
      </c>
    </row>
    <row r="395" spans="1:17" x14ac:dyDescent="0.3">
      <c r="A395" s="13" t="s">
        <v>34</v>
      </c>
      <c r="B395" s="14">
        <v>5</v>
      </c>
      <c r="C395" s="14">
        <v>2</v>
      </c>
      <c r="D395" s="14">
        <v>0</v>
      </c>
      <c r="E395" s="14">
        <v>3</v>
      </c>
      <c r="G395" s="13" t="s">
        <v>34</v>
      </c>
      <c r="H395" s="14">
        <v>8</v>
      </c>
      <c r="I395" s="14">
        <v>4</v>
      </c>
      <c r="J395" s="14">
        <v>0</v>
      </c>
      <c r="K395" s="14">
        <v>4</v>
      </c>
      <c r="M395" s="13" t="s">
        <v>34</v>
      </c>
      <c r="N395" s="14">
        <v>31</v>
      </c>
      <c r="O395" s="14">
        <v>18</v>
      </c>
      <c r="P395" s="192">
        <v>0</v>
      </c>
      <c r="Q395" s="14">
        <v>13</v>
      </c>
    </row>
    <row r="396" spans="1:17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G396" s="15" t="s">
        <v>35</v>
      </c>
      <c r="H396" s="16">
        <v>0</v>
      </c>
      <c r="I396" s="16">
        <v>0</v>
      </c>
      <c r="J396" s="16">
        <v>0</v>
      </c>
      <c r="K396" s="16">
        <v>0</v>
      </c>
      <c r="M396" s="15" t="s">
        <v>35</v>
      </c>
      <c r="N396" s="16">
        <v>6</v>
      </c>
      <c r="O396" s="16">
        <v>5</v>
      </c>
      <c r="P396" s="194">
        <v>0</v>
      </c>
      <c r="Q396" s="16">
        <v>1</v>
      </c>
    </row>
    <row r="397" spans="1:17" x14ac:dyDescent="0.3">
      <c r="A397" s="17" t="s">
        <v>36</v>
      </c>
      <c r="B397" s="18">
        <v>0</v>
      </c>
      <c r="C397" s="18">
        <v>0</v>
      </c>
      <c r="D397" s="18">
        <v>0</v>
      </c>
      <c r="E397" s="18">
        <v>0</v>
      </c>
      <c r="G397" s="17" t="s">
        <v>36</v>
      </c>
      <c r="H397" s="100">
        <v>0</v>
      </c>
      <c r="I397" s="100">
        <v>0</v>
      </c>
      <c r="J397" s="100">
        <v>0</v>
      </c>
      <c r="K397" s="100">
        <v>0</v>
      </c>
      <c r="M397" s="17" t="s">
        <v>36</v>
      </c>
      <c r="N397" s="138">
        <v>4</v>
      </c>
      <c r="O397" s="138">
        <v>4</v>
      </c>
      <c r="P397" s="196">
        <v>0</v>
      </c>
      <c r="Q397" s="138">
        <v>0</v>
      </c>
    </row>
    <row r="398" spans="1:17" x14ac:dyDescent="0.3">
      <c r="A398" s="17" t="s">
        <v>37</v>
      </c>
      <c r="B398" s="18">
        <v>0</v>
      </c>
      <c r="C398" s="18">
        <v>0</v>
      </c>
      <c r="D398" s="18">
        <v>0</v>
      </c>
      <c r="E398" s="18">
        <v>0</v>
      </c>
      <c r="G398" s="17" t="s">
        <v>37</v>
      </c>
      <c r="H398" s="100">
        <v>0</v>
      </c>
      <c r="I398" s="100">
        <v>0</v>
      </c>
      <c r="J398" s="100">
        <v>0</v>
      </c>
      <c r="K398" s="100">
        <v>0</v>
      </c>
      <c r="M398" s="17" t="s">
        <v>37</v>
      </c>
      <c r="N398" s="138">
        <v>3</v>
      </c>
      <c r="O398" s="138">
        <v>2</v>
      </c>
      <c r="P398" s="196">
        <v>0</v>
      </c>
      <c r="Q398" s="138">
        <v>1</v>
      </c>
    </row>
    <row r="399" spans="1:17" x14ac:dyDescent="0.3">
      <c r="A399" s="17" t="s">
        <v>38</v>
      </c>
      <c r="B399" s="172" t="s">
        <v>209</v>
      </c>
      <c r="C399" s="173"/>
      <c r="D399" s="173"/>
      <c r="E399" s="173"/>
      <c r="G399" s="17" t="s">
        <v>38</v>
      </c>
      <c r="H399" s="172" t="s">
        <v>209</v>
      </c>
      <c r="I399" s="173"/>
      <c r="J399" s="173"/>
      <c r="K399" s="173"/>
      <c r="M399" s="17" t="s">
        <v>38</v>
      </c>
      <c r="N399" s="172" t="s">
        <v>1600</v>
      </c>
      <c r="O399" s="173"/>
      <c r="P399" s="173"/>
      <c r="Q399" s="173"/>
    </row>
    <row r="400" spans="1:17" ht="19.8" x14ac:dyDescent="0.3">
      <c r="A400" s="171">
        <v>46105</v>
      </c>
      <c r="B400" s="171"/>
      <c r="C400" s="171"/>
      <c r="D400" s="171"/>
      <c r="E400" s="171"/>
      <c r="G400" s="171">
        <v>46135</v>
      </c>
      <c r="H400" s="174"/>
      <c r="I400" s="174"/>
      <c r="J400" s="174"/>
      <c r="K400" s="174"/>
      <c r="M400" s="171">
        <v>46167</v>
      </c>
      <c r="N400" s="171"/>
      <c r="O400" s="171"/>
      <c r="P400" s="171"/>
      <c r="Q400" s="171"/>
    </row>
    <row r="401" spans="1:17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G401" s="1" t="s">
        <v>0</v>
      </c>
      <c r="H401" s="1" t="s">
        <v>1</v>
      </c>
      <c r="I401" s="1" t="s">
        <v>2</v>
      </c>
      <c r="J401" s="1" t="s">
        <v>3</v>
      </c>
      <c r="K401" s="1" t="s">
        <v>40</v>
      </c>
      <c r="M401" s="1" t="s">
        <v>0</v>
      </c>
      <c r="N401" s="1" t="s">
        <v>1</v>
      </c>
      <c r="O401" s="1" t="s">
        <v>2</v>
      </c>
      <c r="P401" s="179" t="s">
        <v>3</v>
      </c>
      <c r="Q401" s="1" t="s">
        <v>40</v>
      </c>
    </row>
    <row r="402" spans="1:17" x14ac:dyDescent="0.3">
      <c r="A402" s="2" t="s">
        <v>5</v>
      </c>
      <c r="B402" s="3">
        <v>2883</v>
      </c>
      <c r="C402" s="3">
        <v>1571</v>
      </c>
      <c r="D402" s="3">
        <v>0</v>
      </c>
      <c r="E402" s="3">
        <v>1312</v>
      </c>
      <c r="G402" s="2" t="s">
        <v>5</v>
      </c>
      <c r="H402" s="3">
        <v>3016</v>
      </c>
      <c r="I402" s="3">
        <v>1465</v>
      </c>
      <c r="J402" s="3">
        <v>0</v>
      </c>
      <c r="K402" s="3">
        <v>1551</v>
      </c>
      <c r="M402" s="2" t="s">
        <v>5</v>
      </c>
      <c r="N402" s="3">
        <v>1249</v>
      </c>
      <c r="O402" s="3">
        <v>676</v>
      </c>
      <c r="P402" s="181">
        <v>0</v>
      </c>
      <c r="Q402" s="3">
        <v>573</v>
      </c>
    </row>
    <row r="403" spans="1:17" x14ac:dyDescent="0.3">
      <c r="A403" s="2" t="s">
        <v>6</v>
      </c>
      <c r="B403" s="3">
        <v>153</v>
      </c>
      <c r="C403" s="6">
        <v>20</v>
      </c>
      <c r="D403" s="3">
        <v>0</v>
      </c>
      <c r="E403" s="5">
        <v>133</v>
      </c>
      <c r="G403" s="2" t="s">
        <v>6</v>
      </c>
      <c r="H403" s="3">
        <v>185</v>
      </c>
      <c r="I403" s="6">
        <v>90</v>
      </c>
      <c r="J403" s="3">
        <v>0</v>
      </c>
      <c r="K403" s="5">
        <v>95</v>
      </c>
      <c r="M403" s="2" t="s">
        <v>6</v>
      </c>
      <c r="N403" s="3">
        <v>475</v>
      </c>
      <c r="O403" s="5">
        <v>419</v>
      </c>
      <c r="P403" s="181">
        <v>0</v>
      </c>
      <c r="Q403" s="6">
        <v>56</v>
      </c>
    </row>
    <row r="404" spans="1:17" x14ac:dyDescent="0.3">
      <c r="A404" s="2" t="s">
        <v>7</v>
      </c>
      <c r="B404" s="3" t="s">
        <v>882</v>
      </c>
      <c r="C404" s="6" t="s">
        <v>851</v>
      </c>
      <c r="D404" s="3">
        <v>0</v>
      </c>
      <c r="E404" s="5" t="s">
        <v>291</v>
      </c>
      <c r="G404" s="2" t="s">
        <v>7</v>
      </c>
      <c r="H404" s="3" t="s">
        <v>686</v>
      </c>
      <c r="I404" s="5" t="s">
        <v>1624</v>
      </c>
      <c r="J404" s="3">
        <v>0</v>
      </c>
      <c r="K404" s="6" t="s">
        <v>686</v>
      </c>
      <c r="M404" s="2" t="s">
        <v>7</v>
      </c>
      <c r="N404" s="3" t="s">
        <v>1962</v>
      </c>
      <c r="O404" s="5" t="s">
        <v>1963</v>
      </c>
      <c r="P404" s="181">
        <v>0</v>
      </c>
      <c r="Q404" s="6" t="s">
        <v>1069</v>
      </c>
    </row>
    <row r="405" spans="1:17" x14ac:dyDescent="0.3">
      <c r="A405" s="2" t="s">
        <v>12</v>
      </c>
      <c r="B405" s="3" t="s">
        <v>270</v>
      </c>
      <c r="C405" s="6" t="s">
        <v>75</v>
      </c>
      <c r="D405" s="3">
        <v>0</v>
      </c>
      <c r="E405" s="5" t="s">
        <v>883</v>
      </c>
      <c r="G405" s="2" t="s">
        <v>12</v>
      </c>
      <c r="H405" s="3" t="s">
        <v>633</v>
      </c>
      <c r="I405" s="6" t="s">
        <v>1275</v>
      </c>
      <c r="J405" s="3">
        <v>0</v>
      </c>
      <c r="K405" s="5" t="s">
        <v>288</v>
      </c>
      <c r="M405" s="2" t="s">
        <v>12</v>
      </c>
      <c r="N405" s="3" t="s">
        <v>1964</v>
      </c>
      <c r="O405" s="5" t="s">
        <v>1965</v>
      </c>
      <c r="P405" s="181">
        <v>0</v>
      </c>
      <c r="Q405" s="6" t="s">
        <v>1254</v>
      </c>
    </row>
    <row r="406" spans="1:17" x14ac:dyDescent="0.3">
      <c r="A406" s="2" t="s">
        <v>17</v>
      </c>
      <c r="B406" s="3" t="s">
        <v>591</v>
      </c>
      <c r="C406" s="6" t="s">
        <v>654</v>
      </c>
      <c r="D406" s="3" t="s">
        <v>25</v>
      </c>
      <c r="E406" s="5" t="s">
        <v>466</v>
      </c>
      <c r="G406" s="2" t="s">
        <v>17</v>
      </c>
      <c r="H406" s="3" t="s">
        <v>99</v>
      </c>
      <c r="I406" s="5" t="s">
        <v>88</v>
      </c>
      <c r="J406" s="3" t="s">
        <v>25</v>
      </c>
      <c r="K406" s="6" t="s">
        <v>75</v>
      </c>
      <c r="M406" s="2" t="s">
        <v>17</v>
      </c>
      <c r="N406" s="3" t="s">
        <v>1966</v>
      </c>
      <c r="O406" s="5" t="s">
        <v>1967</v>
      </c>
      <c r="P406" s="181" t="s">
        <v>25</v>
      </c>
      <c r="Q406" s="6" t="s">
        <v>288</v>
      </c>
    </row>
    <row r="407" spans="1:17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G407" s="2" t="s">
        <v>22</v>
      </c>
      <c r="H407" s="3" t="s">
        <v>25</v>
      </c>
      <c r="I407" s="3" t="s">
        <v>25</v>
      </c>
      <c r="J407" s="3" t="s">
        <v>25</v>
      </c>
      <c r="K407" s="3" t="s">
        <v>25</v>
      </c>
      <c r="M407" s="2" t="s">
        <v>22</v>
      </c>
      <c r="N407" s="3" t="s">
        <v>25</v>
      </c>
      <c r="O407" s="3" t="s">
        <v>25</v>
      </c>
      <c r="P407" s="181" t="s">
        <v>25</v>
      </c>
      <c r="Q407" s="3" t="s">
        <v>25</v>
      </c>
    </row>
    <row r="408" spans="1:17" x14ac:dyDescent="0.3">
      <c r="A408" s="7" t="s">
        <v>26</v>
      </c>
      <c r="B408" s="8">
        <v>122</v>
      </c>
      <c r="C408" s="8">
        <v>2</v>
      </c>
      <c r="D408" s="8">
        <v>0</v>
      </c>
      <c r="E408" s="8">
        <v>120</v>
      </c>
      <c r="G408" s="7" t="s">
        <v>26</v>
      </c>
      <c r="H408" s="8">
        <v>178</v>
      </c>
      <c r="I408" s="8">
        <v>86</v>
      </c>
      <c r="J408" s="8">
        <v>0</v>
      </c>
      <c r="K408" s="8">
        <v>92</v>
      </c>
      <c r="M408" s="7" t="s">
        <v>26</v>
      </c>
      <c r="N408" s="8">
        <v>317</v>
      </c>
      <c r="O408" s="8">
        <v>297</v>
      </c>
      <c r="P408" s="186">
        <v>0</v>
      </c>
      <c r="Q408" s="8">
        <v>20</v>
      </c>
    </row>
    <row r="409" spans="1:17" x14ac:dyDescent="0.3">
      <c r="A409" s="9" t="s">
        <v>27</v>
      </c>
      <c r="B409" s="10">
        <v>33</v>
      </c>
      <c r="C409" s="10">
        <v>2</v>
      </c>
      <c r="D409" s="10">
        <v>0</v>
      </c>
      <c r="E409" s="10">
        <v>31</v>
      </c>
      <c r="G409" s="9" t="s">
        <v>27</v>
      </c>
      <c r="H409" s="10">
        <v>20</v>
      </c>
      <c r="I409" s="10">
        <v>9</v>
      </c>
      <c r="J409" s="10">
        <v>0</v>
      </c>
      <c r="K409" s="10">
        <v>11</v>
      </c>
      <c r="M409" s="9" t="s">
        <v>27</v>
      </c>
      <c r="N409" s="10">
        <v>20</v>
      </c>
      <c r="O409" s="10">
        <v>3</v>
      </c>
      <c r="P409" s="188">
        <v>0</v>
      </c>
      <c r="Q409" s="10">
        <v>17</v>
      </c>
    </row>
    <row r="410" spans="1:17" x14ac:dyDescent="0.3">
      <c r="A410" s="9" t="s">
        <v>28</v>
      </c>
      <c r="B410" s="10">
        <v>2</v>
      </c>
      <c r="C410" s="10">
        <v>0</v>
      </c>
      <c r="D410" s="10">
        <v>0</v>
      </c>
      <c r="E410" s="10">
        <v>2</v>
      </c>
      <c r="G410" s="9" t="s">
        <v>28</v>
      </c>
      <c r="H410" s="10">
        <v>95</v>
      </c>
      <c r="I410" s="10">
        <v>40</v>
      </c>
      <c r="J410" s="10">
        <v>0</v>
      </c>
      <c r="K410" s="10">
        <v>55</v>
      </c>
      <c r="M410" s="9" t="s">
        <v>28</v>
      </c>
      <c r="N410" s="10">
        <v>0</v>
      </c>
      <c r="O410" s="10">
        <v>0</v>
      </c>
      <c r="P410" s="188">
        <v>0</v>
      </c>
      <c r="Q410" s="10">
        <v>0</v>
      </c>
    </row>
    <row r="411" spans="1:17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G411" s="9" t="s">
        <v>29</v>
      </c>
      <c r="H411" s="10">
        <v>5</v>
      </c>
      <c r="I411" s="10">
        <v>5</v>
      </c>
      <c r="J411" s="10">
        <v>0</v>
      </c>
      <c r="K411" s="10">
        <v>0</v>
      </c>
      <c r="M411" s="9" t="s">
        <v>29</v>
      </c>
      <c r="N411" s="10">
        <v>294</v>
      </c>
      <c r="O411" s="10">
        <v>294</v>
      </c>
      <c r="P411" s="188">
        <v>0</v>
      </c>
      <c r="Q411" s="10">
        <v>0</v>
      </c>
    </row>
    <row r="412" spans="1:17" x14ac:dyDescent="0.3">
      <c r="A412" s="9" t="s">
        <v>30</v>
      </c>
      <c r="B412" s="10">
        <v>87</v>
      </c>
      <c r="C412" s="10">
        <v>0</v>
      </c>
      <c r="D412" s="10">
        <v>0</v>
      </c>
      <c r="E412" s="10">
        <v>87</v>
      </c>
      <c r="G412" s="9" t="s">
        <v>30</v>
      </c>
      <c r="H412" s="10">
        <v>58</v>
      </c>
      <c r="I412" s="10">
        <v>32</v>
      </c>
      <c r="J412" s="10">
        <v>0</v>
      </c>
      <c r="K412" s="10">
        <v>26</v>
      </c>
      <c r="M412" s="9" t="s">
        <v>30</v>
      </c>
      <c r="N412" s="10">
        <v>3</v>
      </c>
      <c r="O412" s="10">
        <v>0</v>
      </c>
      <c r="P412" s="188">
        <v>0</v>
      </c>
      <c r="Q412" s="10">
        <v>3</v>
      </c>
    </row>
    <row r="413" spans="1:17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G413" s="9" t="s">
        <v>31</v>
      </c>
      <c r="H413" s="10">
        <v>0</v>
      </c>
      <c r="I413" s="10">
        <v>0</v>
      </c>
      <c r="J413" s="10">
        <v>0</v>
      </c>
      <c r="K413" s="10">
        <v>0</v>
      </c>
      <c r="M413" s="9" t="s">
        <v>31</v>
      </c>
      <c r="N413" s="10">
        <v>0</v>
      </c>
      <c r="O413" s="10">
        <v>0</v>
      </c>
      <c r="P413" s="188">
        <v>0</v>
      </c>
      <c r="Q413" s="10">
        <v>0</v>
      </c>
    </row>
    <row r="414" spans="1:17" x14ac:dyDescent="0.3">
      <c r="A414" s="11" t="s">
        <v>32</v>
      </c>
      <c r="B414" s="12">
        <v>15</v>
      </c>
      <c r="C414" s="12">
        <v>8</v>
      </c>
      <c r="D414" s="12">
        <v>0</v>
      </c>
      <c r="E414" s="12">
        <v>7</v>
      </c>
      <c r="G414" s="11" t="s">
        <v>32</v>
      </c>
      <c r="H414" s="12">
        <v>6</v>
      </c>
      <c r="I414" s="12">
        <v>4</v>
      </c>
      <c r="J414" s="12">
        <v>0</v>
      </c>
      <c r="K414" s="12">
        <v>2</v>
      </c>
      <c r="M414" s="11" t="s">
        <v>32</v>
      </c>
      <c r="N414" s="12">
        <v>533</v>
      </c>
      <c r="O414" s="12">
        <v>499</v>
      </c>
      <c r="P414" s="190">
        <v>0</v>
      </c>
      <c r="Q414" s="12">
        <v>34</v>
      </c>
    </row>
    <row r="415" spans="1:17" x14ac:dyDescent="0.3">
      <c r="A415" s="13" t="s">
        <v>33</v>
      </c>
      <c r="B415" s="14">
        <v>1</v>
      </c>
      <c r="C415" s="14">
        <v>1</v>
      </c>
      <c r="D415" s="14">
        <v>0</v>
      </c>
      <c r="E415" s="14">
        <v>0</v>
      </c>
      <c r="G415" s="13" t="s">
        <v>33</v>
      </c>
      <c r="H415" s="14">
        <v>0</v>
      </c>
      <c r="I415" s="14">
        <v>0</v>
      </c>
      <c r="J415" s="14">
        <v>0</v>
      </c>
      <c r="K415" s="14">
        <v>0</v>
      </c>
      <c r="M415" s="13" t="s">
        <v>33</v>
      </c>
      <c r="N415" s="14">
        <v>459</v>
      </c>
      <c r="O415" s="14">
        <v>459</v>
      </c>
      <c r="P415" s="192">
        <v>0</v>
      </c>
      <c r="Q415" s="14">
        <v>0</v>
      </c>
    </row>
    <row r="416" spans="1:17" x14ac:dyDescent="0.3">
      <c r="A416" s="13" t="s">
        <v>34</v>
      </c>
      <c r="B416" s="14">
        <v>14</v>
      </c>
      <c r="C416" s="14">
        <v>7</v>
      </c>
      <c r="D416" s="14">
        <v>0</v>
      </c>
      <c r="E416" s="14">
        <v>7</v>
      </c>
      <c r="G416" s="13" t="s">
        <v>34</v>
      </c>
      <c r="H416" s="14">
        <v>6</v>
      </c>
      <c r="I416" s="14">
        <v>4</v>
      </c>
      <c r="J416" s="14">
        <v>0</v>
      </c>
      <c r="K416" s="14">
        <v>2</v>
      </c>
      <c r="M416" s="13" t="s">
        <v>34</v>
      </c>
      <c r="N416" s="14">
        <v>74</v>
      </c>
      <c r="O416" s="14">
        <v>40</v>
      </c>
      <c r="P416" s="192">
        <v>0</v>
      </c>
      <c r="Q416" s="14">
        <v>34</v>
      </c>
    </row>
    <row r="417" spans="1:17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G417" s="15" t="s">
        <v>35</v>
      </c>
      <c r="H417" s="16">
        <v>0</v>
      </c>
      <c r="I417" s="16">
        <v>0</v>
      </c>
      <c r="J417" s="16">
        <v>0</v>
      </c>
      <c r="K417" s="16">
        <v>0</v>
      </c>
      <c r="M417" s="15" t="s">
        <v>35</v>
      </c>
      <c r="N417" s="16">
        <v>0</v>
      </c>
      <c r="O417" s="16">
        <v>0</v>
      </c>
      <c r="P417" s="194">
        <v>0</v>
      </c>
      <c r="Q417" s="16">
        <v>0</v>
      </c>
    </row>
    <row r="418" spans="1:17" x14ac:dyDescent="0.3">
      <c r="A418" s="17" t="s">
        <v>36</v>
      </c>
      <c r="B418" s="18">
        <v>0</v>
      </c>
      <c r="C418" s="18">
        <v>0</v>
      </c>
      <c r="D418" s="18">
        <v>0</v>
      </c>
      <c r="E418" s="18">
        <v>0</v>
      </c>
      <c r="G418" s="17" t="s">
        <v>36</v>
      </c>
      <c r="H418" s="103">
        <v>0</v>
      </c>
      <c r="I418" s="103">
        <v>0</v>
      </c>
      <c r="J418" s="103">
        <v>0</v>
      </c>
      <c r="K418" s="103">
        <v>0</v>
      </c>
      <c r="M418" s="17" t="s">
        <v>36</v>
      </c>
      <c r="N418" s="138">
        <v>0</v>
      </c>
      <c r="O418" s="138">
        <v>0</v>
      </c>
      <c r="P418" s="196">
        <v>0</v>
      </c>
      <c r="Q418" s="138">
        <v>0</v>
      </c>
    </row>
    <row r="419" spans="1:17" x14ac:dyDescent="0.3">
      <c r="A419" s="17" t="s">
        <v>37</v>
      </c>
      <c r="B419" s="18">
        <v>0</v>
      </c>
      <c r="C419" s="18">
        <v>0</v>
      </c>
      <c r="D419" s="18">
        <v>0</v>
      </c>
      <c r="E419" s="18">
        <v>0</v>
      </c>
      <c r="G419" s="17" t="s">
        <v>37</v>
      </c>
      <c r="H419" s="103">
        <v>0</v>
      </c>
      <c r="I419" s="103">
        <v>0</v>
      </c>
      <c r="J419" s="103">
        <v>0</v>
      </c>
      <c r="K419" s="103">
        <v>0</v>
      </c>
      <c r="M419" s="17" t="s">
        <v>37</v>
      </c>
      <c r="N419" s="138">
        <v>0</v>
      </c>
      <c r="O419" s="138">
        <v>0</v>
      </c>
      <c r="P419" s="196">
        <v>0</v>
      </c>
      <c r="Q419" s="138">
        <v>0</v>
      </c>
    </row>
    <row r="420" spans="1:17" x14ac:dyDescent="0.3">
      <c r="A420" s="17" t="s">
        <v>38</v>
      </c>
      <c r="B420" s="172" t="s">
        <v>209</v>
      </c>
      <c r="C420" s="173"/>
      <c r="D420" s="173"/>
      <c r="E420" s="173"/>
      <c r="G420" s="17" t="s">
        <v>38</v>
      </c>
      <c r="H420" s="172" t="s">
        <v>209</v>
      </c>
      <c r="I420" s="173"/>
      <c r="J420" s="173"/>
      <c r="K420" s="173"/>
      <c r="M420" s="17" t="s">
        <v>38</v>
      </c>
      <c r="N420" s="172" t="s">
        <v>1968</v>
      </c>
      <c r="O420" s="173"/>
      <c r="P420" s="173"/>
      <c r="Q420" s="173"/>
    </row>
    <row r="421" spans="1:17" ht="19.8" x14ac:dyDescent="0.3">
      <c r="A421" s="171">
        <v>46106</v>
      </c>
      <c r="B421" s="171"/>
      <c r="C421" s="171"/>
      <c r="D421" s="171"/>
      <c r="E421" s="171"/>
      <c r="G421" s="171">
        <v>46136</v>
      </c>
      <c r="H421" s="174"/>
      <c r="I421" s="174"/>
      <c r="J421" s="174"/>
      <c r="K421" s="174"/>
      <c r="M421" s="171">
        <v>46168</v>
      </c>
      <c r="N421" s="171"/>
      <c r="O421" s="171"/>
      <c r="P421" s="171"/>
      <c r="Q421" s="171"/>
    </row>
    <row r="422" spans="1:17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G422" s="1" t="s">
        <v>0</v>
      </c>
      <c r="H422" s="1" t="s">
        <v>1</v>
      </c>
      <c r="I422" s="1" t="s">
        <v>2</v>
      </c>
      <c r="J422" s="1" t="s">
        <v>3</v>
      </c>
      <c r="K422" s="1" t="s">
        <v>40</v>
      </c>
      <c r="M422" s="1" t="s">
        <v>0</v>
      </c>
      <c r="N422" s="1" t="s">
        <v>1</v>
      </c>
      <c r="O422" s="1" t="s">
        <v>2</v>
      </c>
      <c r="P422" s="179" t="s">
        <v>3</v>
      </c>
      <c r="Q422" s="1" t="s">
        <v>40</v>
      </c>
    </row>
    <row r="423" spans="1:17" x14ac:dyDescent="0.3">
      <c r="A423" s="2" t="s">
        <v>5</v>
      </c>
      <c r="B423" s="3">
        <v>2918</v>
      </c>
      <c r="C423" s="3">
        <v>1573</v>
      </c>
      <c r="D423" s="3">
        <v>0</v>
      </c>
      <c r="E423" s="3">
        <v>1345</v>
      </c>
      <c r="G423" s="2" t="s">
        <v>5</v>
      </c>
      <c r="H423" s="3">
        <v>3382</v>
      </c>
      <c r="I423" s="3">
        <v>1814</v>
      </c>
      <c r="J423" s="3">
        <v>0</v>
      </c>
      <c r="K423" s="3">
        <v>1568</v>
      </c>
      <c r="M423" s="2" t="s">
        <v>5</v>
      </c>
      <c r="N423" s="3">
        <v>1971</v>
      </c>
      <c r="O423" s="3">
        <v>1137</v>
      </c>
      <c r="P423" s="181">
        <v>0</v>
      </c>
      <c r="Q423" s="3">
        <v>834</v>
      </c>
    </row>
    <row r="424" spans="1:17" x14ac:dyDescent="0.3">
      <c r="A424" s="2" t="s">
        <v>6</v>
      </c>
      <c r="B424" s="3">
        <v>98</v>
      </c>
      <c r="C424" s="6">
        <v>14</v>
      </c>
      <c r="D424" s="3">
        <v>0</v>
      </c>
      <c r="E424" s="5">
        <v>84</v>
      </c>
      <c r="G424" s="2" t="s">
        <v>6</v>
      </c>
      <c r="H424" s="3">
        <v>287</v>
      </c>
      <c r="I424" s="5">
        <v>168</v>
      </c>
      <c r="J424" s="3">
        <v>0</v>
      </c>
      <c r="K424" s="6">
        <v>119</v>
      </c>
      <c r="M424" s="2" t="s">
        <v>6</v>
      </c>
      <c r="N424" s="3">
        <v>325</v>
      </c>
      <c r="O424" s="5">
        <v>286</v>
      </c>
      <c r="P424" s="181">
        <v>0</v>
      </c>
      <c r="Q424" s="6">
        <v>39</v>
      </c>
    </row>
    <row r="425" spans="1:17" x14ac:dyDescent="0.3">
      <c r="A425" s="2" t="s">
        <v>7</v>
      </c>
      <c r="B425" s="3" t="s">
        <v>653</v>
      </c>
      <c r="C425" s="6" t="s">
        <v>86</v>
      </c>
      <c r="D425" s="3">
        <v>0</v>
      </c>
      <c r="E425" s="5" t="s">
        <v>380</v>
      </c>
      <c r="G425" s="2" t="s">
        <v>7</v>
      </c>
      <c r="H425" s="3" t="s">
        <v>1339</v>
      </c>
      <c r="I425" s="5" t="s">
        <v>1539</v>
      </c>
      <c r="J425" s="3">
        <v>0</v>
      </c>
      <c r="K425" s="6" t="s">
        <v>197</v>
      </c>
      <c r="M425" s="2" t="s">
        <v>7</v>
      </c>
      <c r="N425" s="3" t="s">
        <v>2004</v>
      </c>
      <c r="O425" s="5" t="s">
        <v>2005</v>
      </c>
      <c r="P425" s="181">
        <v>0</v>
      </c>
      <c r="Q425" s="6" t="s">
        <v>576</v>
      </c>
    </row>
    <row r="426" spans="1:17" x14ac:dyDescent="0.3">
      <c r="A426" s="2" t="s">
        <v>12</v>
      </c>
      <c r="B426" s="3" t="s">
        <v>116</v>
      </c>
      <c r="C426" s="3" t="s">
        <v>25</v>
      </c>
      <c r="D426" s="3">
        <v>0</v>
      </c>
      <c r="E426" s="5" t="s">
        <v>904</v>
      </c>
      <c r="G426" s="2" t="s">
        <v>12</v>
      </c>
      <c r="H426" s="3" t="s">
        <v>90</v>
      </c>
      <c r="I426" s="5" t="s">
        <v>883</v>
      </c>
      <c r="J426" s="3">
        <v>0</v>
      </c>
      <c r="K426" s="6" t="s">
        <v>523</v>
      </c>
      <c r="M426" s="2" t="s">
        <v>12</v>
      </c>
      <c r="N426" s="3" t="s">
        <v>2006</v>
      </c>
      <c r="O426" s="5" t="s">
        <v>2007</v>
      </c>
      <c r="P426" s="181">
        <v>0</v>
      </c>
      <c r="Q426" s="6" t="s">
        <v>655</v>
      </c>
    </row>
    <row r="427" spans="1:17" x14ac:dyDescent="0.3">
      <c r="A427" s="2" t="s">
        <v>17</v>
      </c>
      <c r="B427" s="3" t="s">
        <v>87</v>
      </c>
      <c r="C427" s="6" t="s">
        <v>596</v>
      </c>
      <c r="D427" s="3" t="s">
        <v>25</v>
      </c>
      <c r="E427" s="5" t="s">
        <v>337</v>
      </c>
      <c r="G427" s="2" t="s">
        <v>17</v>
      </c>
      <c r="H427" s="3" t="s">
        <v>102</v>
      </c>
      <c r="I427" s="6" t="s">
        <v>49</v>
      </c>
      <c r="J427" s="3" t="s">
        <v>25</v>
      </c>
      <c r="K427" s="5" t="s">
        <v>75</v>
      </c>
      <c r="M427" s="2" t="s">
        <v>17</v>
      </c>
      <c r="N427" s="3" t="s">
        <v>2008</v>
      </c>
      <c r="O427" s="5" t="s">
        <v>2009</v>
      </c>
      <c r="P427" s="181" t="s">
        <v>25</v>
      </c>
      <c r="Q427" s="6" t="s">
        <v>1248</v>
      </c>
    </row>
    <row r="428" spans="1:17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G428" s="2" t="s">
        <v>22</v>
      </c>
      <c r="H428" s="3" t="s">
        <v>268</v>
      </c>
      <c r="I428" s="3" t="s">
        <v>25</v>
      </c>
      <c r="J428" s="3" t="s">
        <v>25</v>
      </c>
      <c r="K428" s="5" t="s">
        <v>75</v>
      </c>
      <c r="M428" s="2" t="s">
        <v>22</v>
      </c>
      <c r="N428" s="3" t="s">
        <v>121</v>
      </c>
      <c r="O428" s="5" t="s">
        <v>101</v>
      </c>
      <c r="P428" s="181" t="s">
        <v>25</v>
      </c>
      <c r="Q428" s="3" t="s">
        <v>25</v>
      </c>
    </row>
    <row r="429" spans="1:17" x14ac:dyDescent="0.3">
      <c r="A429" s="7" t="s">
        <v>26</v>
      </c>
      <c r="B429" s="8">
        <v>72</v>
      </c>
      <c r="C429" s="8">
        <v>0</v>
      </c>
      <c r="D429" s="8">
        <v>0</v>
      </c>
      <c r="E429" s="8">
        <v>72</v>
      </c>
      <c r="G429" s="7" t="s">
        <v>26</v>
      </c>
      <c r="H429" s="8">
        <v>283</v>
      </c>
      <c r="I429" s="8">
        <v>166</v>
      </c>
      <c r="J429" s="8">
        <v>0</v>
      </c>
      <c r="K429" s="8">
        <v>117</v>
      </c>
      <c r="M429" s="7" t="s">
        <v>26</v>
      </c>
      <c r="N429" s="8">
        <v>252</v>
      </c>
      <c r="O429" s="8">
        <v>242</v>
      </c>
      <c r="P429" s="186">
        <v>0</v>
      </c>
      <c r="Q429" s="8">
        <v>10</v>
      </c>
    </row>
    <row r="430" spans="1:17" x14ac:dyDescent="0.3">
      <c r="A430" s="9" t="s">
        <v>27</v>
      </c>
      <c r="B430" s="10">
        <v>20</v>
      </c>
      <c r="C430" s="10">
        <v>0</v>
      </c>
      <c r="D430" s="10">
        <v>0</v>
      </c>
      <c r="E430" s="10">
        <v>20</v>
      </c>
      <c r="G430" s="9" t="s">
        <v>27</v>
      </c>
      <c r="H430" s="10">
        <v>20</v>
      </c>
      <c r="I430" s="10">
        <v>11</v>
      </c>
      <c r="J430" s="10">
        <v>0</v>
      </c>
      <c r="K430" s="10">
        <v>9</v>
      </c>
      <c r="M430" s="9" t="s">
        <v>27</v>
      </c>
      <c r="N430" s="10">
        <v>12</v>
      </c>
      <c r="O430" s="10">
        <v>4</v>
      </c>
      <c r="P430" s="188">
        <v>0</v>
      </c>
      <c r="Q430" s="10">
        <v>8</v>
      </c>
    </row>
    <row r="431" spans="1:17" x14ac:dyDescent="0.3">
      <c r="A431" s="9" t="s">
        <v>28</v>
      </c>
      <c r="B431" s="10">
        <v>10</v>
      </c>
      <c r="C431" s="10">
        <v>0</v>
      </c>
      <c r="D431" s="10">
        <v>0</v>
      </c>
      <c r="E431" s="10">
        <v>10</v>
      </c>
      <c r="G431" s="9" t="s">
        <v>28</v>
      </c>
      <c r="H431" s="10">
        <v>169</v>
      </c>
      <c r="I431" s="10">
        <v>96</v>
      </c>
      <c r="J431" s="10">
        <v>0</v>
      </c>
      <c r="K431" s="10">
        <v>73</v>
      </c>
      <c r="M431" s="9" t="s">
        <v>28</v>
      </c>
      <c r="N431" s="10">
        <v>4</v>
      </c>
      <c r="O431" s="10">
        <v>3</v>
      </c>
      <c r="P431" s="188">
        <v>0</v>
      </c>
      <c r="Q431" s="10">
        <v>1</v>
      </c>
    </row>
    <row r="432" spans="1:17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G432" s="9" t="s">
        <v>29</v>
      </c>
      <c r="H432" s="10">
        <v>8</v>
      </c>
      <c r="I432" s="10">
        <v>8</v>
      </c>
      <c r="J432" s="10">
        <v>0</v>
      </c>
      <c r="K432" s="10">
        <v>0</v>
      </c>
      <c r="M432" s="9" t="s">
        <v>29</v>
      </c>
      <c r="N432" s="10">
        <v>231</v>
      </c>
      <c r="O432" s="10">
        <v>231</v>
      </c>
      <c r="P432" s="188">
        <v>0</v>
      </c>
      <c r="Q432" s="10">
        <v>0</v>
      </c>
    </row>
    <row r="433" spans="1:17" x14ac:dyDescent="0.3">
      <c r="A433" s="9" t="s">
        <v>30</v>
      </c>
      <c r="B433" s="10">
        <v>42</v>
      </c>
      <c r="C433" s="10">
        <v>0</v>
      </c>
      <c r="D433" s="10">
        <v>0</v>
      </c>
      <c r="E433" s="10">
        <v>42</v>
      </c>
      <c r="G433" s="9" t="s">
        <v>30</v>
      </c>
      <c r="H433" s="10">
        <v>86</v>
      </c>
      <c r="I433" s="10">
        <v>51</v>
      </c>
      <c r="J433" s="10">
        <v>0</v>
      </c>
      <c r="K433" s="10">
        <v>35</v>
      </c>
      <c r="M433" s="9" t="s">
        <v>30</v>
      </c>
      <c r="N433" s="10">
        <v>5</v>
      </c>
      <c r="O433" s="10">
        <v>4</v>
      </c>
      <c r="P433" s="188">
        <v>0</v>
      </c>
      <c r="Q433" s="10">
        <v>1</v>
      </c>
    </row>
    <row r="434" spans="1:17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G434" s="9" t="s">
        <v>31</v>
      </c>
      <c r="H434" s="10">
        <v>0</v>
      </c>
      <c r="I434" s="10">
        <v>0</v>
      </c>
      <c r="J434" s="10">
        <v>0</v>
      </c>
      <c r="K434" s="10">
        <v>0</v>
      </c>
      <c r="M434" s="9" t="s">
        <v>31</v>
      </c>
      <c r="N434" s="10">
        <v>0</v>
      </c>
      <c r="O434" s="10">
        <v>0</v>
      </c>
      <c r="P434" s="188">
        <v>0</v>
      </c>
      <c r="Q434" s="10">
        <v>0</v>
      </c>
    </row>
    <row r="435" spans="1:17" x14ac:dyDescent="0.3">
      <c r="A435" s="11" t="s">
        <v>32</v>
      </c>
      <c r="B435" s="12">
        <v>18</v>
      </c>
      <c r="C435" s="12">
        <v>9</v>
      </c>
      <c r="D435" s="12">
        <v>0</v>
      </c>
      <c r="E435" s="12">
        <v>9</v>
      </c>
      <c r="G435" s="11" t="s">
        <v>32</v>
      </c>
      <c r="H435" s="12">
        <v>4</v>
      </c>
      <c r="I435" s="12">
        <v>2</v>
      </c>
      <c r="J435" s="12">
        <v>0</v>
      </c>
      <c r="K435" s="12">
        <v>2</v>
      </c>
      <c r="M435" s="11" t="s">
        <v>32</v>
      </c>
      <c r="N435" s="12">
        <v>713</v>
      </c>
      <c r="O435" s="12">
        <v>688</v>
      </c>
      <c r="P435" s="190">
        <v>0</v>
      </c>
      <c r="Q435" s="12">
        <v>25</v>
      </c>
    </row>
    <row r="436" spans="1:17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G436" s="13" t="s">
        <v>33</v>
      </c>
      <c r="H436" s="14">
        <v>0</v>
      </c>
      <c r="I436" s="14">
        <v>0</v>
      </c>
      <c r="J436" s="14">
        <v>0</v>
      </c>
      <c r="K436" s="14">
        <v>0</v>
      </c>
      <c r="M436" s="13" t="s">
        <v>33</v>
      </c>
      <c r="N436" s="14">
        <v>657</v>
      </c>
      <c r="O436" s="14">
        <v>654</v>
      </c>
      <c r="P436" s="192">
        <v>0</v>
      </c>
      <c r="Q436" s="14">
        <v>3</v>
      </c>
    </row>
    <row r="437" spans="1:17" x14ac:dyDescent="0.3">
      <c r="A437" s="13" t="s">
        <v>34</v>
      </c>
      <c r="B437" s="14">
        <v>18</v>
      </c>
      <c r="C437" s="14">
        <v>9</v>
      </c>
      <c r="D437" s="14">
        <v>0</v>
      </c>
      <c r="E437" s="14">
        <v>9</v>
      </c>
      <c r="G437" s="13" t="s">
        <v>34</v>
      </c>
      <c r="H437" s="14">
        <v>4</v>
      </c>
      <c r="I437" s="14">
        <v>2</v>
      </c>
      <c r="J437" s="14">
        <v>0</v>
      </c>
      <c r="K437" s="14">
        <v>2</v>
      </c>
      <c r="M437" s="13" t="s">
        <v>34</v>
      </c>
      <c r="N437" s="14">
        <v>56</v>
      </c>
      <c r="O437" s="14">
        <v>34</v>
      </c>
      <c r="P437" s="192">
        <v>0</v>
      </c>
      <c r="Q437" s="14">
        <v>22</v>
      </c>
    </row>
    <row r="438" spans="1:17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G438" s="15" t="s">
        <v>35</v>
      </c>
      <c r="H438" s="16">
        <v>2</v>
      </c>
      <c r="I438" s="16">
        <v>0</v>
      </c>
      <c r="J438" s="16">
        <v>0</v>
      </c>
      <c r="K438" s="16">
        <v>2</v>
      </c>
      <c r="M438" s="15" t="s">
        <v>35</v>
      </c>
      <c r="N438" s="16">
        <v>3</v>
      </c>
      <c r="O438" s="16">
        <v>3</v>
      </c>
      <c r="P438" s="194">
        <v>0</v>
      </c>
      <c r="Q438" s="16">
        <v>0</v>
      </c>
    </row>
    <row r="439" spans="1:17" x14ac:dyDescent="0.3">
      <c r="A439" s="17" t="s">
        <v>36</v>
      </c>
      <c r="B439" s="19">
        <v>0</v>
      </c>
      <c r="C439" s="19">
        <v>0</v>
      </c>
      <c r="D439" s="19">
        <v>0</v>
      </c>
      <c r="E439" s="19">
        <v>0</v>
      </c>
      <c r="G439" s="17" t="s">
        <v>36</v>
      </c>
      <c r="H439" s="109">
        <v>0</v>
      </c>
      <c r="I439" s="109">
        <v>0</v>
      </c>
      <c r="J439" s="109">
        <v>0</v>
      </c>
      <c r="K439" s="109">
        <v>0</v>
      </c>
      <c r="M439" s="17" t="s">
        <v>36</v>
      </c>
      <c r="N439" s="138">
        <v>3</v>
      </c>
      <c r="O439" s="138">
        <v>3</v>
      </c>
      <c r="P439" s="196">
        <v>0</v>
      </c>
      <c r="Q439" s="138">
        <v>0</v>
      </c>
    </row>
    <row r="440" spans="1:17" x14ac:dyDescent="0.3">
      <c r="A440" s="17" t="s">
        <v>37</v>
      </c>
      <c r="B440" s="19">
        <v>0</v>
      </c>
      <c r="C440" s="19">
        <v>0</v>
      </c>
      <c r="D440" s="19">
        <v>0</v>
      </c>
      <c r="E440" s="19">
        <v>0</v>
      </c>
      <c r="G440" s="17" t="s">
        <v>37</v>
      </c>
      <c r="H440" s="109">
        <v>2</v>
      </c>
      <c r="I440" s="109">
        <v>0</v>
      </c>
      <c r="J440" s="109">
        <v>0</v>
      </c>
      <c r="K440" s="109">
        <v>2</v>
      </c>
      <c r="M440" s="17" t="s">
        <v>37</v>
      </c>
      <c r="N440" s="138">
        <v>0</v>
      </c>
      <c r="O440" s="138">
        <v>0</v>
      </c>
      <c r="P440" s="196">
        <v>0</v>
      </c>
      <c r="Q440" s="138">
        <v>0</v>
      </c>
    </row>
    <row r="441" spans="1:17" x14ac:dyDescent="0.3">
      <c r="A441" s="17" t="s">
        <v>38</v>
      </c>
      <c r="B441" s="172" t="s">
        <v>372</v>
      </c>
      <c r="C441" s="173"/>
      <c r="D441" s="173"/>
      <c r="E441" s="173"/>
      <c r="G441" s="17" t="s">
        <v>38</v>
      </c>
      <c r="H441" s="172" t="s">
        <v>372</v>
      </c>
      <c r="I441" s="173"/>
      <c r="J441" s="173"/>
      <c r="K441" s="173"/>
      <c r="M441" s="17" t="s">
        <v>38</v>
      </c>
      <c r="N441" s="172" t="s">
        <v>1968</v>
      </c>
      <c r="O441" s="173"/>
      <c r="P441" s="173"/>
      <c r="Q441" s="173"/>
    </row>
    <row r="442" spans="1:17" ht="19.8" x14ac:dyDescent="0.3">
      <c r="A442" s="171">
        <v>46107</v>
      </c>
      <c r="B442" s="171"/>
      <c r="C442" s="171"/>
      <c r="D442" s="171"/>
      <c r="E442" s="171"/>
      <c r="G442" s="171">
        <v>46137</v>
      </c>
      <c r="H442" s="174"/>
      <c r="I442" s="174"/>
      <c r="J442" s="174"/>
      <c r="K442" s="174"/>
      <c r="M442" s="171">
        <v>46169</v>
      </c>
      <c r="N442" s="171"/>
      <c r="O442" s="171"/>
      <c r="P442" s="171"/>
      <c r="Q442" s="171"/>
    </row>
    <row r="443" spans="1:17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G443" s="1" t="s">
        <v>0</v>
      </c>
      <c r="H443" s="1" t="s">
        <v>1</v>
      </c>
      <c r="I443" s="1" t="s">
        <v>2</v>
      </c>
      <c r="J443" s="1" t="s">
        <v>3</v>
      </c>
      <c r="K443" s="1" t="s">
        <v>40</v>
      </c>
      <c r="M443" s="1" t="s">
        <v>0</v>
      </c>
      <c r="N443" s="1" t="s">
        <v>1</v>
      </c>
      <c r="O443" s="1" t="s">
        <v>2</v>
      </c>
      <c r="P443" s="1" t="s">
        <v>760</v>
      </c>
      <c r="Q443" s="1" t="s">
        <v>40</v>
      </c>
    </row>
    <row r="444" spans="1:17" x14ac:dyDescent="0.3">
      <c r="A444" s="2" t="s">
        <v>5</v>
      </c>
      <c r="B444" s="3">
        <v>3072</v>
      </c>
      <c r="C444" s="3">
        <v>1644</v>
      </c>
      <c r="D444" s="3">
        <v>0</v>
      </c>
      <c r="E444" s="3">
        <v>1428</v>
      </c>
      <c r="G444" s="2" t="s">
        <v>5</v>
      </c>
      <c r="H444" s="3">
        <v>3028</v>
      </c>
      <c r="I444" s="3">
        <v>1640</v>
      </c>
      <c r="J444" s="3">
        <v>0</v>
      </c>
      <c r="K444" s="3">
        <v>1388</v>
      </c>
      <c r="M444" s="2" t="s">
        <v>5</v>
      </c>
      <c r="N444" s="3">
        <f>O444+P444+Q444</f>
        <v>2823</v>
      </c>
      <c r="O444" s="3">
        <v>1318</v>
      </c>
      <c r="P444" s="3">
        <v>883</v>
      </c>
      <c r="Q444" s="3">
        <v>622</v>
      </c>
    </row>
    <row r="445" spans="1:17" x14ac:dyDescent="0.3">
      <c r="A445" s="2" t="s">
        <v>6</v>
      </c>
      <c r="B445" s="3">
        <v>113</v>
      </c>
      <c r="C445" s="6">
        <v>5</v>
      </c>
      <c r="D445" s="3">
        <v>0</v>
      </c>
      <c r="E445" s="5">
        <v>108</v>
      </c>
      <c r="G445" s="2" t="s">
        <v>6</v>
      </c>
      <c r="H445" s="3">
        <v>364</v>
      </c>
      <c r="I445" s="5">
        <v>210</v>
      </c>
      <c r="J445" s="3">
        <v>0</v>
      </c>
      <c r="K445" s="6">
        <v>154</v>
      </c>
      <c r="M445" s="2" t="s">
        <v>6</v>
      </c>
      <c r="N445" s="3">
        <f>O445+P445+Q445</f>
        <v>149</v>
      </c>
      <c r="O445" s="5">
        <v>79</v>
      </c>
      <c r="P445" s="5">
        <v>37</v>
      </c>
      <c r="Q445" s="6">
        <v>33</v>
      </c>
    </row>
    <row r="446" spans="1:17" x14ac:dyDescent="0.3">
      <c r="A446" s="2" t="s">
        <v>7</v>
      </c>
      <c r="B446" s="3" t="s">
        <v>502</v>
      </c>
      <c r="C446" s="6" t="s">
        <v>147</v>
      </c>
      <c r="D446" s="3">
        <v>0</v>
      </c>
      <c r="E446" s="5" t="s">
        <v>320</v>
      </c>
      <c r="G446" s="2" t="s">
        <v>7</v>
      </c>
      <c r="H446" s="3" t="s">
        <v>1432</v>
      </c>
      <c r="I446" s="5" t="s">
        <v>1652</v>
      </c>
      <c r="J446" s="3">
        <v>0</v>
      </c>
      <c r="K446" s="6" t="s">
        <v>1653</v>
      </c>
      <c r="M446" s="2" t="s">
        <v>7</v>
      </c>
      <c r="N446" s="48">
        <f>N445/N444</f>
        <v>5.2780729720155864E-2</v>
      </c>
      <c r="O446" s="5" t="s">
        <v>969</v>
      </c>
      <c r="P446" s="5" t="s">
        <v>835</v>
      </c>
      <c r="Q446" s="6" t="s">
        <v>882</v>
      </c>
    </row>
    <row r="447" spans="1:17" x14ac:dyDescent="0.3">
      <c r="A447" s="2" t="s">
        <v>12</v>
      </c>
      <c r="B447" s="3" t="s">
        <v>983</v>
      </c>
      <c r="C447" s="3" t="s">
        <v>25</v>
      </c>
      <c r="D447" s="3">
        <v>0</v>
      </c>
      <c r="E447" s="5" t="s">
        <v>984</v>
      </c>
      <c r="G447" s="2" t="s">
        <v>12</v>
      </c>
      <c r="H447" s="3" t="s">
        <v>1377</v>
      </c>
      <c r="I447" s="5" t="s">
        <v>1654</v>
      </c>
      <c r="J447" s="3">
        <v>0</v>
      </c>
      <c r="K447" s="6" t="s">
        <v>1267</v>
      </c>
      <c r="M447" s="2" t="s">
        <v>12</v>
      </c>
      <c r="N447" s="48">
        <f>N450/N444</f>
        <v>2.3733616719801631E-2</v>
      </c>
      <c r="O447" s="5" t="s">
        <v>237</v>
      </c>
      <c r="P447" s="5" t="s">
        <v>1396</v>
      </c>
      <c r="Q447" s="6" t="s">
        <v>534</v>
      </c>
    </row>
    <row r="448" spans="1:17" x14ac:dyDescent="0.3">
      <c r="A448" s="2" t="s">
        <v>17</v>
      </c>
      <c r="B448" s="3" t="s">
        <v>138</v>
      </c>
      <c r="C448" s="5" t="s">
        <v>102</v>
      </c>
      <c r="D448" s="3" t="s">
        <v>25</v>
      </c>
      <c r="E448" s="3" t="s">
        <v>25</v>
      </c>
      <c r="G448" s="2" t="s">
        <v>17</v>
      </c>
      <c r="H448" s="3" t="s">
        <v>99</v>
      </c>
      <c r="I448" s="6" t="s">
        <v>109</v>
      </c>
      <c r="J448" s="3" t="s">
        <v>25</v>
      </c>
      <c r="K448" s="5" t="s">
        <v>122</v>
      </c>
      <c r="M448" s="2" t="s">
        <v>17</v>
      </c>
      <c r="N448" s="48">
        <f>N456/N444</f>
        <v>3.0818278427205102E-2</v>
      </c>
      <c r="O448" s="5" t="s">
        <v>1602</v>
      </c>
      <c r="P448" s="5" t="s">
        <v>440</v>
      </c>
      <c r="Q448" s="6" t="s">
        <v>1346</v>
      </c>
    </row>
    <row r="449" spans="1:17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G449" s="2" t="s">
        <v>22</v>
      </c>
      <c r="H449" s="3" t="s">
        <v>25</v>
      </c>
      <c r="I449" s="3" t="s">
        <v>25</v>
      </c>
      <c r="J449" s="3" t="s">
        <v>25</v>
      </c>
      <c r="K449" s="3" t="s">
        <v>25</v>
      </c>
      <c r="M449" s="2" t="s">
        <v>22</v>
      </c>
      <c r="N449" s="3" t="s">
        <v>25</v>
      </c>
      <c r="O449" s="3" t="s">
        <v>25</v>
      </c>
      <c r="P449" s="3" t="s">
        <v>25</v>
      </c>
      <c r="Q449" s="3" t="s">
        <v>25</v>
      </c>
    </row>
    <row r="450" spans="1:17" x14ac:dyDescent="0.3">
      <c r="A450" s="7" t="s">
        <v>26</v>
      </c>
      <c r="B450" s="8">
        <v>107</v>
      </c>
      <c r="C450" s="8">
        <v>0</v>
      </c>
      <c r="D450" s="8">
        <v>0</v>
      </c>
      <c r="E450" s="8">
        <v>107</v>
      </c>
      <c r="G450" s="7" t="s">
        <v>26</v>
      </c>
      <c r="H450" s="8">
        <v>356</v>
      </c>
      <c r="I450" s="8">
        <v>206</v>
      </c>
      <c r="J450" s="8">
        <v>0</v>
      </c>
      <c r="K450" s="8">
        <v>150</v>
      </c>
      <c r="M450" s="7" t="s">
        <v>26</v>
      </c>
      <c r="N450" s="8">
        <f>O450+Q450+P450</f>
        <v>67</v>
      </c>
      <c r="O450" s="8">
        <v>33</v>
      </c>
      <c r="P450" s="8">
        <v>20</v>
      </c>
      <c r="Q450" s="8">
        <v>14</v>
      </c>
    </row>
    <row r="451" spans="1:17" x14ac:dyDescent="0.3">
      <c r="A451" s="9" t="s">
        <v>27</v>
      </c>
      <c r="B451" s="10">
        <v>11</v>
      </c>
      <c r="C451" s="10">
        <v>0</v>
      </c>
      <c r="D451" s="10">
        <v>0</v>
      </c>
      <c r="E451" s="10">
        <v>11</v>
      </c>
      <c r="G451" s="9" t="s">
        <v>27</v>
      </c>
      <c r="H451" s="10">
        <v>19</v>
      </c>
      <c r="I451" s="10">
        <v>10</v>
      </c>
      <c r="J451" s="10">
        <v>0</v>
      </c>
      <c r="K451" s="10">
        <v>9</v>
      </c>
      <c r="M451" s="9" t="s">
        <v>27</v>
      </c>
      <c r="N451" s="10">
        <f>O451+P451+Q451</f>
        <v>30</v>
      </c>
      <c r="O451" s="10">
        <v>9</v>
      </c>
      <c r="P451" s="10">
        <v>8</v>
      </c>
      <c r="Q451" s="10">
        <v>13</v>
      </c>
    </row>
    <row r="452" spans="1:17" x14ac:dyDescent="0.3">
      <c r="A452" s="9" t="s">
        <v>28</v>
      </c>
      <c r="B452" s="10">
        <v>10</v>
      </c>
      <c r="C452" s="10">
        <v>0</v>
      </c>
      <c r="D452" s="10">
        <v>0</v>
      </c>
      <c r="E452" s="10">
        <v>10</v>
      </c>
      <c r="G452" s="9" t="s">
        <v>28</v>
      </c>
      <c r="H452" s="10">
        <v>215</v>
      </c>
      <c r="I452" s="10">
        <v>113</v>
      </c>
      <c r="J452" s="10">
        <v>0</v>
      </c>
      <c r="K452" s="10">
        <v>102</v>
      </c>
      <c r="M452" s="9" t="s">
        <v>28</v>
      </c>
      <c r="N452" s="10">
        <f>O452+P452+Q452</f>
        <v>9</v>
      </c>
      <c r="O452" s="10">
        <v>9</v>
      </c>
      <c r="P452" s="10">
        <v>0</v>
      </c>
      <c r="Q452" s="10">
        <v>0</v>
      </c>
    </row>
    <row r="453" spans="1:17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G453" s="9" t="s">
        <v>29</v>
      </c>
      <c r="H453" s="10">
        <v>3</v>
      </c>
      <c r="I453" s="10">
        <v>3</v>
      </c>
      <c r="J453" s="10">
        <v>0</v>
      </c>
      <c r="K453" s="10">
        <v>0</v>
      </c>
      <c r="M453" s="9" t="s">
        <v>29</v>
      </c>
      <c r="N453" s="10">
        <f>P453</f>
        <v>12</v>
      </c>
      <c r="O453" s="10">
        <v>0</v>
      </c>
      <c r="P453" s="10">
        <v>12</v>
      </c>
      <c r="Q453" s="10">
        <v>0</v>
      </c>
    </row>
    <row r="454" spans="1:17" x14ac:dyDescent="0.3">
      <c r="A454" s="9" t="s">
        <v>30</v>
      </c>
      <c r="B454" s="10">
        <v>86</v>
      </c>
      <c r="C454" s="10">
        <v>0</v>
      </c>
      <c r="D454" s="10">
        <v>0</v>
      </c>
      <c r="E454" s="10">
        <v>86</v>
      </c>
      <c r="G454" s="9" t="s">
        <v>30</v>
      </c>
      <c r="H454" s="10">
        <v>119</v>
      </c>
      <c r="I454" s="10">
        <v>80</v>
      </c>
      <c r="J454" s="10">
        <v>0</v>
      </c>
      <c r="K454" s="10">
        <v>39</v>
      </c>
      <c r="M454" s="9" t="s">
        <v>30</v>
      </c>
      <c r="N454" s="10">
        <v>16</v>
      </c>
      <c r="O454" s="10">
        <v>15</v>
      </c>
      <c r="P454" s="10">
        <v>0</v>
      </c>
      <c r="Q454" s="10">
        <v>1</v>
      </c>
    </row>
    <row r="455" spans="1:17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G455" s="9" t="s">
        <v>31</v>
      </c>
      <c r="H455" s="10">
        <v>0</v>
      </c>
      <c r="I455" s="10">
        <v>0</v>
      </c>
      <c r="J455" s="10">
        <v>0</v>
      </c>
      <c r="K455" s="10">
        <v>0</v>
      </c>
      <c r="M455" s="9" t="s">
        <v>31</v>
      </c>
      <c r="N455" s="10">
        <v>0</v>
      </c>
      <c r="O455" s="10">
        <v>0</v>
      </c>
      <c r="P455" s="10">
        <v>0</v>
      </c>
      <c r="Q455" s="10">
        <v>0</v>
      </c>
    </row>
    <row r="456" spans="1:17" x14ac:dyDescent="0.3">
      <c r="A456" s="11" t="s">
        <v>32</v>
      </c>
      <c r="B456" s="12">
        <v>2</v>
      </c>
      <c r="C456" s="12">
        <v>2</v>
      </c>
      <c r="D456" s="12">
        <v>0</v>
      </c>
      <c r="E456" s="12">
        <v>0</v>
      </c>
      <c r="G456" s="11" t="s">
        <v>32</v>
      </c>
      <c r="H456" s="12">
        <v>6</v>
      </c>
      <c r="I456" s="12">
        <v>3</v>
      </c>
      <c r="J456" s="12">
        <v>0</v>
      </c>
      <c r="K456" s="12">
        <v>3</v>
      </c>
      <c r="M456" s="11" t="s">
        <v>32</v>
      </c>
      <c r="N456" s="12">
        <f>O456+P456+Q456</f>
        <v>87</v>
      </c>
      <c r="O456" s="12">
        <v>44</v>
      </c>
      <c r="P456" s="12">
        <v>24</v>
      </c>
      <c r="Q456" s="12">
        <v>19</v>
      </c>
    </row>
    <row r="457" spans="1:17" x14ac:dyDescent="0.3">
      <c r="A457" s="13" t="s">
        <v>33</v>
      </c>
      <c r="B457" s="14">
        <v>0</v>
      </c>
      <c r="C457" s="14">
        <v>0</v>
      </c>
      <c r="D457" s="14">
        <v>0</v>
      </c>
      <c r="E457" s="14">
        <v>0</v>
      </c>
      <c r="G457" s="13" t="s">
        <v>33</v>
      </c>
      <c r="H457" s="14">
        <v>0</v>
      </c>
      <c r="I457" s="14">
        <v>0</v>
      </c>
      <c r="J457" s="14">
        <v>0</v>
      </c>
      <c r="K457" s="14">
        <v>0</v>
      </c>
      <c r="M457" s="13" t="s">
        <v>33</v>
      </c>
      <c r="N457" s="14">
        <f>O457+P457+Q457</f>
        <v>33</v>
      </c>
      <c r="O457" s="14">
        <v>17</v>
      </c>
      <c r="P457" s="14">
        <v>10</v>
      </c>
      <c r="Q457" s="14">
        <v>6</v>
      </c>
    </row>
    <row r="458" spans="1:17" x14ac:dyDescent="0.3">
      <c r="A458" s="13" t="s">
        <v>34</v>
      </c>
      <c r="B458" s="14">
        <v>2</v>
      </c>
      <c r="C458" s="14">
        <v>2</v>
      </c>
      <c r="D458" s="14">
        <v>0</v>
      </c>
      <c r="E458" s="14">
        <v>0</v>
      </c>
      <c r="G458" s="13" t="s">
        <v>34</v>
      </c>
      <c r="H458" s="14">
        <v>6</v>
      </c>
      <c r="I458" s="14">
        <v>3</v>
      </c>
      <c r="J458" s="14">
        <v>0</v>
      </c>
      <c r="K458" s="14">
        <v>3</v>
      </c>
      <c r="M458" s="13" t="s">
        <v>34</v>
      </c>
      <c r="N458" s="14">
        <f>O458+P458+Q458</f>
        <v>54</v>
      </c>
      <c r="O458" s="14">
        <v>27</v>
      </c>
      <c r="P458" s="14">
        <v>14</v>
      </c>
      <c r="Q458" s="14">
        <v>13</v>
      </c>
    </row>
    <row r="459" spans="1:17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G459" s="15" t="s">
        <v>35</v>
      </c>
      <c r="H459" s="16">
        <v>0</v>
      </c>
      <c r="I459" s="16">
        <v>0</v>
      </c>
      <c r="J459" s="16">
        <v>0</v>
      </c>
      <c r="K459" s="16">
        <v>0</v>
      </c>
      <c r="M459" s="15" t="s">
        <v>35</v>
      </c>
      <c r="N459" s="16">
        <v>0</v>
      </c>
      <c r="O459" s="16">
        <v>0</v>
      </c>
      <c r="P459" s="16">
        <v>0</v>
      </c>
      <c r="Q459" s="16">
        <v>0</v>
      </c>
    </row>
    <row r="460" spans="1:17" x14ac:dyDescent="0.3">
      <c r="A460" s="17" t="s">
        <v>36</v>
      </c>
      <c r="B460" s="34">
        <v>0</v>
      </c>
      <c r="C460" s="34">
        <v>0</v>
      </c>
      <c r="D460" s="34">
        <v>0</v>
      </c>
      <c r="E460" s="34">
        <v>0</v>
      </c>
      <c r="G460" s="17" t="s">
        <v>36</v>
      </c>
      <c r="H460" s="109">
        <v>0</v>
      </c>
      <c r="I460" s="109">
        <v>0</v>
      </c>
      <c r="J460" s="109">
        <v>0</v>
      </c>
      <c r="K460" s="109">
        <v>0</v>
      </c>
      <c r="M460" s="17" t="s">
        <v>36</v>
      </c>
      <c r="N460" s="138">
        <v>0</v>
      </c>
      <c r="O460" s="138">
        <v>0</v>
      </c>
      <c r="P460" s="138">
        <v>0</v>
      </c>
      <c r="Q460" s="138">
        <v>0</v>
      </c>
    </row>
    <row r="461" spans="1:17" x14ac:dyDescent="0.3">
      <c r="A461" s="17" t="s">
        <v>37</v>
      </c>
      <c r="B461" s="34">
        <v>0</v>
      </c>
      <c r="C461" s="34">
        <v>0</v>
      </c>
      <c r="D461" s="34">
        <v>0</v>
      </c>
      <c r="E461" s="34">
        <v>0</v>
      </c>
      <c r="G461" s="17" t="s">
        <v>37</v>
      </c>
      <c r="H461" s="109">
        <v>0</v>
      </c>
      <c r="I461" s="109">
        <v>0</v>
      </c>
      <c r="J461" s="109">
        <v>0</v>
      </c>
      <c r="K461" s="109">
        <v>0</v>
      </c>
      <c r="M461" s="17" t="s">
        <v>37</v>
      </c>
      <c r="N461" s="138">
        <v>0</v>
      </c>
      <c r="O461" s="138">
        <v>0</v>
      </c>
      <c r="P461" s="138">
        <v>0</v>
      </c>
      <c r="Q461" s="138">
        <v>0</v>
      </c>
    </row>
    <row r="462" spans="1:17" x14ac:dyDescent="0.3">
      <c r="A462" s="17" t="s">
        <v>38</v>
      </c>
      <c r="B462" s="172" t="s">
        <v>85</v>
      </c>
      <c r="C462" s="173"/>
      <c r="D462" s="173"/>
      <c r="E462" s="173"/>
      <c r="G462" s="17" t="s">
        <v>38</v>
      </c>
      <c r="H462" s="172" t="s">
        <v>85</v>
      </c>
      <c r="I462" s="173"/>
      <c r="J462" s="173"/>
      <c r="K462" s="173"/>
      <c r="M462" s="17" t="s">
        <v>38</v>
      </c>
      <c r="N462" s="172" t="s">
        <v>1968</v>
      </c>
      <c r="O462" s="173"/>
      <c r="P462" s="173"/>
      <c r="Q462" s="173"/>
    </row>
    <row r="463" spans="1:17" ht="19.8" x14ac:dyDescent="0.3">
      <c r="A463" s="171">
        <v>46108</v>
      </c>
      <c r="B463" s="174"/>
      <c r="C463" s="174"/>
      <c r="D463" s="174"/>
      <c r="E463" s="174"/>
      <c r="G463" s="171">
        <v>46139</v>
      </c>
      <c r="H463" s="171"/>
      <c r="I463" s="171"/>
      <c r="J463" s="171"/>
      <c r="K463" s="171"/>
      <c r="M463" s="170">
        <v>46170</v>
      </c>
      <c r="N463" s="168"/>
      <c r="O463" s="168"/>
      <c r="P463" s="168"/>
      <c r="Q463" s="168"/>
    </row>
    <row r="464" spans="1:17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G464" s="1" t="s">
        <v>0</v>
      </c>
      <c r="H464" s="1" t="s">
        <v>1</v>
      </c>
      <c r="I464" s="1" t="s">
        <v>2</v>
      </c>
      <c r="J464" s="1" t="s">
        <v>3</v>
      </c>
      <c r="K464" s="1" t="s">
        <v>40</v>
      </c>
      <c r="M464" s="179" t="s">
        <v>0</v>
      </c>
      <c r="N464" s="179" t="s">
        <v>1</v>
      </c>
      <c r="O464" s="179" t="s">
        <v>2</v>
      </c>
      <c r="P464" s="179" t="s">
        <v>3</v>
      </c>
      <c r="Q464" s="179" t="s">
        <v>40</v>
      </c>
    </row>
    <row r="465" spans="1:17" x14ac:dyDescent="0.3">
      <c r="A465" s="2" t="s">
        <v>5</v>
      </c>
      <c r="B465" s="3">
        <v>3005</v>
      </c>
      <c r="C465" s="3">
        <v>1589</v>
      </c>
      <c r="D465" s="3">
        <v>0</v>
      </c>
      <c r="E465" s="3">
        <v>1416</v>
      </c>
      <c r="G465" s="2" t="s">
        <v>5</v>
      </c>
      <c r="H465" s="3">
        <v>2256</v>
      </c>
      <c r="I465" s="3">
        <v>1246</v>
      </c>
      <c r="J465" s="3">
        <v>0</v>
      </c>
      <c r="K465" s="3">
        <v>1010</v>
      </c>
      <c r="M465" s="180" t="s">
        <v>5</v>
      </c>
      <c r="N465" s="181">
        <v>3147</v>
      </c>
      <c r="O465" s="181">
        <v>1445</v>
      </c>
      <c r="P465" s="181">
        <v>1027</v>
      </c>
      <c r="Q465" s="181">
        <v>675</v>
      </c>
    </row>
    <row r="466" spans="1:17" x14ac:dyDescent="0.3">
      <c r="A466" s="2" t="s">
        <v>6</v>
      </c>
      <c r="B466" s="3">
        <v>268</v>
      </c>
      <c r="C466" s="6">
        <v>93</v>
      </c>
      <c r="D466" s="3">
        <v>0</v>
      </c>
      <c r="E466" s="5">
        <v>175</v>
      </c>
      <c r="G466" s="2" t="s">
        <v>6</v>
      </c>
      <c r="H466" s="3">
        <v>217</v>
      </c>
      <c r="I466" s="5">
        <v>121</v>
      </c>
      <c r="J466" s="3">
        <v>0</v>
      </c>
      <c r="K466" s="6">
        <v>96</v>
      </c>
      <c r="M466" s="180" t="s">
        <v>6</v>
      </c>
      <c r="N466" s="181">
        <v>166</v>
      </c>
      <c r="O466" s="183">
        <v>94</v>
      </c>
      <c r="P466" s="184">
        <v>51</v>
      </c>
      <c r="Q466" s="182">
        <v>21</v>
      </c>
    </row>
    <row r="467" spans="1:17" x14ac:dyDescent="0.3">
      <c r="A467" s="2" t="s">
        <v>7</v>
      </c>
      <c r="B467" s="3" t="s">
        <v>1022</v>
      </c>
      <c r="C467" s="6" t="s">
        <v>1023</v>
      </c>
      <c r="D467" s="3">
        <v>0</v>
      </c>
      <c r="E467" s="5" t="s">
        <v>1024</v>
      </c>
      <c r="G467" s="2" t="s">
        <v>7</v>
      </c>
      <c r="H467" s="3" t="s">
        <v>381</v>
      </c>
      <c r="I467" s="5" t="s">
        <v>1582</v>
      </c>
      <c r="J467" s="3">
        <v>0</v>
      </c>
      <c r="K467" s="6" t="s">
        <v>1610</v>
      </c>
      <c r="M467" s="180" t="s">
        <v>7</v>
      </c>
      <c r="N467" s="181" t="s">
        <v>1386</v>
      </c>
      <c r="O467" s="183" t="s">
        <v>1903</v>
      </c>
      <c r="P467" s="184" t="s">
        <v>179</v>
      </c>
      <c r="Q467" s="182" t="s">
        <v>1467</v>
      </c>
    </row>
    <row r="468" spans="1:17" x14ac:dyDescent="0.3">
      <c r="A468" s="2" t="s">
        <v>12</v>
      </c>
      <c r="B468" s="3" t="s">
        <v>1025</v>
      </c>
      <c r="C468" s="6" t="s">
        <v>413</v>
      </c>
      <c r="D468" s="3">
        <v>0</v>
      </c>
      <c r="E468" s="5" t="s">
        <v>898</v>
      </c>
      <c r="G468" s="2" t="s">
        <v>12</v>
      </c>
      <c r="H468" s="3" t="s">
        <v>895</v>
      </c>
      <c r="I468" s="5" t="s">
        <v>736</v>
      </c>
      <c r="J468" s="3">
        <v>0</v>
      </c>
      <c r="K468" s="6" t="s">
        <v>15</v>
      </c>
      <c r="M468" s="180" t="s">
        <v>12</v>
      </c>
      <c r="N468" s="181" t="s">
        <v>1635</v>
      </c>
      <c r="O468" s="183" t="s">
        <v>106</v>
      </c>
      <c r="P468" s="184" t="s">
        <v>809</v>
      </c>
      <c r="Q468" s="182" t="s">
        <v>505</v>
      </c>
    </row>
    <row r="469" spans="1:17" x14ac:dyDescent="0.3">
      <c r="A469" s="2" t="s">
        <v>17</v>
      </c>
      <c r="B469" s="3" t="s">
        <v>596</v>
      </c>
      <c r="C469" s="5" t="s">
        <v>152</v>
      </c>
      <c r="D469" s="3" t="s">
        <v>25</v>
      </c>
      <c r="E469" s="6" t="s">
        <v>76</v>
      </c>
      <c r="G469" s="2" t="s">
        <v>17</v>
      </c>
      <c r="H469" s="3" t="s">
        <v>74</v>
      </c>
      <c r="I469" s="6" t="s">
        <v>347</v>
      </c>
      <c r="J469" s="3" t="s">
        <v>25</v>
      </c>
      <c r="K469" s="5" t="s">
        <v>491</v>
      </c>
      <c r="M469" s="180" t="s">
        <v>17</v>
      </c>
      <c r="N469" s="181" t="s">
        <v>131</v>
      </c>
      <c r="O469" s="183" t="s">
        <v>352</v>
      </c>
      <c r="P469" s="182" t="s">
        <v>472</v>
      </c>
      <c r="Q469" s="184" t="s">
        <v>581</v>
      </c>
    </row>
    <row r="470" spans="1:17" x14ac:dyDescent="0.3">
      <c r="A470" s="2" t="s">
        <v>22</v>
      </c>
      <c r="B470" s="3" t="s">
        <v>25</v>
      </c>
      <c r="C470" s="3" t="s">
        <v>25</v>
      </c>
      <c r="D470" s="3" t="s">
        <v>25</v>
      </c>
      <c r="E470" s="3" t="s">
        <v>25</v>
      </c>
      <c r="G470" s="2" t="s">
        <v>22</v>
      </c>
      <c r="H470" s="3" t="s">
        <v>25</v>
      </c>
      <c r="I470" s="3" t="s">
        <v>25</v>
      </c>
      <c r="J470" s="3" t="s">
        <v>25</v>
      </c>
      <c r="K470" s="3" t="s">
        <v>25</v>
      </c>
      <c r="M470" s="180" t="s">
        <v>22</v>
      </c>
      <c r="N470" s="181" t="s">
        <v>25</v>
      </c>
      <c r="O470" s="181" t="s">
        <v>25</v>
      </c>
      <c r="P470" s="181" t="s">
        <v>25</v>
      </c>
      <c r="Q470" s="181" t="s">
        <v>25</v>
      </c>
    </row>
    <row r="471" spans="1:17" x14ac:dyDescent="0.3">
      <c r="A471" s="7" t="s">
        <v>26</v>
      </c>
      <c r="B471" s="8">
        <v>247</v>
      </c>
      <c r="C471" s="8">
        <v>81</v>
      </c>
      <c r="D471" s="8">
        <v>0</v>
      </c>
      <c r="E471" s="8">
        <v>166</v>
      </c>
      <c r="G471" s="7" t="s">
        <v>26</v>
      </c>
      <c r="H471" s="8">
        <v>211</v>
      </c>
      <c r="I471" s="8">
        <v>119</v>
      </c>
      <c r="J471" s="8">
        <v>0</v>
      </c>
      <c r="K471" s="8">
        <v>92</v>
      </c>
      <c r="M471" s="185" t="s">
        <v>26</v>
      </c>
      <c r="N471" s="186">
        <v>110</v>
      </c>
      <c r="O471" s="186">
        <v>63</v>
      </c>
      <c r="P471" s="186">
        <v>39</v>
      </c>
      <c r="Q471" s="186">
        <v>8</v>
      </c>
    </row>
    <row r="472" spans="1:17" x14ac:dyDescent="0.3">
      <c r="A472" s="9" t="s">
        <v>27</v>
      </c>
      <c r="B472" s="10">
        <v>49</v>
      </c>
      <c r="C472" s="10">
        <v>9</v>
      </c>
      <c r="D472" s="10">
        <v>0</v>
      </c>
      <c r="E472" s="10">
        <v>40</v>
      </c>
      <c r="G472" s="9" t="s">
        <v>27</v>
      </c>
      <c r="H472" s="10">
        <v>28</v>
      </c>
      <c r="I472" s="10">
        <v>15</v>
      </c>
      <c r="J472" s="10">
        <v>0</v>
      </c>
      <c r="K472" s="10">
        <v>13</v>
      </c>
      <c r="M472" s="187" t="s">
        <v>27</v>
      </c>
      <c r="N472" s="188">
        <v>51</v>
      </c>
      <c r="O472" s="188">
        <v>14</v>
      </c>
      <c r="P472" s="188">
        <v>30</v>
      </c>
      <c r="Q472" s="188">
        <v>7</v>
      </c>
    </row>
    <row r="473" spans="1:17" x14ac:dyDescent="0.3">
      <c r="A473" s="9" t="s">
        <v>28</v>
      </c>
      <c r="B473" s="10">
        <v>49</v>
      </c>
      <c r="C473" s="10">
        <v>17</v>
      </c>
      <c r="D473" s="10">
        <v>0</v>
      </c>
      <c r="E473" s="10">
        <v>32</v>
      </c>
      <c r="G473" s="9" t="s">
        <v>28</v>
      </c>
      <c r="H473" s="10">
        <v>96</v>
      </c>
      <c r="I473" s="10">
        <v>51</v>
      </c>
      <c r="J473" s="10">
        <v>0</v>
      </c>
      <c r="K473" s="10">
        <v>45</v>
      </c>
      <c r="M473" s="187" t="s">
        <v>28</v>
      </c>
      <c r="N473" s="188">
        <v>15</v>
      </c>
      <c r="O473" s="188">
        <v>14</v>
      </c>
      <c r="P473" s="188">
        <v>0</v>
      </c>
      <c r="Q473" s="188">
        <v>1</v>
      </c>
    </row>
    <row r="474" spans="1:17" x14ac:dyDescent="0.3">
      <c r="A474" s="9" t="s">
        <v>29</v>
      </c>
      <c r="B474" s="10">
        <v>1</v>
      </c>
      <c r="C474" s="10">
        <v>1</v>
      </c>
      <c r="D474" s="10">
        <v>0</v>
      </c>
      <c r="E474" s="10">
        <v>0</v>
      </c>
      <c r="G474" s="9" t="s">
        <v>29</v>
      </c>
      <c r="H474" s="10">
        <v>3</v>
      </c>
      <c r="I474" s="10">
        <v>3</v>
      </c>
      <c r="J474" s="10">
        <v>0</v>
      </c>
      <c r="K474" s="10">
        <v>0</v>
      </c>
      <c r="M474" s="187" t="s">
        <v>29</v>
      </c>
      <c r="N474" s="188">
        <v>9</v>
      </c>
      <c r="O474" s="188">
        <v>0</v>
      </c>
      <c r="P474" s="188">
        <v>9</v>
      </c>
      <c r="Q474" s="188">
        <v>0</v>
      </c>
    </row>
    <row r="475" spans="1:17" x14ac:dyDescent="0.3">
      <c r="A475" s="9" t="s">
        <v>30</v>
      </c>
      <c r="B475" s="10">
        <v>148</v>
      </c>
      <c r="C475" s="10">
        <v>54</v>
      </c>
      <c r="D475" s="10">
        <v>0</v>
      </c>
      <c r="E475" s="10">
        <v>94</v>
      </c>
      <c r="G475" s="9" t="s">
        <v>30</v>
      </c>
      <c r="H475" s="10">
        <v>84</v>
      </c>
      <c r="I475" s="10">
        <v>50</v>
      </c>
      <c r="J475" s="10">
        <v>0</v>
      </c>
      <c r="K475" s="10">
        <v>34</v>
      </c>
      <c r="M475" s="187" t="s">
        <v>30</v>
      </c>
      <c r="N475" s="188">
        <v>35</v>
      </c>
      <c r="O475" s="188">
        <v>35</v>
      </c>
      <c r="P475" s="188">
        <v>0</v>
      </c>
      <c r="Q475" s="188">
        <v>0</v>
      </c>
    </row>
    <row r="476" spans="1:17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G476" s="9" t="s">
        <v>31</v>
      </c>
      <c r="H476" s="10">
        <v>0</v>
      </c>
      <c r="I476" s="10">
        <v>0</v>
      </c>
      <c r="J476" s="10">
        <v>0</v>
      </c>
      <c r="K476" s="10">
        <v>0</v>
      </c>
      <c r="M476" s="187" t="s">
        <v>31</v>
      </c>
      <c r="N476" s="188">
        <v>0</v>
      </c>
      <c r="O476" s="188">
        <v>0</v>
      </c>
      <c r="P476" s="188">
        <v>0</v>
      </c>
      <c r="Q476" s="188">
        <v>0</v>
      </c>
    </row>
    <row r="477" spans="1:17" x14ac:dyDescent="0.3">
      <c r="A477" s="11" t="s">
        <v>32</v>
      </c>
      <c r="B477" s="12">
        <v>17</v>
      </c>
      <c r="C477" s="12">
        <v>10</v>
      </c>
      <c r="D477" s="12">
        <v>0</v>
      </c>
      <c r="E477" s="12">
        <v>7</v>
      </c>
      <c r="G477" s="11" t="s">
        <v>32</v>
      </c>
      <c r="H477" s="12">
        <v>7</v>
      </c>
      <c r="I477" s="12">
        <v>3</v>
      </c>
      <c r="J477" s="12">
        <v>0</v>
      </c>
      <c r="K477" s="12">
        <v>4</v>
      </c>
      <c r="M477" s="189" t="s">
        <v>32</v>
      </c>
      <c r="N477" s="190">
        <v>61</v>
      </c>
      <c r="O477" s="190">
        <v>31</v>
      </c>
      <c r="P477" s="190">
        <v>17</v>
      </c>
      <c r="Q477" s="190">
        <v>13</v>
      </c>
    </row>
    <row r="478" spans="1:17" x14ac:dyDescent="0.3">
      <c r="A478" s="13" t="s">
        <v>33</v>
      </c>
      <c r="B478" s="14">
        <v>1</v>
      </c>
      <c r="C478" s="14">
        <v>1</v>
      </c>
      <c r="D478" s="14">
        <v>0</v>
      </c>
      <c r="E478" s="14">
        <v>0</v>
      </c>
      <c r="G478" s="13" t="s">
        <v>33</v>
      </c>
      <c r="H478" s="14">
        <v>1</v>
      </c>
      <c r="I478" s="14">
        <v>1</v>
      </c>
      <c r="J478" s="14">
        <v>0</v>
      </c>
      <c r="K478" s="14">
        <v>0</v>
      </c>
      <c r="M478" s="191" t="s">
        <v>33</v>
      </c>
      <c r="N478" s="192">
        <v>21</v>
      </c>
      <c r="O478" s="192">
        <v>10</v>
      </c>
      <c r="P478" s="192">
        <v>5</v>
      </c>
      <c r="Q478" s="192">
        <v>6</v>
      </c>
    </row>
    <row r="479" spans="1:17" x14ac:dyDescent="0.3">
      <c r="A479" s="13" t="s">
        <v>34</v>
      </c>
      <c r="B479" s="14">
        <v>16</v>
      </c>
      <c r="C479" s="14">
        <v>9</v>
      </c>
      <c r="D479" s="14">
        <v>0</v>
      </c>
      <c r="E479" s="14">
        <v>7</v>
      </c>
      <c r="G479" s="13" t="s">
        <v>34</v>
      </c>
      <c r="H479" s="14">
        <v>6</v>
      </c>
      <c r="I479" s="14">
        <v>2</v>
      </c>
      <c r="J479" s="14">
        <v>0</v>
      </c>
      <c r="K479" s="14">
        <v>4</v>
      </c>
      <c r="M479" s="191" t="s">
        <v>34</v>
      </c>
      <c r="N479" s="192">
        <v>40</v>
      </c>
      <c r="O479" s="192">
        <v>21</v>
      </c>
      <c r="P479" s="192">
        <v>12</v>
      </c>
      <c r="Q479" s="192">
        <v>7</v>
      </c>
    </row>
    <row r="480" spans="1:17" x14ac:dyDescent="0.3">
      <c r="A480" s="15" t="s">
        <v>35</v>
      </c>
      <c r="B480" s="16">
        <v>0</v>
      </c>
      <c r="C480" s="16">
        <v>0</v>
      </c>
      <c r="D480" s="16">
        <v>0</v>
      </c>
      <c r="E480" s="16">
        <v>0</v>
      </c>
      <c r="G480" s="15" t="s">
        <v>35</v>
      </c>
      <c r="H480" s="16">
        <v>0</v>
      </c>
      <c r="I480" s="16">
        <v>0</v>
      </c>
      <c r="J480" s="16">
        <v>0</v>
      </c>
      <c r="K480" s="16">
        <v>0</v>
      </c>
      <c r="M480" s="193" t="s">
        <v>35</v>
      </c>
      <c r="N480" s="194">
        <v>0</v>
      </c>
      <c r="O480" s="194">
        <v>0</v>
      </c>
      <c r="P480" s="194">
        <v>0</v>
      </c>
      <c r="Q480" s="194">
        <v>0</v>
      </c>
    </row>
    <row r="481" spans="1:17" x14ac:dyDescent="0.3">
      <c r="A481" s="17" t="s">
        <v>36</v>
      </c>
      <c r="B481" s="55">
        <v>0</v>
      </c>
      <c r="C481" s="55">
        <v>0</v>
      </c>
      <c r="D481" s="55">
        <v>0</v>
      </c>
      <c r="E481" s="55">
        <v>0</v>
      </c>
      <c r="G481" s="17" t="s">
        <v>36</v>
      </c>
      <c r="H481" s="109">
        <v>0</v>
      </c>
      <c r="I481" s="109">
        <v>0</v>
      </c>
      <c r="J481" s="109">
        <v>0</v>
      </c>
      <c r="K481" s="109">
        <v>0</v>
      </c>
      <c r="M481" s="195" t="s">
        <v>36</v>
      </c>
      <c r="N481" s="196">
        <v>0</v>
      </c>
      <c r="O481" s="196">
        <v>0</v>
      </c>
      <c r="P481" s="196">
        <v>0</v>
      </c>
      <c r="Q481" s="196">
        <v>0</v>
      </c>
    </row>
    <row r="482" spans="1:17" x14ac:dyDescent="0.3">
      <c r="A482" s="17" t="s">
        <v>37</v>
      </c>
      <c r="B482" s="55">
        <v>0</v>
      </c>
      <c r="C482" s="55">
        <v>0</v>
      </c>
      <c r="D482" s="55">
        <v>0</v>
      </c>
      <c r="E482" s="55">
        <v>0</v>
      </c>
      <c r="G482" s="17" t="s">
        <v>37</v>
      </c>
      <c r="H482" s="109">
        <v>0</v>
      </c>
      <c r="I482" s="109">
        <v>0</v>
      </c>
      <c r="J482" s="109">
        <v>0</v>
      </c>
      <c r="K482" s="109">
        <v>0</v>
      </c>
      <c r="M482" s="195" t="s">
        <v>37</v>
      </c>
      <c r="N482" s="196">
        <v>0</v>
      </c>
      <c r="O482" s="196">
        <v>0</v>
      </c>
      <c r="P482" s="196">
        <v>0</v>
      </c>
      <c r="Q482" s="196">
        <v>0</v>
      </c>
    </row>
    <row r="483" spans="1:17" x14ac:dyDescent="0.3">
      <c r="A483" s="17" t="s">
        <v>38</v>
      </c>
      <c r="B483" s="172" t="s">
        <v>85</v>
      </c>
      <c r="C483" s="173"/>
      <c r="D483" s="173"/>
      <c r="E483" s="173"/>
      <c r="G483" s="17" t="s">
        <v>38</v>
      </c>
      <c r="H483" s="172" t="s">
        <v>85</v>
      </c>
      <c r="I483" s="173"/>
      <c r="J483" s="173"/>
      <c r="K483" s="173"/>
      <c r="M483" s="195" t="s">
        <v>38</v>
      </c>
      <c r="N483" s="167" t="s">
        <v>2022</v>
      </c>
      <c r="O483" s="168"/>
      <c r="P483" s="168"/>
      <c r="Q483" s="168"/>
    </row>
    <row r="484" spans="1:17" ht="19.8" x14ac:dyDescent="0.3">
      <c r="A484" s="171">
        <v>46109</v>
      </c>
      <c r="B484" s="171"/>
      <c r="C484" s="171"/>
      <c r="D484" s="171"/>
      <c r="E484" s="171"/>
      <c r="G484" s="170">
        <v>46140</v>
      </c>
      <c r="H484" s="170"/>
      <c r="I484" s="170"/>
      <c r="J484" s="170"/>
      <c r="K484" s="170"/>
    </row>
    <row r="485" spans="1:17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G485" s="1" t="s">
        <v>0</v>
      </c>
      <c r="H485" s="1" t="s">
        <v>1</v>
      </c>
      <c r="I485" s="1" t="s">
        <v>2</v>
      </c>
      <c r="J485" s="1" t="s">
        <v>3</v>
      </c>
      <c r="K485" s="1" t="s">
        <v>40</v>
      </c>
    </row>
    <row r="486" spans="1:17" x14ac:dyDescent="0.3">
      <c r="A486" s="2" t="s">
        <v>5</v>
      </c>
      <c r="B486" s="3">
        <v>2420</v>
      </c>
      <c r="C486" s="3">
        <v>1309</v>
      </c>
      <c r="D486" s="3">
        <v>0</v>
      </c>
      <c r="E486" s="3">
        <v>1111</v>
      </c>
      <c r="G486" s="2" t="s">
        <v>5</v>
      </c>
      <c r="H486" s="3">
        <v>3498</v>
      </c>
      <c r="I486" s="3">
        <v>1955</v>
      </c>
      <c r="J486" s="3">
        <v>0</v>
      </c>
      <c r="K486" s="3">
        <v>1543</v>
      </c>
    </row>
    <row r="487" spans="1:17" x14ac:dyDescent="0.3">
      <c r="A487" s="2" t="s">
        <v>6</v>
      </c>
      <c r="B487" s="3">
        <v>274</v>
      </c>
      <c r="C487" s="6">
        <v>120</v>
      </c>
      <c r="D487" s="3">
        <v>0</v>
      </c>
      <c r="E487" s="5">
        <v>154</v>
      </c>
      <c r="G487" s="2" t="s">
        <v>6</v>
      </c>
      <c r="H487" s="3">
        <v>345</v>
      </c>
      <c r="I487" s="5">
        <v>203</v>
      </c>
      <c r="J487" s="3">
        <v>0</v>
      </c>
      <c r="K487" s="6">
        <v>142</v>
      </c>
    </row>
    <row r="488" spans="1:17" x14ac:dyDescent="0.3">
      <c r="A488" s="2" t="s">
        <v>7</v>
      </c>
      <c r="B488" s="3" t="s">
        <v>1058</v>
      </c>
      <c r="C488" s="6" t="s">
        <v>1059</v>
      </c>
      <c r="D488" s="3">
        <v>0</v>
      </c>
      <c r="E488" s="5" t="s">
        <v>384</v>
      </c>
      <c r="G488" s="2" t="s">
        <v>7</v>
      </c>
      <c r="H488" s="3" t="s">
        <v>500</v>
      </c>
      <c r="I488" s="5" t="s">
        <v>1697</v>
      </c>
      <c r="J488" s="3">
        <v>0</v>
      </c>
      <c r="K488" s="6" t="s">
        <v>1216</v>
      </c>
    </row>
    <row r="489" spans="1:17" x14ac:dyDescent="0.3">
      <c r="A489" s="2" t="s">
        <v>12</v>
      </c>
      <c r="B489" s="3" t="s">
        <v>1060</v>
      </c>
      <c r="C489" s="6" t="s">
        <v>1061</v>
      </c>
      <c r="D489" s="3">
        <v>0</v>
      </c>
      <c r="E489" s="5" t="s">
        <v>1062</v>
      </c>
      <c r="G489" s="2" t="s">
        <v>12</v>
      </c>
      <c r="H489" s="3" t="s">
        <v>376</v>
      </c>
      <c r="I489" s="5" t="s">
        <v>21</v>
      </c>
      <c r="J489" s="3">
        <v>0</v>
      </c>
      <c r="K489" s="6" t="s">
        <v>1216</v>
      </c>
    </row>
    <row r="490" spans="1:17" x14ac:dyDescent="0.3">
      <c r="A490" s="2" t="s">
        <v>17</v>
      </c>
      <c r="B490" s="3" t="s">
        <v>108</v>
      </c>
      <c r="C490" s="5" t="s">
        <v>266</v>
      </c>
      <c r="D490" s="3" t="s">
        <v>25</v>
      </c>
      <c r="E490" s="6" t="s">
        <v>84</v>
      </c>
      <c r="G490" s="2" t="s">
        <v>17</v>
      </c>
      <c r="H490" s="3" t="s">
        <v>84</v>
      </c>
      <c r="I490" s="5" t="s">
        <v>81</v>
      </c>
      <c r="J490" s="3" t="s">
        <v>25</v>
      </c>
      <c r="K490" s="6" t="s">
        <v>268</v>
      </c>
    </row>
    <row r="491" spans="1:17" x14ac:dyDescent="0.3">
      <c r="A491" s="2" t="s">
        <v>22</v>
      </c>
      <c r="B491" s="3" t="s">
        <v>362</v>
      </c>
      <c r="C491" s="6" t="s">
        <v>773</v>
      </c>
      <c r="D491" s="3" t="s">
        <v>25</v>
      </c>
      <c r="E491" s="5" t="s">
        <v>583</v>
      </c>
      <c r="G491" s="2" t="s">
        <v>22</v>
      </c>
      <c r="H491" s="3" t="s">
        <v>25</v>
      </c>
      <c r="I491" s="3" t="s">
        <v>25</v>
      </c>
      <c r="J491" s="3" t="s">
        <v>25</v>
      </c>
      <c r="K491" s="3" t="s">
        <v>25</v>
      </c>
    </row>
    <row r="492" spans="1:17" x14ac:dyDescent="0.3">
      <c r="A492" s="7" t="s">
        <v>26</v>
      </c>
      <c r="B492" s="8">
        <v>270</v>
      </c>
      <c r="C492" s="8">
        <v>118</v>
      </c>
      <c r="D492" s="8">
        <v>0</v>
      </c>
      <c r="E492" s="8">
        <v>152</v>
      </c>
      <c r="G492" s="7" t="s">
        <v>26</v>
      </c>
      <c r="H492" s="8">
        <v>343</v>
      </c>
      <c r="I492" s="8">
        <v>201</v>
      </c>
      <c r="J492" s="8">
        <v>0</v>
      </c>
      <c r="K492" s="8">
        <v>142</v>
      </c>
    </row>
    <row r="493" spans="1:17" x14ac:dyDescent="0.3">
      <c r="A493" s="9" t="s">
        <v>27</v>
      </c>
      <c r="B493" s="10">
        <v>50</v>
      </c>
      <c r="C493" s="10">
        <v>17</v>
      </c>
      <c r="D493" s="10">
        <v>0</v>
      </c>
      <c r="E493" s="10">
        <v>33</v>
      </c>
      <c r="G493" s="9" t="s">
        <v>27</v>
      </c>
      <c r="H493" s="10">
        <v>33</v>
      </c>
      <c r="I493" s="10">
        <v>20</v>
      </c>
      <c r="J493" s="10">
        <v>0</v>
      </c>
      <c r="K493" s="10">
        <v>13</v>
      </c>
    </row>
    <row r="494" spans="1:17" x14ac:dyDescent="0.3">
      <c r="A494" s="9" t="s">
        <v>28</v>
      </c>
      <c r="B494" s="10">
        <v>59</v>
      </c>
      <c r="C494" s="10">
        <v>26</v>
      </c>
      <c r="D494" s="10">
        <v>0</v>
      </c>
      <c r="E494" s="10">
        <v>33</v>
      </c>
      <c r="G494" s="9" t="s">
        <v>28</v>
      </c>
      <c r="H494" s="10">
        <v>156</v>
      </c>
      <c r="I494" s="10">
        <v>83</v>
      </c>
      <c r="J494" s="10">
        <v>0</v>
      </c>
      <c r="K494" s="10">
        <v>73</v>
      </c>
    </row>
    <row r="495" spans="1:17" x14ac:dyDescent="0.3">
      <c r="A495" s="9" t="s">
        <v>29</v>
      </c>
      <c r="B495" s="10">
        <v>2</v>
      </c>
      <c r="C495" s="10">
        <v>2</v>
      </c>
      <c r="D495" s="10">
        <v>0</v>
      </c>
      <c r="E495" s="10">
        <v>0</v>
      </c>
      <c r="G495" s="9" t="s">
        <v>29</v>
      </c>
      <c r="H495" s="10">
        <v>10</v>
      </c>
      <c r="I495" s="10">
        <v>10</v>
      </c>
      <c r="J495" s="10">
        <v>0</v>
      </c>
      <c r="K495" s="10">
        <v>0</v>
      </c>
    </row>
    <row r="496" spans="1:17" x14ac:dyDescent="0.3">
      <c r="A496" s="9" t="s">
        <v>30</v>
      </c>
      <c r="B496" s="10">
        <v>159</v>
      </c>
      <c r="C496" s="10">
        <v>73</v>
      </c>
      <c r="D496" s="10">
        <v>0</v>
      </c>
      <c r="E496" s="10">
        <v>86</v>
      </c>
      <c r="G496" s="9" t="s">
        <v>30</v>
      </c>
      <c r="H496" s="10">
        <v>144</v>
      </c>
      <c r="I496" s="10">
        <v>88</v>
      </c>
      <c r="J496" s="10">
        <v>0</v>
      </c>
      <c r="K496" s="10">
        <v>56</v>
      </c>
    </row>
    <row r="497" spans="1:11" x14ac:dyDescent="0.3">
      <c r="A497" s="9" t="s">
        <v>31</v>
      </c>
      <c r="B497" s="10">
        <v>0</v>
      </c>
      <c r="C497" s="10">
        <v>0</v>
      </c>
      <c r="D497" s="10">
        <v>0</v>
      </c>
      <c r="E497" s="10">
        <v>0</v>
      </c>
      <c r="G497" s="9" t="s">
        <v>31</v>
      </c>
      <c r="H497" s="10">
        <v>0</v>
      </c>
      <c r="I497" s="10">
        <v>0</v>
      </c>
      <c r="J497" s="10">
        <v>0</v>
      </c>
      <c r="K497" s="10">
        <v>0</v>
      </c>
    </row>
    <row r="498" spans="1:11" x14ac:dyDescent="0.3">
      <c r="A498" s="11" t="s">
        <v>32</v>
      </c>
      <c r="B498" s="12">
        <v>4</v>
      </c>
      <c r="C498" s="12">
        <v>3</v>
      </c>
      <c r="D498" s="12">
        <v>0</v>
      </c>
      <c r="E498" s="12">
        <v>1</v>
      </c>
      <c r="G498" s="11" t="s">
        <v>32</v>
      </c>
      <c r="H498" s="12">
        <v>3</v>
      </c>
      <c r="I498" s="12">
        <v>2</v>
      </c>
      <c r="J498" s="12">
        <v>0</v>
      </c>
      <c r="K498" s="12">
        <v>1</v>
      </c>
    </row>
    <row r="499" spans="1:11" x14ac:dyDescent="0.3">
      <c r="A499" s="13" t="s">
        <v>33</v>
      </c>
      <c r="B499" s="14">
        <v>2</v>
      </c>
      <c r="C499" s="14">
        <v>2</v>
      </c>
      <c r="D499" s="14">
        <v>0</v>
      </c>
      <c r="E499" s="14">
        <v>0</v>
      </c>
      <c r="G499" s="13" t="s">
        <v>33</v>
      </c>
      <c r="H499" s="14">
        <v>1</v>
      </c>
      <c r="I499" s="14">
        <v>0</v>
      </c>
      <c r="J499" s="14">
        <v>0</v>
      </c>
      <c r="K499" s="14">
        <v>1</v>
      </c>
    </row>
    <row r="500" spans="1:11" x14ac:dyDescent="0.3">
      <c r="A500" s="13" t="s">
        <v>34</v>
      </c>
      <c r="B500" s="14">
        <v>2</v>
      </c>
      <c r="C500" s="14">
        <v>1</v>
      </c>
      <c r="D500" s="14">
        <v>0</v>
      </c>
      <c r="E500" s="14">
        <v>1</v>
      </c>
      <c r="G500" s="13" t="s">
        <v>34</v>
      </c>
      <c r="H500" s="14">
        <v>2</v>
      </c>
      <c r="I500" s="14">
        <v>2</v>
      </c>
      <c r="J500" s="14">
        <v>0</v>
      </c>
      <c r="K500" s="14">
        <v>0</v>
      </c>
    </row>
    <row r="501" spans="1:11" x14ac:dyDescent="0.3">
      <c r="A501" s="15" t="s">
        <v>35</v>
      </c>
      <c r="B501" s="16">
        <v>36</v>
      </c>
      <c r="C501" s="16">
        <v>19</v>
      </c>
      <c r="D501" s="16">
        <v>0</v>
      </c>
      <c r="E501" s="16">
        <v>17</v>
      </c>
      <c r="G501" s="15" t="s">
        <v>35</v>
      </c>
      <c r="H501" s="16">
        <v>0</v>
      </c>
      <c r="I501" s="16">
        <v>0</v>
      </c>
      <c r="J501" s="16">
        <v>0</v>
      </c>
      <c r="K501" s="16">
        <v>0</v>
      </c>
    </row>
    <row r="502" spans="1:11" x14ac:dyDescent="0.3">
      <c r="A502" s="17" t="s">
        <v>36</v>
      </c>
      <c r="B502" s="55">
        <v>0</v>
      </c>
      <c r="C502" s="55">
        <v>0</v>
      </c>
      <c r="D502" s="55">
        <v>0</v>
      </c>
      <c r="E502" s="55">
        <v>0</v>
      </c>
      <c r="G502" s="17" t="s">
        <v>36</v>
      </c>
      <c r="H502" s="109">
        <v>0</v>
      </c>
      <c r="I502" s="109">
        <v>0</v>
      </c>
      <c r="J502" s="109">
        <v>0</v>
      </c>
      <c r="K502" s="109">
        <v>0</v>
      </c>
    </row>
    <row r="503" spans="1:11" x14ac:dyDescent="0.3">
      <c r="A503" s="17" t="s">
        <v>37</v>
      </c>
      <c r="B503" s="55">
        <v>36</v>
      </c>
      <c r="C503" s="55">
        <v>19</v>
      </c>
      <c r="D503" s="55">
        <v>0</v>
      </c>
      <c r="E503" s="55">
        <v>17</v>
      </c>
      <c r="G503" s="17" t="s">
        <v>37</v>
      </c>
      <c r="H503" s="109">
        <v>0</v>
      </c>
      <c r="I503" s="109">
        <v>0</v>
      </c>
      <c r="J503" s="109">
        <v>0</v>
      </c>
      <c r="K503" s="109">
        <v>0</v>
      </c>
    </row>
    <row r="504" spans="1:11" x14ac:dyDescent="0.3">
      <c r="A504" s="17" t="s">
        <v>38</v>
      </c>
      <c r="B504" s="172" t="s">
        <v>85</v>
      </c>
      <c r="C504" s="173"/>
      <c r="D504" s="173"/>
      <c r="E504" s="173"/>
      <c r="G504" s="17" t="s">
        <v>38</v>
      </c>
      <c r="H504" s="172" t="s">
        <v>85</v>
      </c>
      <c r="I504" s="173"/>
      <c r="J504" s="173"/>
      <c r="K504" s="173"/>
    </row>
    <row r="505" spans="1:11" ht="19.8" x14ac:dyDescent="0.3">
      <c r="A505" s="171">
        <v>46111</v>
      </c>
      <c r="B505" s="171"/>
      <c r="C505" s="171"/>
      <c r="D505" s="171"/>
      <c r="E505" s="171"/>
      <c r="G505" s="171">
        <v>46141</v>
      </c>
      <c r="H505" s="174"/>
      <c r="I505" s="174"/>
      <c r="J505" s="174"/>
      <c r="K505" s="174"/>
    </row>
    <row r="506" spans="1:11" x14ac:dyDescent="0.3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40</v>
      </c>
      <c r="G506" s="1" t="s">
        <v>0</v>
      </c>
      <c r="H506" s="1" t="s">
        <v>1</v>
      </c>
      <c r="I506" s="1" t="s">
        <v>2</v>
      </c>
      <c r="J506" s="1" t="s">
        <v>3</v>
      </c>
      <c r="K506" s="1" t="s">
        <v>40</v>
      </c>
    </row>
    <row r="507" spans="1:11" x14ac:dyDescent="0.3">
      <c r="A507" s="2" t="s">
        <v>5</v>
      </c>
      <c r="B507" s="3">
        <v>1692</v>
      </c>
      <c r="C507" s="3">
        <v>951</v>
      </c>
      <c r="D507" s="3">
        <v>0</v>
      </c>
      <c r="E507" s="3">
        <v>741</v>
      </c>
      <c r="G507" s="2" t="s">
        <v>5</v>
      </c>
      <c r="H507" s="3">
        <v>3271</v>
      </c>
      <c r="I507" s="3">
        <v>1883</v>
      </c>
      <c r="J507" s="3">
        <v>0</v>
      </c>
      <c r="K507" s="3">
        <v>1388</v>
      </c>
    </row>
    <row r="508" spans="1:11" x14ac:dyDescent="0.3">
      <c r="A508" s="2" t="s">
        <v>6</v>
      </c>
      <c r="B508" s="3">
        <v>101</v>
      </c>
      <c r="C508" s="6">
        <v>7</v>
      </c>
      <c r="D508" s="3">
        <v>0</v>
      </c>
      <c r="E508" s="5">
        <v>94</v>
      </c>
      <c r="G508" s="2" t="s">
        <v>1743</v>
      </c>
      <c r="H508" s="3">
        <v>298</v>
      </c>
      <c r="I508" s="5">
        <v>181</v>
      </c>
      <c r="J508" s="3">
        <v>0</v>
      </c>
      <c r="K508" s="6">
        <v>117</v>
      </c>
    </row>
    <row r="509" spans="1:11" x14ac:dyDescent="0.3">
      <c r="A509" s="2" t="s">
        <v>7</v>
      </c>
      <c r="B509" s="3" t="s">
        <v>1113</v>
      </c>
      <c r="C509" s="6" t="s">
        <v>80</v>
      </c>
      <c r="D509" s="3">
        <v>0</v>
      </c>
      <c r="E509" s="5" t="s">
        <v>1114</v>
      </c>
      <c r="G509" s="2" t="s">
        <v>7</v>
      </c>
      <c r="H509" s="3" t="s">
        <v>15</v>
      </c>
      <c r="I509" s="5" t="s">
        <v>587</v>
      </c>
      <c r="J509" s="3">
        <v>0</v>
      </c>
      <c r="K509" s="6" t="s">
        <v>922</v>
      </c>
    </row>
    <row r="510" spans="1:11" x14ac:dyDescent="0.3">
      <c r="A510" s="2" t="s">
        <v>12</v>
      </c>
      <c r="B510" s="3" t="s">
        <v>1077</v>
      </c>
      <c r="C510" s="3" t="s">
        <v>25</v>
      </c>
      <c r="D510" s="3">
        <v>0</v>
      </c>
      <c r="E510" s="5" t="s">
        <v>1115</v>
      </c>
      <c r="G510" s="2" t="s">
        <v>12</v>
      </c>
      <c r="H510" s="3" t="s">
        <v>785</v>
      </c>
      <c r="I510" s="5" t="s">
        <v>587</v>
      </c>
      <c r="J510" s="3">
        <v>0</v>
      </c>
      <c r="K510" s="6" t="s">
        <v>1125</v>
      </c>
    </row>
    <row r="511" spans="1:11" x14ac:dyDescent="0.3">
      <c r="A511" s="2" t="s">
        <v>17</v>
      </c>
      <c r="B511" s="3" t="s">
        <v>83</v>
      </c>
      <c r="C511" s="6" t="s">
        <v>152</v>
      </c>
      <c r="D511" s="3" t="s">
        <v>25</v>
      </c>
      <c r="E511" s="5" t="s">
        <v>337</v>
      </c>
      <c r="G511" s="2" t="s">
        <v>17</v>
      </c>
      <c r="H511" s="3" t="s">
        <v>552</v>
      </c>
      <c r="I511" s="3" t="s">
        <v>25</v>
      </c>
      <c r="J511" s="3" t="s">
        <v>25</v>
      </c>
      <c r="K511" s="5" t="s">
        <v>138</v>
      </c>
    </row>
    <row r="512" spans="1:11" x14ac:dyDescent="0.3">
      <c r="A512" s="2" t="s">
        <v>22</v>
      </c>
      <c r="B512" s="3" t="s">
        <v>102</v>
      </c>
      <c r="C512" s="3" t="s">
        <v>25</v>
      </c>
      <c r="D512" s="3" t="s">
        <v>25</v>
      </c>
      <c r="E512" s="5" t="s">
        <v>88</v>
      </c>
      <c r="G512" s="2" t="s">
        <v>22</v>
      </c>
      <c r="H512" s="3" t="s">
        <v>552</v>
      </c>
      <c r="I512" s="3" t="s">
        <v>25</v>
      </c>
      <c r="J512" s="3" t="s">
        <v>25</v>
      </c>
      <c r="K512" s="5" t="s">
        <v>138</v>
      </c>
    </row>
    <row r="513" spans="1:11" x14ac:dyDescent="0.3">
      <c r="A513" s="7" t="s">
        <v>26</v>
      </c>
      <c r="B513" s="8">
        <v>89</v>
      </c>
      <c r="C513" s="8">
        <v>0</v>
      </c>
      <c r="D513" s="8">
        <v>0</v>
      </c>
      <c r="E513" s="8">
        <v>89</v>
      </c>
      <c r="G513" s="7" t="s">
        <v>26</v>
      </c>
      <c r="H513" s="8">
        <v>296</v>
      </c>
      <c r="I513" s="8">
        <v>181</v>
      </c>
      <c r="J513" s="8">
        <v>0</v>
      </c>
      <c r="K513" s="8">
        <v>115</v>
      </c>
    </row>
    <row r="514" spans="1:11" x14ac:dyDescent="0.3">
      <c r="A514" s="9" t="s">
        <v>27</v>
      </c>
      <c r="B514" s="10">
        <v>16</v>
      </c>
      <c r="C514" s="10">
        <v>0</v>
      </c>
      <c r="D514" s="10">
        <v>0</v>
      </c>
      <c r="E514" s="10">
        <v>16</v>
      </c>
      <c r="G514" s="9" t="s">
        <v>27</v>
      </c>
      <c r="H514" s="10">
        <v>27</v>
      </c>
      <c r="I514" s="10">
        <v>18</v>
      </c>
      <c r="J514" s="10">
        <v>0</v>
      </c>
      <c r="K514" s="10">
        <v>9</v>
      </c>
    </row>
    <row r="515" spans="1:11" x14ac:dyDescent="0.3">
      <c r="A515" s="9" t="s">
        <v>28</v>
      </c>
      <c r="B515" s="10">
        <v>29</v>
      </c>
      <c r="C515" s="10">
        <v>0</v>
      </c>
      <c r="D515" s="10">
        <v>0</v>
      </c>
      <c r="E515" s="10">
        <v>29</v>
      </c>
      <c r="G515" s="9" t="s">
        <v>28</v>
      </c>
      <c r="H515" s="10">
        <v>118</v>
      </c>
      <c r="I515" s="10">
        <v>73</v>
      </c>
      <c r="J515" s="10">
        <v>0</v>
      </c>
      <c r="K515" s="10">
        <v>45</v>
      </c>
    </row>
    <row r="516" spans="1:11" x14ac:dyDescent="0.3">
      <c r="A516" s="9" t="s">
        <v>29</v>
      </c>
      <c r="B516" s="10">
        <v>0</v>
      </c>
      <c r="C516" s="10">
        <v>0</v>
      </c>
      <c r="D516" s="10">
        <v>0</v>
      </c>
      <c r="E516" s="10">
        <v>0</v>
      </c>
      <c r="G516" s="9" t="s">
        <v>29</v>
      </c>
      <c r="H516" s="10">
        <v>0</v>
      </c>
      <c r="I516" s="10">
        <v>0</v>
      </c>
      <c r="J516" s="10">
        <v>0</v>
      </c>
      <c r="K516" s="10">
        <v>0</v>
      </c>
    </row>
    <row r="517" spans="1:11" x14ac:dyDescent="0.3">
      <c r="A517" s="9" t="s">
        <v>30</v>
      </c>
      <c r="B517" s="10">
        <v>44</v>
      </c>
      <c r="C517" s="10">
        <v>0</v>
      </c>
      <c r="D517" s="10">
        <v>0</v>
      </c>
      <c r="E517" s="10">
        <v>44</v>
      </c>
      <c r="G517" s="9" t="s">
        <v>30</v>
      </c>
      <c r="H517" s="10">
        <v>151</v>
      </c>
      <c r="I517" s="10">
        <v>90</v>
      </c>
      <c r="J517" s="10">
        <v>0</v>
      </c>
      <c r="K517" s="10">
        <v>61</v>
      </c>
    </row>
    <row r="518" spans="1:11" x14ac:dyDescent="0.3">
      <c r="A518" s="9" t="s">
        <v>31</v>
      </c>
      <c r="B518" s="10">
        <v>0</v>
      </c>
      <c r="C518" s="10">
        <v>0</v>
      </c>
      <c r="D518" s="10">
        <v>0</v>
      </c>
      <c r="E518" s="10">
        <v>0</v>
      </c>
      <c r="G518" s="9" t="s">
        <v>31</v>
      </c>
      <c r="H518" s="10">
        <v>0</v>
      </c>
      <c r="I518" s="10">
        <v>0</v>
      </c>
      <c r="J518" s="10">
        <v>0</v>
      </c>
      <c r="K518" s="10">
        <v>0</v>
      </c>
    </row>
    <row r="519" spans="1:11" x14ac:dyDescent="0.3">
      <c r="A519" s="11" t="s">
        <v>32</v>
      </c>
      <c r="B519" s="12">
        <v>11</v>
      </c>
      <c r="C519" s="12">
        <v>6</v>
      </c>
      <c r="D519" s="12">
        <v>0</v>
      </c>
      <c r="E519" s="12">
        <v>5</v>
      </c>
      <c r="G519" s="11" t="s">
        <v>32</v>
      </c>
      <c r="H519" s="12">
        <v>1</v>
      </c>
      <c r="I519" s="12">
        <v>0</v>
      </c>
      <c r="J519" s="12">
        <v>0</v>
      </c>
      <c r="K519" s="12">
        <v>1</v>
      </c>
    </row>
    <row r="520" spans="1:11" x14ac:dyDescent="0.3">
      <c r="A520" s="13" t="s">
        <v>33</v>
      </c>
      <c r="B520" s="14">
        <v>0</v>
      </c>
      <c r="C520" s="14">
        <v>0</v>
      </c>
      <c r="D520" s="14">
        <v>0</v>
      </c>
      <c r="E520" s="14">
        <v>0</v>
      </c>
      <c r="G520" s="13" t="s">
        <v>33</v>
      </c>
      <c r="H520" s="14">
        <v>0</v>
      </c>
      <c r="I520" s="14">
        <v>0</v>
      </c>
      <c r="J520" s="14">
        <v>0</v>
      </c>
      <c r="K520" s="14">
        <v>0</v>
      </c>
    </row>
    <row r="521" spans="1:11" x14ac:dyDescent="0.3">
      <c r="A521" s="13" t="s">
        <v>34</v>
      </c>
      <c r="B521" s="14">
        <v>11</v>
      </c>
      <c r="C521" s="14">
        <v>6</v>
      </c>
      <c r="D521" s="14">
        <v>0</v>
      </c>
      <c r="E521" s="14">
        <v>5</v>
      </c>
      <c r="G521" s="13" t="s">
        <v>34</v>
      </c>
      <c r="H521" s="14">
        <v>1</v>
      </c>
      <c r="I521" s="14">
        <v>0</v>
      </c>
      <c r="J521" s="14">
        <v>0</v>
      </c>
      <c r="K521" s="14">
        <v>1</v>
      </c>
    </row>
    <row r="522" spans="1:11" x14ac:dyDescent="0.3">
      <c r="A522" s="15" t="s">
        <v>35</v>
      </c>
      <c r="B522" s="16">
        <v>2</v>
      </c>
      <c r="C522" s="16">
        <v>0</v>
      </c>
      <c r="D522" s="16">
        <v>0</v>
      </c>
      <c r="E522" s="16">
        <v>2</v>
      </c>
      <c r="G522" s="15" t="s">
        <v>35</v>
      </c>
      <c r="H522" s="16">
        <v>1</v>
      </c>
      <c r="I522" s="16">
        <v>0</v>
      </c>
      <c r="J522" s="16">
        <v>0</v>
      </c>
      <c r="K522" s="16">
        <v>1</v>
      </c>
    </row>
    <row r="523" spans="1:11" x14ac:dyDescent="0.3">
      <c r="A523" s="17" t="s">
        <v>36</v>
      </c>
      <c r="B523" s="55">
        <v>0</v>
      </c>
      <c r="C523" s="55">
        <v>0</v>
      </c>
      <c r="D523" s="55">
        <v>0</v>
      </c>
      <c r="E523" s="55">
        <v>0</v>
      </c>
      <c r="G523" s="17" t="s">
        <v>36</v>
      </c>
      <c r="H523" s="109">
        <v>0</v>
      </c>
      <c r="I523" s="109">
        <v>0</v>
      </c>
      <c r="J523" s="109">
        <v>0</v>
      </c>
      <c r="K523" s="109">
        <v>0</v>
      </c>
    </row>
    <row r="524" spans="1:11" x14ac:dyDescent="0.3">
      <c r="A524" s="17" t="s">
        <v>37</v>
      </c>
      <c r="B524" s="55">
        <v>2</v>
      </c>
      <c r="C524" s="55">
        <v>0</v>
      </c>
      <c r="D524" s="55">
        <v>0</v>
      </c>
      <c r="E524" s="55">
        <v>2</v>
      </c>
      <c r="G524" s="17" t="s">
        <v>37</v>
      </c>
      <c r="H524" s="109">
        <v>1</v>
      </c>
      <c r="I524" s="109">
        <v>0</v>
      </c>
      <c r="J524" s="109">
        <v>0</v>
      </c>
      <c r="K524" s="109">
        <v>1</v>
      </c>
    </row>
    <row r="525" spans="1:11" x14ac:dyDescent="0.3">
      <c r="A525" s="17" t="s">
        <v>38</v>
      </c>
      <c r="B525" s="172" t="s">
        <v>85</v>
      </c>
      <c r="C525" s="173"/>
      <c r="D525" s="173"/>
      <c r="E525" s="173"/>
      <c r="G525" s="17" t="s">
        <v>38</v>
      </c>
      <c r="H525" s="172" t="s">
        <v>85</v>
      </c>
      <c r="I525" s="173"/>
      <c r="J525" s="173"/>
      <c r="K525" s="173"/>
    </row>
    <row r="526" spans="1:11" ht="19.8" x14ac:dyDescent="0.3">
      <c r="A526" s="171">
        <v>46112</v>
      </c>
      <c r="B526" s="174"/>
      <c r="C526" s="174"/>
      <c r="D526" s="174"/>
      <c r="E526" s="174"/>
      <c r="G526" s="170">
        <v>46142</v>
      </c>
      <c r="H526" s="169"/>
      <c r="I526" s="169"/>
      <c r="J526" s="169"/>
      <c r="K526" s="169"/>
    </row>
    <row r="527" spans="1:11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40</v>
      </c>
      <c r="G527" s="1" t="s">
        <v>0</v>
      </c>
      <c r="H527" s="1" t="s">
        <v>1</v>
      </c>
      <c r="I527" s="1" t="s">
        <v>2</v>
      </c>
      <c r="J527" s="1" t="s">
        <v>3</v>
      </c>
      <c r="K527" s="1" t="s">
        <v>40</v>
      </c>
    </row>
    <row r="528" spans="1:11" x14ac:dyDescent="0.3">
      <c r="A528" s="2" t="s">
        <v>5</v>
      </c>
      <c r="B528" s="3">
        <v>2194</v>
      </c>
      <c r="C528" s="3">
        <v>1218</v>
      </c>
      <c r="D528" s="3">
        <v>0</v>
      </c>
      <c r="E528" s="3">
        <v>976</v>
      </c>
      <c r="G528" s="2" t="s">
        <v>5</v>
      </c>
      <c r="H528" s="3">
        <v>3506</v>
      </c>
      <c r="I528" s="3">
        <v>1986</v>
      </c>
      <c r="J528" s="3">
        <v>0</v>
      </c>
      <c r="K528" s="3">
        <v>1520</v>
      </c>
    </row>
    <row r="529" spans="1:11" x14ac:dyDescent="0.3">
      <c r="A529" s="2" t="s">
        <v>6</v>
      </c>
      <c r="B529" s="3">
        <v>116</v>
      </c>
      <c r="C529" s="6">
        <v>38</v>
      </c>
      <c r="D529" s="3">
        <v>0</v>
      </c>
      <c r="E529" s="5">
        <v>78</v>
      </c>
      <c r="G529" s="2" t="s">
        <v>6</v>
      </c>
      <c r="H529" s="3">
        <v>375</v>
      </c>
      <c r="I529" s="5">
        <v>206</v>
      </c>
      <c r="J529" s="3">
        <v>0</v>
      </c>
      <c r="K529" s="6">
        <v>169</v>
      </c>
    </row>
    <row r="530" spans="1:11" x14ac:dyDescent="0.3">
      <c r="A530" s="2" t="s">
        <v>7</v>
      </c>
      <c r="B530" s="3" t="s">
        <v>218</v>
      </c>
      <c r="C530" s="6" t="s">
        <v>358</v>
      </c>
      <c r="D530" s="3">
        <v>0</v>
      </c>
      <c r="E530" s="5" t="s">
        <v>885</v>
      </c>
      <c r="G530" s="2" t="s">
        <v>7</v>
      </c>
      <c r="H530" s="3" t="s">
        <v>1559</v>
      </c>
      <c r="I530" s="6" t="s">
        <v>999</v>
      </c>
      <c r="J530" s="3">
        <v>0</v>
      </c>
      <c r="K530" s="5" t="s">
        <v>246</v>
      </c>
    </row>
    <row r="531" spans="1:11" x14ac:dyDescent="0.3">
      <c r="A531" s="2" t="s">
        <v>12</v>
      </c>
      <c r="B531" s="3" t="s">
        <v>1157</v>
      </c>
      <c r="C531" s="6" t="s">
        <v>578</v>
      </c>
      <c r="D531" s="3">
        <v>0</v>
      </c>
      <c r="E531" s="5" t="s">
        <v>1158</v>
      </c>
      <c r="G531" s="2" t="s">
        <v>12</v>
      </c>
      <c r="H531" s="3" t="s">
        <v>198</v>
      </c>
      <c r="I531" s="6" t="s">
        <v>1486</v>
      </c>
      <c r="J531" s="3">
        <v>0</v>
      </c>
      <c r="K531" s="5" t="s">
        <v>673</v>
      </c>
    </row>
    <row r="532" spans="1:11" x14ac:dyDescent="0.3">
      <c r="A532" s="2" t="s">
        <v>17</v>
      </c>
      <c r="B532" s="3" t="s">
        <v>146</v>
      </c>
      <c r="C532" s="5" t="s">
        <v>76</v>
      </c>
      <c r="D532" s="3" t="s">
        <v>25</v>
      </c>
      <c r="E532" s="6" t="s">
        <v>81</v>
      </c>
      <c r="G532" s="2" t="s">
        <v>17</v>
      </c>
      <c r="H532" s="3" t="s">
        <v>310</v>
      </c>
      <c r="I532" s="6" t="s">
        <v>81</v>
      </c>
      <c r="J532" s="3" t="s">
        <v>25</v>
      </c>
      <c r="K532" s="5" t="s">
        <v>99</v>
      </c>
    </row>
    <row r="533" spans="1:11" x14ac:dyDescent="0.3">
      <c r="A533" s="2" t="s">
        <v>22</v>
      </c>
      <c r="B533" s="3" t="s">
        <v>158</v>
      </c>
      <c r="C533" s="5" t="s">
        <v>309</v>
      </c>
      <c r="D533" s="3" t="s">
        <v>25</v>
      </c>
      <c r="E533" s="3" t="s">
        <v>25</v>
      </c>
      <c r="G533" s="2" t="s">
        <v>22</v>
      </c>
      <c r="H533" s="3" t="s">
        <v>552</v>
      </c>
      <c r="I533" s="3" t="s">
        <v>25</v>
      </c>
      <c r="J533" s="3" t="s">
        <v>25</v>
      </c>
      <c r="K533" s="5" t="s">
        <v>138</v>
      </c>
    </row>
    <row r="534" spans="1:11" x14ac:dyDescent="0.3">
      <c r="A534" s="7" t="s">
        <v>26</v>
      </c>
      <c r="B534" s="8">
        <v>104</v>
      </c>
      <c r="C534" s="8">
        <v>28</v>
      </c>
      <c r="D534" s="8">
        <v>0</v>
      </c>
      <c r="E534" s="8">
        <v>76</v>
      </c>
      <c r="G534" s="7" t="s">
        <v>26</v>
      </c>
      <c r="H534" s="8">
        <v>370</v>
      </c>
      <c r="I534" s="8">
        <v>205</v>
      </c>
      <c r="J534" s="8">
        <v>0</v>
      </c>
      <c r="K534" s="8">
        <v>165</v>
      </c>
    </row>
    <row r="535" spans="1:11" x14ac:dyDescent="0.3">
      <c r="A535" s="9" t="s">
        <v>27</v>
      </c>
      <c r="B535" s="10">
        <v>22</v>
      </c>
      <c r="C535" s="10">
        <v>7</v>
      </c>
      <c r="D535" s="10">
        <v>0</v>
      </c>
      <c r="E535" s="10">
        <v>15</v>
      </c>
      <c r="G535" s="9" t="s">
        <v>27</v>
      </c>
      <c r="H535" s="10">
        <v>42</v>
      </c>
      <c r="I535" s="10">
        <v>17</v>
      </c>
      <c r="J535" s="10">
        <v>0</v>
      </c>
      <c r="K535" s="10">
        <v>25</v>
      </c>
    </row>
    <row r="536" spans="1:11" x14ac:dyDescent="0.3">
      <c r="A536" s="9" t="s">
        <v>28</v>
      </c>
      <c r="B536" s="10">
        <v>37</v>
      </c>
      <c r="C536" s="10">
        <v>6</v>
      </c>
      <c r="D536" s="10">
        <v>0</v>
      </c>
      <c r="E536" s="10">
        <v>31</v>
      </c>
      <c r="G536" s="9" t="s">
        <v>28</v>
      </c>
      <c r="H536" s="10">
        <v>187</v>
      </c>
      <c r="I536" s="10">
        <v>110</v>
      </c>
      <c r="J536" s="10">
        <v>0</v>
      </c>
      <c r="K536" s="10">
        <v>77</v>
      </c>
    </row>
    <row r="537" spans="1:11" x14ac:dyDescent="0.3">
      <c r="A537" s="9" t="s">
        <v>29</v>
      </c>
      <c r="B537" s="10">
        <v>1</v>
      </c>
      <c r="C537" s="10">
        <v>1</v>
      </c>
      <c r="D537" s="10">
        <v>0</v>
      </c>
      <c r="E537" s="10">
        <v>0</v>
      </c>
      <c r="G537" s="9" t="s">
        <v>29</v>
      </c>
      <c r="H537" s="10">
        <v>4</v>
      </c>
      <c r="I537" s="10">
        <v>4</v>
      </c>
      <c r="J537" s="10">
        <v>0</v>
      </c>
      <c r="K537" s="10">
        <v>0</v>
      </c>
    </row>
    <row r="538" spans="1:11" x14ac:dyDescent="0.3">
      <c r="A538" s="9" t="s">
        <v>30</v>
      </c>
      <c r="B538" s="10">
        <v>44</v>
      </c>
      <c r="C538" s="10">
        <v>14</v>
      </c>
      <c r="D538" s="10">
        <v>0</v>
      </c>
      <c r="E538" s="10">
        <v>30</v>
      </c>
      <c r="G538" s="9" t="s">
        <v>30</v>
      </c>
      <c r="H538" s="10">
        <v>137</v>
      </c>
      <c r="I538" s="10">
        <v>74</v>
      </c>
      <c r="J538" s="10">
        <v>0</v>
      </c>
      <c r="K538" s="10">
        <v>63</v>
      </c>
    </row>
    <row r="539" spans="1:11" x14ac:dyDescent="0.3">
      <c r="A539" s="9" t="s">
        <v>31</v>
      </c>
      <c r="B539" s="10">
        <v>0</v>
      </c>
      <c r="C539" s="10">
        <v>0</v>
      </c>
      <c r="D539" s="10">
        <v>0</v>
      </c>
      <c r="E539" s="10">
        <v>0</v>
      </c>
      <c r="G539" s="9" t="s">
        <v>31</v>
      </c>
      <c r="H539" s="10">
        <v>0</v>
      </c>
      <c r="I539" s="10">
        <v>0</v>
      </c>
      <c r="J539" s="10">
        <v>0</v>
      </c>
      <c r="K539" s="10">
        <v>0</v>
      </c>
    </row>
    <row r="540" spans="1:11" x14ac:dyDescent="0.3">
      <c r="A540" s="11" t="s">
        <v>32</v>
      </c>
      <c r="B540" s="12">
        <v>7</v>
      </c>
      <c r="C540" s="12">
        <v>6</v>
      </c>
      <c r="D540" s="12">
        <v>0</v>
      </c>
      <c r="E540" s="12">
        <v>1</v>
      </c>
      <c r="G540" s="11" t="s">
        <v>32</v>
      </c>
      <c r="H540" s="12">
        <v>5</v>
      </c>
      <c r="I540" s="12">
        <v>2</v>
      </c>
      <c r="J540" s="12">
        <v>0</v>
      </c>
      <c r="K540" s="12">
        <v>3</v>
      </c>
    </row>
    <row r="541" spans="1:11" x14ac:dyDescent="0.3">
      <c r="A541" s="13" t="s">
        <v>33</v>
      </c>
      <c r="B541" s="14">
        <v>2</v>
      </c>
      <c r="C541" s="14">
        <v>2</v>
      </c>
      <c r="D541" s="14">
        <v>0</v>
      </c>
      <c r="E541" s="14">
        <v>0</v>
      </c>
      <c r="G541" s="13" t="s">
        <v>33</v>
      </c>
      <c r="H541" s="14">
        <v>1</v>
      </c>
      <c r="I541" s="14">
        <v>1</v>
      </c>
      <c r="J541" s="14">
        <v>0</v>
      </c>
      <c r="K541" s="14">
        <v>0</v>
      </c>
    </row>
    <row r="542" spans="1:11" x14ac:dyDescent="0.3">
      <c r="A542" s="13" t="s">
        <v>34</v>
      </c>
      <c r="B542" s="14">
        <v>5</v>
      </c>
      <c r="C542" s="14">
        <v>4</v>
      </c>
      <c r="D542" s="14">
        <v>0</v>
      </c>
      <c r="E542" s="14">
        <v>1</v>
      </c>
      <c r="G542" s="13" t="s">
        <v>34</v>
      </c>
      <c r="H542" s="14">
        <v>4</v>
      </c>
      <c r="I542" s="14">
        <v>1</v>
      </c>
      <c r="J542" s="14">
        <v>0</v>
      </c>
      <c r="K542" s="14">
        <v>3</v>
      </c>
    </row>
    <row r="543" spans="1:11" x14ac:dyDescent="0.3">
      <c r="A543" s="15" t="s">
        <v>35</v>
      </c>
      <c r="B543" s="16">
        <v>1</v>
      </c>
      <c r="C543" s="16">
        <v>1</v>
      </c>
      <c r="D543" s="16">
        <v>0</v>
      </c>
      <c r="E543" s="16">
        <v>0</v>
      </c>
      <c r="G543" s="15" t="s">
        <v>35</v>
      </c>
      <c r="H543" s="16">
        <v>1</v>
      </c>
      <c r="I543" s="16">
        <v>0</v>
      </c>
      <c r="J543" s="16">
        <v>0</v>
      </c>
      <c r="K543" s="16">
        <v>1</v>
      </c>
    </row>
    <row r="544" spans="1:11" x14ac:dyDescent="0.3">
      <c r="A544" s="17" t="s">
        <v>36</v>
      </c>
      <c r="B544" s="56">
        <v>0</v>
      </c>
      <c r="C544" s="56">
        <v>0</v>
      </c>
      <c r="D544" s="56">
        <v>0</v>
      </c>
      <c r="E544" s="56">
        <v>0</v>
      </c>
      <c r="G544" s="17" t="s">
        <v>36</v>
      </c>
      <c r="H544" s="112">
        <v>0</v>
      </c>
      <c r="I544" s="112">
        <v>0</v>
      </c>
      <c r="J544" s="112">
        <v>0</v>
      </c>
      <c r="K544" s="112">
        <v>0</v>
      </c>
    </row>
    <row r="545" spans="1:11" x14ac:dyDescent="0.3">
      <c r="A545" s="17" t="s">
        <v>37</v>
      </c>
      <c r="B545" s="56">
        <v>1</v>
      </c>
      <c r="C545" s="56">
        <v>1</v>
      </c>
      <c r="D545" s="56">
        <v>0</v>
      </c>
      <c r="E545" s="56">
        <v>0</v>
      </c>
      <c r="G545" s="17" t="s">
        <v>37</v>
      </c>
      <c r="H545" s="112">
        <v>1</v>
      </c>
      <c r="I545" s="112">
        <v>0</v>
      </c>
      <c r="J545" s="112">
        <v>0</v>
      </c>
      <c r="K545" s="112">
        <v>1</v>
      </c>
    </row>
    <row r="546" spans="1:11" x14ac:dyDescent="0.3">
      <c r="A546" s="17" t="s">
        <v>38</v>
      </c>
      <c r="B546" s="172" t="s">
        <v>85</v>
      </c>
      <c r="C546" s="173"/>
      <c r="D546" s="173"/>
      <c r="E546" s="173"/>
      <c r="G546" s="17" t="s">
        <v>38</v>
      </c>
      <c r="H546" s="172" t="s">
        <v>151</v>
      </c>
      <c r="I546" s="173"/>
      <c r="J546" s="173"/>
      <c r="K546" s="173"/>
    </row>
  </sheetData>
  <mergeCells count="150">
    <mergeCell ref="M421:Q421"/>
    <mergeCell ref="N441:Q441"/>
    <mergeCell ref="M190:Q190"/>
    <mergeCell ref="N189:Q189"/>
    <mergeCell ref="N210:Q210"/>
    <mergeCell ref="M211:Q211"/>
    <mergeCell ref="N231:Q231"/>
    <mergeCell ref="M232:Q232"/>
    <mergeCell ref="N252:Q252"/>
    <mergeCell ref="M253:Q253"/>
    <mergeCell ref="N273:Q273"/>
    <mergeCell ref="N462:Q462"/>
    <mergeCell ref="M442:Q442"/>
    <mergeCell ref="M463:Q463"/>
    <mergeCell ref="N483:Q483"/>
    <mergeCell ref="M1:Q1"/>
    <mergeCell ref="N21:Q21"/>
    <mergeCell ref="M22:Q22"/>
    <mergeCell ref="N42:Q42"/>
    <mergeCell ref="M43:Q43"/>
    <mergeCell ref="N63:Q63"/>
    <mergeCell ref="M64:Q64"/>
    <mergeCell ref="N84:Q84"/>
    <mergeCell ref="M85:Q85"/>
    <mergeCell ref="N105:Q105"/>
    <mergeCell ref="M106:Q106"/>
    <mergeCell ref="N126:Q126"/>
    <mergeCell ref="M127:Q127"/>
    <mergeCell ref="N147:Q147"/>
    <mergeCell ref="M148:Q148"/>
    <mergeCell ref="N168:Q168"/>
    <mergeCell ref="M169:Q169"/>
    <mergeCell ref="M337:Q337"/>
    <mergeCell ref="N357:Q357"/>
    <mergeCell ref="M358:Q358"/>
    <mergeCell ref="N378:Q378"/>
    <mergeCell ref="M379:Q379"/>
    <mergeCell ref="N399:Q399"/>
    <mergeCell ref="M400:Q400"/>
    <mergeCell ref="N420:Q420"/>
    <mergeCell ref="H525:K525"/>
    <mergeCell ref="G505:K505"/>
    <mergeCell ref="G526:K526"/>
    <mergeCell ref="H546:K546"/>
    <mergeCell ref="H231:K231"/>
    <mergeCell ref="G211:K211"/>
    <mergeCell ref="H252:K252"/>
    <mergeCell ref="G169:K169"/>
    <mergeCell ref="H189:K189"/>
    <mergeCell ref="G190:K190"/>
    <mergeCell ref="H210:K210"/>
    <mergeCell ref="G400:K400"/>
    <mergeCell ref="H420:K420"/>
    <mergeCell ref="G253:K253"/>
    <mergeCell ref="H273:K273"/>
    <mergeCell ref="G232:K232"/>
    <mergeCell ref="G379:K379"/>
    <mergeCell ref="H399:K399"/>
    <mergeCell ref="G358:K358"/>
    <mergeCell ref="H378:K378"/>
    <mergeCell ref="G274:K274"/>
    <mergeCell ref="H294:K294"/>
    <mergeCell ref="G337:K337"/>
    <mergeCell ref="H357:K357"/>
    <mergeCell ref="G295:K295"/>
    <mergeCell ref="H315:K315"/>
    <mergeCell ref="G316:K316"/>
    <mergeCell ref="H42:K42"/>
    <mergeCell ref="G22:K22"/>
    <mergeCell ref="H21:K21"/>
    <mergeCell ref="G1:K1"/>
    <mergeCell ref="H168:K168"/>
    <mergeCell ref="G148:K148"/>
    <mergeCell ref="H147:K147"/>
    <mergeCell ref="G127:K127"/>
    <mergeCell ref="H126:K126"/>
    <mergeCell ref="G106:K106"/>
    <mergeCell ref="H105:K105"/>
    <mergeCell ref="G85:K85"/>
    <mergeCell ref="H84:K84"/>
    <mergeCell ref="G64:K64"/>
    <mergeCell ref="H63:K63"/>
    <mergeCell ref="G43:K43"/>
    <mergeCell ref="B147:E147"/>
    <mergeCell ref="B21:E21"/>
    <mergeCell ref="A1:E1"/>
    <mergeCell ref="A127:E127"/>
    <mergeCell ref="B126:E126"/>
    <mergeCell ref="A106:E106"/>
    <mergeCell ref="B105:E105"/>
    <mergeCell ref="A85:E85"/>
    <mergeCell ref="A64:E64"/>
    <mergeCell ref="B63:E63"/>
    <mergeCell ref="A43:E43"/>
    <mergeCell ref="B42:E42"/>
    <mergeCell ref="A22:E22"/>
    <mergeCell ref="B84:E84"/>
    <mergeCell ref="A148:E148"/>
    <mergeCell ref="B252:E252"/>
    <mergeCell ref="A232:E232"/>
    <mergeCell ref="B231:E231"/>
    <mergeCell ref="A211:E211"/>
    <mergeCell ref="B210:E210"/>
    <mergeCell ref="A190:E190"/>
    <mergeCell ref="B189:E189"/>
    <mergeCell ref="A169:E169"/>
    <mergeCell ref="B168:E168"/>
    <mergeCell ref="A253:E253"/>
    <mergeCell ref="B420:E420"/>
    <mergeCell ref="A400:E400"/>
    <mergeCell ref="B399:E399"/>
    <mergeCell ref="A379:E379"/>
    <mergeCell ref="B357:E357"/>
    <mergeCell ref="A337:E337"/>
    <mergeCell ref="B336:E336"/>
    <mergeCell ref="A316:E316"/>
    <mergeCell ref="B315:E315"/>
    <mergeCell ref="A295:E295"/>
    <mergeCell ref="B294:E294"/>
    <mergeCell ref="A274:E274"/>
    <mergeCell ref="B546:E546"/>
    <mergeCell ref="A526:E526"/>
    <mergeCell ref="B273:E273"/>
    <mergeCell ref="B441:E441"/>
    <mergeCell ref="A421:E421"/>
    <mergeCell ref="B378:E378"/>
    <mergeCell ref="A358:E358"/>
    <mergeCell ref="A442:E442"/>
    <mergeCell ref="B462:E462"/>
    <mergeCell ref="A505:E505"/>
    <mergeCell ref="B525:E525"/>
    <mergeCell ref="A484:E484"/>
    <mergeCell ref="B504:E504"/>
    <mergeCell ref="A463:E463"/>
    <mergeCell ref="B483:E483"/>
    <mergeCell ref="G463:K463"/>
    <mergeCell ref="H483:K483"/>
    <mergeCell ref="G484:K484"/>
    <mergeCell ref="H504:K504"/>
    <mergeCell ref="G442:K442"/>
    <mergeCell ref="H462:K462"/>
    <mergeCell ref="H336:K336"/>
    <mergeCell ref="G421:K421"/>
    <mergeCell ref="H441:K441"/>
    <mergeCell ref="M274:Q274"/>
    <mergeCell ref="N294:Q294"/>
    <mergeCell ref="M295:Q295"/>
    <mergeCell ref="N315:Q315"/>
    <mergeCell ref="M316:Q316"/>
    <mergeCell ref="N336:Q33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694C-6219-49A0-8EB2-404044A0B125}">
  <dimension ref="A1:Q546"/>
  <sheetViews>
    <sheetView topLeftCell="A437" workbookViewId="0">
      <selection activeCell="M464" sqref="M464"/>
    </sheetView>
  </sheetViews>
  <sheetFormatPr defaultRowHeight="15" x14ac:dyDescent="0.3"/>
  <sheetData>
    <row r="1" spans="1:17" ht="19.8" x14ac:dyDescent="0.3">
      <c r="A1" s="170">
        <v>46088</v>
      </c>
      <c r="B1" s="168"/>
      <c r="C1" s="168"/>
      <c r="D1" s="168"/>
      <c r="E1" s="168"/>
      <c r="G1" s="171">
        <v>46113</v>
      </c>
      <c r="H1" s="171"/>
      <c r="I1" s="171"/>
      <c r="J1" s="171"/>
      <c r="K1" s="171"/>
      <c r="M1" s="170">
        <v>46143</v>
      </c>
      <c r="N1" s="168"/>
      <c r="O1" s="168"/>
      <c r="P1" s="168"/>
      <c r="Q1" s="168"/>
    </row>
    <row r="2" spans="1:1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G2" s="1" t="s">
        <v>0</v>
      </c>
      <c r="H2" s="1" t="s">
        <v>1</v>
      </c>
      <c r="I2" s="1" t="s">
        <v>642</v>
      </c>
      <c r="J2" s="1" t="s">
        <v>3</v>
      </c>
      <c r="K2" s="1" t="s">
        <v>40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40</v>
      </c>
    </row>
    <row r="3" spans="1:17" x14ac:dyDescent="0.3">
      <c r="A3" s="2" t="s">
        <v>5</v>
      </c>
      <c r="B3" s="3">
        <v>988</v>
      </c>
      <c r="C3" s="3">
        <v>451</v>
      </c>
      <c r="D3" s="3">
        <v>333</v>
      </c>
      <c r="E3" s="3">
        <v>204</v>
      </c>
      <c r="G3" s="2" t="s">
        <v>5</v>
      </c>
      <c r="H3" s="3">
        <v>723</v>
      </c>
      <c r="I3" s="3">
        <v>0</v>
      </c>
      <c r="J3" s="3">
        <v>358</v>
      </c>
      <c r="K3" s="3">
        <v>365</v>
      </c>
      <c r="M3" s="2" t="s">
        <v>5</v>
      </c>
      <c r="N3" s="3">
        <v>3982</v>
      </c>
      <c r="O3" s="3">
        <v>1522</v>
      </c>
      <c r="P3" s="3">
        <v>1331</v>
      </c>
      <c r="Q3" s="3">
        <v>1129</v>
      </c>
    </row>
    <row r="4" spans="1:17" x14ac:dyDescent="0.3">
      <c r="A4" s="2" t="s">
        <v>6</v>
      </c>
      <c r="B4" s="3">
        <v>65</v>
      </c>
      <c r="C4" s="4">
        <v>17</v>
      </c>
      <c r="D4" s="5">
        <v>28</v>
      </c>
      <c r="E4" s="6">
        <v>20</v>
      </c>
      <c r="G4" s="2" t="s">
        <v>6</v>
      </c>
      <c r="H4" s="3">
        <v>106</v>
      </c>
      <c r="I4" s="3">
        <v>0</v>
      </c>
      <c r="J4" s="5">
        <v>73</v>
      </c>
      <c r="K4" s="6">
        <v>33</v>
      </c>
      <c r="M4" s="2" t="s">
        <v>6</v>
      </c>
      <c r="N4" s="3">
        <v>375</v>
      </c>
      <c r="O4" s="5">
        <v>162</v>
      </c>
      <c r="P4" s="4">
        <v>106</v>
      </c>
      <c r="Q4" s="6">
        <v>107</v>
      </c>
    </row>
    <row r="5" spans="1:17" x14ac:dyDescent="0.3">
      <c r="A5" s="2" t="s">
        <v>7</v>
      </c>
      <c r="B5" s="3" t="s">
        <v>249</v>
      </c>
      <c r="C5" s="4" t="s">
        <v>190</v>
      </c>
      <c r="D5" s="6" t="s">
        <v>333</v>
      </c>
      <c r="E5" s="5" t="s">
        <v>334</v>
      </c>
      <c r="G5" s="2" t="s">
        <v>7</v>
      </c>
      <c r="H5" s="3" t="s">
        <v>1198</v>
      </c>
      <c r="I5" s="3">
        <v>0</v>
      </c>
      <c r="J5" s="5" t="s">
        <v>1070</v>
      </c>
      <c r="K5" s="6" t="s">
        <v>1164</v>
      </c>
      <c r="M5" s="2" t="s">
        <v>7</v>
      </c>
      <c r="N5" s="3" t="s">
        <v>1206</v>
      </c>
      <c r="O5" s="5" t="s">
        <v>828</v>
      </c>
      <c r="P5" s="4" t="s">
        <v>175</v>
      </c>
      <c r="Q5" s="6" t="s">
        <v>813</v>
      </c>
    </row>
    <row r="6" spans="1:17" x14ac:dyDescent="0.3">
      <c r="A6" s="2" t="s">
        <v>12</v>
      </c>
      <c r="B6" s="3" t="s">
        <v>335</v>
      </c>
      <c r="C6" s="4" t="s">
        <v>337</v>
      </c>
      <c r="D6" s="6" t="s">
        <v>336</v>
      </c>
      <c r="E6" s="5" t="s">
        <v>173</v>
      </c>
      <c r="G6" s="2" t="s">
        <v>12</v>
      </c>
      <c r="H6" s="3" t="s">
        <v>993</v>
      </c>
      <c r="I6" s="3">
        <v>0</v>
      </c>
      <c r="J6" s="5" t="s">
        <v>1199</v>
      </c>
      <c r="K6" s="6" t="s">
        <v>1200</v>
      </c>
      <c r="M6" s="2" t="s">
        <v>12</v>
      </c>
      <c r="N6" s="3" t="s">
        <v>315</v>
      </c>
      <c r="O6" s="5" t="s">
        <v>1776</v>
      </c>
      <c r="P6" s="4" t="s">
        <v>810</v>
      </c>
      <c r="Q6" s="6" t="s">
        <v>1510</v>
      </c>
    </row>
    <row r="7" spans="1:17" x14ac:dyDescent="0.3">
      <c r="A7" s="2" t="s">
        <v>17</v>
      </c>
      <c r="B7" s="48">
        <f>B5-B6</f>
        <v>1.9199999999999995E-2</v>
      </c>
      <c r="C7" s="47">
        <f>C5-C6</f>
        <v>3.0999999999999996E-2</v>
      </c>
      <c r="D7" s="6" t="s">
        <v>338</v>
      </c>
      <c r="E7" s="4" t="s">
        <v>236</v>
      </c>
      <c r="G7" s="2" t="s">
        <v>17</v>
      </c>
      <c r="H7" s="3" t="s">
        <v>1201</v>
      </c>
      <c r="I7" s="3" t="s">
        <v>25</v>
      </c>
      <c r="J7" s="5" t="s">
        <v>299</v>
      </c>
      <c r="K7" s="6" t="s">
        <v>335</v>
      </c>
      <c r="M7" s="2" t="s">
        <v>17</v>
      </c>
      <c r="N7" s="3" t="s">
        <v>105</v>
      </c>
      <c r="O7" s="6" t="s">
        <v>888</v>
      </c>
      <c r="P7" s="5" t="s">
        <v>1777</v>
      </c>
      <c r="Q7" s="4" t="s">
        <v>1168</v>
      </c>
    </row>
    <row r="8" spans="1:17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G8" s="2" t="s">
        <v>22</v>
      </c>
      <c r="H8" s="3" t="s">
        <v>25</v>
      </c>
      <c r="I8" s="3" t="s">
        <v>25</v>
      </c>
      <c r="J8" s="3" t="s">
        <v>25</v>
      </c>
      <c r="K8" s="3" t="s">
        <v>25</v>
      </c>
      <c r="M8" s="2" t="s">
        <v>22</v>
      </c>
      <c r="N8" s="3" t="s">
        <v>75</v>
      </c>
      <c r="O8" s="4" t="s">
        <v>138</v>
      </c>
      <c r="P8" s="5" t="s">
        <v>266</v>
      </c>
      <c r="Q8" s="6" t="s">
        <v>84</v>
      </c>
    </row>
    <row r="9" spans="1:17" x14ac:dyDescent="0.3">
      <c r="A9" s="7" t="s">
        <v>26</v>
      </c>
      <c r="B9" s="8">
        <v>46</v>
      </c>
      <c r="C9" s="8">
        <v>3</v>
      </c>
      <c r="D9" s="8">
        <v>26</v>
      </c>
      <c r="E9" s="8">
        <v>17</v>
      </c>
      <c r="G9" s="7" t="s">
        <v>26</v>
      </c>
      <c r="H9" s="8">
        <v>64</v>
      </c>
      <c r="I9" s="8">
        <v>0</v>
      </c>
      <c r="J9" s="8">
        <v>48</v>
      </c>
      <c r="K9" s="8">
        <v>16</v>
      </c>
      <c r="M9" s="7" t="s">
        <v>26</v>
      </c>
      <c r="N9" s="8">
        <v>270</v>
      </c>
      <c r="O9" s="8">
        <v>121</v>
      </c>
      <c r="P9" s="8">
        <v>64</v>
      </c>
      <c r="Q9" s="8">
        <v>85</v>
      </c>
    </row>
    <row r="10" spans="1:17" x14ac:dyDescent="0.3">
      <c r="A10" s="9" t="s">
        <v>27</v>
      </c>
      <c r="B10" s="10">
        <v>16</v>
      </c>
      <c r="C10" s="10">
        <v>0</v>
      </c>
      <c r="D10" s="10">
        <v>13</v>
      </c>
      <c r="E10" s="10">
        <v>3</v>
      </c>
      <c r="G10" s="9" t="s">
        <v>27</v>
      </c>
      <c r="H10" s="10">
        <v>40</v>
      </c>
      <c r="I10" s="10">
        <v>0</v>
      </c>
      <c r="J10" s="10">
        <v>33</v>
      </c>
      <c r="K10" s="10">
        <v>7</v>
      </c>
      <c r="M10" s="9" t="s">
        <v>27</v>
      </c>
      <c r="N10" s="10">
        <v>152</v>
      </c>
      <c r="O10" s="10">
        <v>60</v>
      </c>
      <c r="P10" s="10">
        <v>40</v>
      </c>
      <c r="Q10" s="10">
        <v>52</v>
      </c>
    </row>
    <row r="11" spans="1:17" x14ac:dyDescent="0.3">
      <c r="A11" s="9" t="s">
        <v>28</v>
      </c>
      <c r="B11" s="10">
        <v>1</v>
      </c>
      <c r="C11" s="10">
        <v>0</v>
      </c>
      <c r="D11" s="10">
        <v>0</v>
      </c>
      <c r="E11" s="10">
        <v>1</v>
      </c>
      <c r="G11" s="9" t="s">
        <v>28</v>
      </c>
      <c r="H11" s="10">
        <v>0</v>
      </c>
      <c r="I11" s="10">
        <v>0</v>
      </c>
      <c r="J11" s="10">
        <v>0</v>
      </c>
      <c r="K11" s="10">
        <v>0</v>
      </c>
      <c r="M11" s="9" t="s">
        <v>28</v>
      </c>
      <c r="N11" s="10">
        <v>8</v>
      </c>
      <c r="O11" s="10">
        <v>2</v>
      </c>
      <c r="P11" s="10">
        <v>1</v>
      </c>
      <c r="Q11" s="10">
        <v>5</v>
      </c>
    </row>
    <row r="12" spans="1:17" x14ac:dyDescent="0.3">
      <c r="A12" s="9" t="s">
        <v>29</v>
      </c>
      <c r="B12" s="10">
        <v>9</v>
      </c>
      <c r="C12" s="10">
        <v>2</v>
      </c>
      <c r="D12" s="10">
        <v>0</v>
      </c>
      <c r="E12" s="10">
        <v>7</v>
      </c>
      <c r="G12" s="9" t="s">
        <v>29</v>
      </c>
      <c r="H12" s="10">
        <v>3</v>
      </c>
      <c r="I12" s="10">
        <v>0</v>
      </c>
      <c r="J12" s="10">
        <v>0</v>
      </c>
      <c r="K12" s="10">
        <v>3</v>
      </c>
      <c r="M12" s="9" t="s">
        <v>29</v>
      </c>
      <c r="N12" s="10">
        <v>34</v>
      </c>
      <c r="O12" s="10">
        <v>34</v>
      </c>
      <c r="P12" s="10">
        <v>0</v>
      </c>
      <c r="Q12" s="10">
        <v>0</v>
      </c>
    </row>
    <row r="13" spans="1:17" x14ac:dyDescent="0.3">
      <c r="A13" s="9" t="s">
        <v>30</v>
      </c>
      <c r="B13" s="10">
        <v>20</v>
      </c>
      <c r="C13" s="10">
        <v>1</v>
      </c>
      <c r="D13" s="10">
        <v>13</v>
      </c>
      <c r="E13" s="10">
        <v>6</v>
      </c>
      <c r="G13" s="9" t="s">
        <v>30</v>
      </c>
      <c r="H13" s="10">
        <v>21</v>
      </c>
      <c r="I13" s="10">
        <v>0</v>
      </c>
      <c r="J13" s="10">
        <v>15</v>
      </c>
      <c r="K13" s="10">
        <v>6</v>
      </c>
      <c r="M13" s="9" t="s">
        <v>30</v>
      </c>
      <c r="N13" s="10">
        <v>76</v>
      </c>
      <c r="O13" s="10">
        <v>25</v>
      </c>
      <c r="P13" s="10">
        <v>23</v>
      </c>
      <c r="Q13" s="10">
        <v>28</v>
      </c>
    </row>
    <row r="14" spans="1:17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G14" s="9" t="s">
        <v>31</v>
      </c>
      <c r="H14" s="10">
        <v>0</v>
      </c>
      <c r="I14" s="10">
        <v>0</v>
      </c>
      <c r="J14" s="10">
        <v>0</v>
      </c>
      <c r="K14" s="10">
        <v>0</v>
      </c>
      <c r="M14" s="9" t="s">
        <v>31</v>
      </c>
      <c r="N14" s="10">
        <v>0</v>
      </c>
      <c r="O14" s="10">
        <v>0</v>
      </c>
      <c r="P14" s="10">
        <v>0</v>
      </c>
      <c r="Q14" s="10">
        <v>0</v>
      </c>
    </row>
    <row r="15" spans="1:17" x14ac:dyDescent="0.3">
      <c r="A15" s="11" t="s">
        <v>32</v>
      </c>
      <c r="B15" s="12">
        <v>20</v>
      </c>
      <c r="C15" s="12">
        <v>11</v>
      </c>
      <c r="D15" s="12">
        <v>6</v>
      </c>
      <c r="E15" s="12">
        <v>3</v>
      </c>
      <c r="G15" s="11" t="s">
        <v>32</v>
      </c>
      <c r="H15" s="12">
        <v>42</v>
      </c>
      <c r="I15" s="12">
        <v>0</v>
      </c>
      <c r="J15" s="12">
        <v>25</v>
      </c>
      <c r="K15" s="12">
        <v>17</v>
      </c>
      <c r="M15" s="11" t="s">
        <v>32</v>
      </c>
      <c r="N15" s="12">
        <v>105</v>
      </c>
      <c r="O15" s="12">
        <v>41</v>
      </c>
      <c r="P15" s="12">
        <v>42</v>
      </c>
      <c r="Q15" s="12">
        <v>22</v>
      </c>
    </row>
    <row r="16" spans="1:17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G16" s="13" t="s">
        <v>33</v>
      </c>
      <c r="H16" s="14">
        <v>0</v>
      </c>
      <c r="I16" s="14">
        <v>0</v>
      </c>
      <c r="J16" s="14">
        <v>0</v>
      </c>
      <c r="K16" s="14">
        <v>0</v>
      </c>
      <c r="M16" s="13" t="s">
        <v>33</v>
      </c>
      <c r="N16" s="14">
        <v>0</v>
      </c>
      <c r="O16" s="14">
        <v>0</v>
      </c>
      <c r="P16" s="14">
        <v>0</v>
      </c>
      <c r="Q16" s="14">
        <v>0</v>
      </c>
    </row>
    <row r="17" spans="1:17" x14ac:dyDescent="0.3">
      <c r="A17" s="13" t="s">
        <v>34</v>
      </c>
      <c r="B17" s="14">
        <v>20</v>
      </c>
      <c r="C17" s="14">
        <v>11</v>
      </c>
      <c r="D17" s="14">
        <v>6</v>
      </c>
      <c r="E17" s="14">
        <v>3</v>
      </c>
      <c r="G17" s="13" t="s">
        <v>34</v>
      </c>
      <c r="H17" s="14">
        <v>42</v>
      </c>
      <c r="I17" s="14">
        <v>0</v>
      </c>
      <c r="J17" s="14">
        <v>25</v>
      </c>
      <c r="K17" s="14">
        <v>17</v>
      </c>
      <c r="M17" s="13" t="s">
        <v>34</v>
      </c>
      <c r="N17" s="14">
        <v>105</v>
      </c>
      <c r="O17" s="14">
        <v>41</v>
      </c>
      <c r="P17" s="14">
        <v>42</v>
      </c>
      <c r="Q17" s="14">
        <v>22</v>
      </c>
    </row>
    <row r="18" spans="1:17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G18" s="15" t="s">
        <v>35</v>
      </c>
      <c r="H18" s="16">
        <v>0</v>
      </c>
      <c r="I18" s="16">
        <v>0</v>
      </c>
      <c r="J18" s="16">
        <v>0</v>
      </c>
      <c r="K18" s="16">
        <v>0</v>
      </c>
      <c r="M18" s="15" t="s">
        <v>35</v>
      </c>
      <c r="N18" s="16">
        <v>5</v>
      </c>
      <c r="O18" s="16">
        <v>1</v>
      </c>
      <c r="P18" s="16">
        <v>3</v>
      </c>
      <c r="Q18" s="16">
        <v>1</v>
      </c>
    </row>
    <row r="19" spans="1:17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G19" s="17" t="s">
        <v>36</v>
      </c>
      <c r="H19" s="56">
        <v>0</v>
      </c>
      <c r="I19" s="78">
        <v>0</v>
      </c>
      <c r="J19" s="56">
        <v>0</v>
      </c>
      <c r="K19" s="56">
        <v>0</v>
      </c>
      <c r="M19" s="17" t="s">
        <v>36</v>
      </c>
      <c r="N19" s="112">
        <v>2</v>
      </c>
      <c r="O19" s="112">
        <v>1</v>
      </c>
      <c r="P19" s="112">
        <v>0</v>
      </c>
      <c r="Q19" s="112">
        <v>1</v>
      </c>
    </row>
    <row r="20" spans="1:17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G20" s="17" t="s">
        <v>37</v>
      </c>
      <c r="H20" s="56">
        <v>0</v>
      </c>
      <c r="I20" s="78">
        <v>0</v>
      </c>
      <c r="J20" s="56">
        <v>0</v>
      </c>
      <c r="K20" s="56">
        <v>0</v>
      </c>
      <c r="M20" s="17" t="s">
        <v>37</v>
      </c>
      <c r="N20" s="112">
        <v>5</v>
      </c>
      <c r="O20" s="112">
        <v>1</v>
      </c>
      <c r="P20" s="112">
        <v>3</v>
      </c>
      <c r="Q20" s="112">
        <v>1</v>
      </c>
    </row>
    <row r="21" spans="1:17" x14ac:dyDescent="0.3">
      <c r="A21" s="17" t="s">
        <v>38</v>
      </c>
      <c r="B21" s="167" t="s">
        <v>339</v>
      </c>
      <c r="C21" s="168"/>
      <c r="D21" s="168"/>
      <c r="E21" s="168"/>
      <c r="G21" s="17" t="s">
        <v>38</v>
      </c>
      <c r="H21" s="172" t="s">
        <v>339</v>
      </c>
      <c r="I21" s="173"/>
      <c r="J21" s="173"/>
      <c r="K21" s="173"/>
      <c r="M21" s="17" t="s">
        <v>38</v>
      </c>
      <c r="N21" s="167" t="s">
        <v>339</v>
      </c>
      <c r="O21" s="168"/>
      <c r="P21" s="168"/>
      <c r="Q21" s="168"/>
    </row>
    <row r="22" spans="1:17" ht="19.8" x14ac:dyDescent="0.3">
      <c r="A22" s="170">
        <v>46090</v>
      </c>
      <c r="B22" s="168"/>
      <c r="C22" s="168"/>
      <c r="D22" s="168"/>
      <c r="E22" s="168"/>
      <c r="G22" s="171">
        <v>46114</v>
      </c>
      <c r="H22" s="171"/>
      <c r="I22" s="171"/>
      <c r="J22" s="171"/>
      <c r="K22" s="171"/>
      <c r="M22" s="170">
        <v>46146</v>
      </c>
      <c r="N22" s="168"/>
      <c r="O22" s="168"/>
      <c r="P22" s="168"/>
      <c r="Q22" s="168"/>
    </row>
    <row r="23" spans="1:17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G23" s="1" t="s">
        <v>0</v>
      </c>
      <c r="H23" s="1" t="s">
        <v>1</v>
      </c>
      <c r="I23" s="1" t="s">
        <v>642</v>
      </c>
      <c r="J23" s="1" t="s">
        <v>3</v>
      </c>
      <c r="K23" s="1" t="s">
        <v>40</v>
      </c>
      <c r="M23" s="1" t="s">
        <v>0</v>
      </c>
      <c r="N23" s="1" t="s">
        <v>1</v>
      </c>
      <c r="O23" s="1" t="s">
        <v>2</v>
      </c>
      <c r="P23" s="1" t="s">
        <v>3</v>
      </c>
      <c r="Q23" s="1" t="s">
        <v>40</v>
      </c>
    </row>
    <row r="24" spans="1:17" x14ac:dyDescent="0.3">
      <c r="A24" s="2" t="s">
        <v>5</v>
      </c>
      <c r="B24" s="3">
        <v>997</v>
      </c>
      <c r="C24" s="3">
        <v>429</v>
      </c>
      <c r="D24" s="3">
        <v>301</v>
      </c>
      <c r="E24" s="3">
        <v>267</v>
      </c>
      <c r="G24" s="2" t="s">
        <v>5</v>
      </c>
      <c r="H24" s="3">
        <v>1270</v>
      </c>
      <c r="I24" s="3">
        <v>0</v>
      </c>
      <c r="J24" s="3">
        <v>692</v>
      </c>
      <c r="K24" s="3">
        <v>578</v>
      </c>
      <c r="M24" s="2" t="s">
        <v>5</v>
      </c>
      <c r="N24" s="3">
        <v>678</v>
      </c>
      <c r="O24" s="3">
        <v>2</v>
      </c>
      <c r="P24" s="3">
        <v>673</v>
      </c>
      <c r="Q24" s="3">
        <v>3</v>
      </c>
    </row>
    <row r="25" spans="1:17" x14ac:dyDescent="0.3">
      <c r="A25" s="2" t="s">
        <v>6</v>
      </c>
      <c r="B25" s="3">
        <v>80</v>
      </c>
      <c r="C25" s="4">
        <v>21</v>
      </c>
      <c r="D25" s="6">
        <v>22</v>
      </c>
      <c r="E25" s="5">
        <v>37</v>
      </c>
      <c r="G25" s="2" t="s">
        <v>6</v>
      </c>
      <c r="H25" s="3">
        <v>206</v>
      </c>
      <c r="I25" s="3">
        <v>0</v>
      </c>
      <c r="J25" s="5">
        <v>149</v>
      </c>
      <c r="K25" s="6">
        <v>57</v>
      </c>
      <c r="M25" s="2" t="s">
        <v>6</v>
      </c>
      <c r="N25" s="3">
        <v>76</v>
      </c>
      <c r="O25" s="4">
        <v>2</v>
      </c>
      <c r="P25" s="5">
        <v>71</v>
      </c>
      <c r="Q25" s="6">
        <v>3</v>
      </c>
    </row>
    <row r="26" spans="1:17" x14ac:dyDescent="0.3">
      <c r="A26" s="2" t="s">
        <v>7</v>
      </c>
      <c r="B26" s="3" t="s">
        <v>382</v>
      </c>
      <c r="C26" s="4" t="s">
        <v>383</v>
      </c>
      <c r="D26" s="6" t="s">
        <v>172</v>
      </c>
      <c r="E26" s="5" t="s">
        <v>384</v>
      </c>
      <c r="G26" s="2" t="s">
        <v>7</v>
      </c>
      <c r="H26" s="3" t="s">
        <v>1218</v>
      </c>
      <c r="I26" s="3">
        <v>0</v>
      </c>
      <c r="J26" s="5" t="s">
        <v>1219</v>
      </c>
      <c r="K26" s="6" t="s">
        <v>500</v>
      </c>
      <c r="M26" s="2" t="s">
        <v>7</v>
      </c>
      <c r="N26" s="3" t="s">
        <v>1791</v>
      </c>
      <c r="O26" s="5" t="s">
        <v>48</v>
      </c>
      <c r="P26" s="6" t="s">
        <v>198</v>
      </c>
      <c r="Q26" s="5" t="s">
        <v>48</v>
      </c>
    </row>
    <row r="27" spans="1:17" x14ac:dyDescent="0.3">
      <c r="A27" s="2" t="s">
        <v>12</v>
      </c>
      <c r="B27" s="3" t="s">
        <v>23</v>
      </c>
      <c r="C27" s="3" t="s">
        <v>25</v>
      </c>
      <c r="D27" s="6" t="s">
        <v>385</v>
      </c>
      <c r="E27" s="5" t="s">
        <v>386</v>
      </c>
      <c r="G27" s="2" t="s">
        <v>12</v>
      </c>
      <c r="H27" s="3" t="s">
        <v>13</v>
      </c>
      <c r="I27" s="3">
        <v>0</v>
      </c>
      <c r="J27" s="5" t="s">
        <v>1220</v>
      </c>
      <c r="K27" s="3" t="s">
        <v>25</v>
      </c>
      <c r="M27" s="2" t="s">
        <v>12</v>
      </c>
      <c r="N27" s="3" t="s">
        <v>515</v>
      </c>
      <c r="O27" s="3" t="s">
        <v>25</v>
      </c>
      <c r="P27" s="5" t="s">
        <v>1273</v>
      </c>
      <c r="Q27" s="3" t="s">
        <v>25</v>
      </c>
    </row>
    <row r="28" spans="1:17" x14ac:dyDescent="0.3">
      <c r="A28" s="2" t="s">
        <v>17</v>
      </c>
      <c r="B28" s="48">
        <f>B26-B27</f>
        <v>5.3099999999999994E-2</v>
      </c>
      <c r="C28" s="5" t="str">
        <f>C26</f>
        <v>4.90%</v>
      </c>
      <c r="D28" s="4" t="s">
        <v>172</v>
      </c>
      <c r="E28" s="6" t="s">
        <v>387</v>
      </c>
      <c r="G28" s="2" t="s">
        <v>17</v>
      </c>
      <c r="H28" s="3" t="s">
        <v>1221</v>
      </c>
      <c r="I28" s="3" t="s">
        <v>25</v>
      </c>
      <c r="J28" s="6" t="s">
        <v>128</v>
      </c>
      <c r="K28" s="5" t="s">
        <v>691</v>
      </c>
      <c r="M28" s="2" t="s">
        <v>17</v>
      </c>
      <c r="N28" s="3" t="s">
        <v>261</v>
      </c>
      <c r="O28" s="5" t="s">
        <v>48</v>
      </c>
      <c r="P28" s="6" t="s">
        <v>856</v>
      </c>
      <c r="Q28" s="5" t="s">
        <v>48</v>
      </c>
    </row>
    <row r="29" spans="1:17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G29" s="2" t="s">
        <v>22</v>
      </c>
      <c r="H29" s="3" t="s">
        <v>25</v>
      </c>
      <c r="I29" s="3" t="s">
        <v>25</v>
      </c>
      <c r="J29" s="3" t="s">
        <v>25</v>
      </c>
      <c r="K29" s="3" t="s">
        <v>25</v>
      </c>
      <c r="M29" s="2" t="s">
        <v>22</v>
      </c>
      <c r="N29" s="3" t="s">
        <v>732</v>
      </c>
      <c r="O29" s="5" t="s">
        <v>48</v>
      </c>
      <c r="P29" s="6" t="s">
        <v>1792</v>
      </c>
      <c r="Q29" s="5" t="s">
        <v>48</v>
      </c>
    </row>
    <row r="30" spans="1:17" x14ac:dyDescent="0.3">
      <c r="A30" s="7" t="s">
        <v>26</v>
      </c>
      <c r="B30" s="8">
        <v>27</v>
      </c>
      <c r="C30" s="8">
        <v>0</v>
      </c>
      <c r="D30" s="8">
        <v>13</v>
      </c>
      <c r="E30" s="8">
        <v>14</v>
      </c>
      <c r="G30" s="7" t="s">
        <v>26</v>
      </c>
      <c r="H30" s="8">
        <v>89</v>
      </c>
      <c r="I30" s="8">
        <v>0</v>
      </c>
      <c r="J30" s="8">
        <v>89</v>
      </c>
      <c r="K30" s="8">
        <v>0</v>
      </c>
      <c r="M30" s="7" t="s">
        <v>26</v>
      </c>
      <c r="N30" s="8">
        <v>41</v>
      </c>
      <c r="O30" s="8">
        <v>0</v>
      </c>
      <c r="P30" s="8">
        <v>41</v>
      </c>
      <c r="Q30" s="8">
        <v>0</v>
      </c>
    </row>
    <row r="31" spans="1:17" x14ac:dyDescent="0.3">
      <c r="A31" s="9" t="s">
        <v>27</v>
      </c>
      <c r="B31" s="10">
        <v>9</v>
      </c>
      <c r="C31" s="10">
        <v>0</v>
      </c>
      <c r="D31" s="10">
        <v>7</v>
      </c>
      <c r="E31" s="10">
        <v>2</v>
      </c>
      <c r="G31" s="9" t="s">
        <v>27</v>
      </c>
      <c r="H31" s="10">
        <v>56</v>
      </c>
      <c r="I31" s="10">
        <v>0</v>
      </c>
      <c r="J31" s="10">
        <v>56</v>
      </c>
      <c r="K31" s="10">
        <v>0</v>
      </c>
      <c r="M31" s="9" t="s">
        <v>27</v>
      </c>
      <c r="N31" s="10">
        <v>34</v>
      </c>
      <c r="O31" s="10">
        <v>0</v>
      </c>
      <c r="P31" s="10">
        <v>34</v>
      </c>
      <c r="Q31" s="10">
        <v>0</v>
      </c>
    </row>
    <row r="32" spans="1:17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G32" s="9" t="s">
        <v>28</v>
      </c>
      <c r="H32" s="10">
        <v>3</v>
      </c>
      <c r="I32" s="10">
        <v>0</v>
      </c>
      <c r="J32" s="10">
        <v>3</v>
      </c>
      <c r="K32" s="10">
        <v>0</v>
      </c>
      <c r="M32" s="9" t="s">
        <v>28</v>
      </c>
      <c r="N32" s="10">
        <v>0</v>
      </c>
      <c r="O32" s="10">
        <v>0</v>
      </c>
      <c r="P32" s="10">
        <v>0</v>
      </c>
      <c r="Q32" s="10">
        <v>0</v>
      </c>
    </row>
    <row r="33" spans="1:17" x14ac:dyDescent="0.3">
      <c r="A33" s="9" t="s">
        <v>29</v>
      </c>
      <c r="B33" s="10">
        <v>3</v>
      </c>
      <c r="C33" s="10">
        <v>0</v>
      </c>
      <c r="D33" s="10">
        <v>0</v>
      </c>
      <c r="E33" s="10">
        <v>3</v>
      </c>
      <c r="G33" s="9" t="s">
        <v>29</v>
      </c>
      <c r="H33" s="10">
        <v>0</v>
      </c>
      <c r="I33" s="10">
        <v>0</v>
      </c>
      <c r="J33" s="10">
        <v>0</v>
      </c>
      <c r="K33" s="10">
        <v>0</v>
      </c>
      <c r="M33" s="9" t="s">
        <v>29</v>
      </c>
      <c r="N33" s="10">
        <v>0</v>
      </c>
      <c r="O33" s="10">
        <v>0</v>
      </c>
      <c r="P33" s="10">
        <v>0</v>
      </c>
      <c r="Q33" s="10">
        <v>0</v>
      </c>
    </row>
    <row r="34" spans="1:17" x14ac:dyDescent="0.3">
      <c r="A34" s="9" t="s">
        <v>30</v>
      </c>
      <c r="B34" s="10">
        <v>15</v>
      </c>
      <c r="C34" s="10">
        <v>0</v>
      </c>
      <c r="D34" s="10">
        <v>6</v>
      </c>
      <c r="E34" s="10">
        <v>9</v>
      </c>
      <c r="G34" s="9" t="s">
        <v>30</v>
      </c>
      <c r="H34" s="10">
        <v>30</v>
      </c>
      <c r="I34" s="10">
        <v>0</v>
      </c>
      <c r="J34" s="10">
        <v>30</v>
      </c>
      <c r="K34" s="10">
        <v>0</v>
      </c>
      <c r="M34" s="9" t="s">
        <v>30</v>
      </c>
      <c r="N34" s="10">
        <v>7</v>
      </c>
      <c r="O34" s="10">
        <v>0</v>
      </c>
      <c r="P34" s="10">
        <v>7</v>
      </c>
      <c r="Q34" s="10">
        <v>0</v>
      </c>
    </row>
    <row r="35" spans="1:17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G35" s="9" t="s">
        <v>31</v>
      </c>
      <c r="H35" s="10">
        <v>0</v>
      </c>
      <c r="I35" s="10">
        <v>0</v>
      </c>
      <c r="J35" s="10">
        <v>0</v>
      </c>
      <c r="K35" s="10">
        <v>0</v>
      </c>
      <c r="M35" s="9" t="s">
        <v>31</v>
      </c>
      <c r="N35" s="10">
        <v>0</v>
      </c>
      <c r="O35" s="10">
        <v>0</v>
      </c>
      <c r="P35" s="10">
        <v>0</v>
      </c>
      <c r="Q35" s="10">
        <v>0</v>
      </c>
    </row>
    <row r="36" spans="1:17" x14ac:dyDescent="0.3">
      <c r="A36" s="11" t="s">
        <v>32</v>
      </c>
      <c r="B36" s="12">
        <v>89</v>
      </c>
      <c r="C36" s="12">
        <v>44</v>
      </c>
      <c r="D36" s="12">
        <v>22</v>
      </c>
      <c r="E36" s="12">
        <v>23</v>
      </c>
      <c r="G36" s="11" t="s">
        <v>32</v>
      </c>
      <c r="H36" s="12">
        <v>116</v>
      </c>
      <c r="I36" s="12">
        <v>0</v>
      </c>
      <c r="J36" s="12">
        <v>60</v>
      </c>
      <c r="K36" s="12">
        <v>56</v>
      </c>
      <c r="M36" s="11" t="s">
        <v>32</v>
      </c>
      <c r="N36" s="12">
        <v>35</v>
      </c>
      <c r="O36" s="12">
        <v>2</v>
      </c>
      <c r="P36" s="12">
        <v>30</v>
      </c>
      <c r="Q36" s="12">
        <v>3</v>
      </c>
    </row>
    <row r="37" spans="1:17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G37" s="13" t="s">
        <v>33</v>
      </c>
      <c r="H37" s="14">
        <v>0</v>
      </c>
      <c r="I37" s="14">
        <v>0</v>
      </c>
      <c r="J37" s="14">
        <v>0</v>
      </c>
      <c r="K37" s="14">
        <v>0</v>
      </c>
      <c r="M37" s="13" t="s">
        <v>33</v>
      </c>
      <c r="N37" s="14">
        <v>1</v>
      </c>
      <c r="O37" s="14">
        <v>0</v>
      </c>
      <c r="P37" s="14">
        <v>1</v>
      </c>
      <c r="Q37" s="14">
        <v>0</v>
      </c>
    </row>
    <row r="38" spans="1:17" x14ac:dyDescent="0.3">
      <c r="A38" s="13" t="s">
        <v>34</v>
      </c>
      <c r="B38" s="14">
        <v>89</v>
      </c>
      <c r="C38" s="14">
        <v>44</v>
      </c>
      <c r="D38" s="14">
        <v>22</v>
      </c>
      <c r="E38" s="14">
        <v>23</v>
      </c>
      <c r="G38" s="13" t="s">
        <v>34</v>
      </c>
      <c r="H38" s="14">
        <v>116</v>
      </c>
      <c r="I38" s="14">
        <v>0</v>
      </c>
      <c r="J38" s="14">
        <v>60</v>
      </c>
      <c r="K38" s="14">
        <v>56</v>
      </c>
      <c r="M38" s="13" t="s">
        <v>34</v>
      </c>
      <c r="N38" s="14">
        <v>34</v>
      </c>
      <c r="O38" s="14">
        <v>2</v>
      </c>
      <c r="P38" s="14">
        <v>29</v>
      </c>
      <c r="Q38" s="14">
        <v>3</v>
      </c>
    </row>
    <row r="39" spans="1:17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G39" s="15" t="s">
        <v>35</v>
      </c>
      <c r="H39" s="16">
        <v>0</v>
      </c>
      <c r="I39" s="16">
        <v>0</v>
      </c>
      <c r="J39" s="16">
        <v>0</v>
      </c>
      <c r="K39" s="16">
        <v>0</v>
      </c>
      <c r="M39" s="15" t="s">
        <v>35</v>
      </c>
      <c r="N39" s="16">
        <v>19</v>
      </c>
      <c r="O39" s="16">
        <v>2</v>
      </c>
      <c r="P39" s="16">
        <v>14</v>
      </c>
      <c r="Q39" s="16">
        <v>3</v>
      </c>
    </row>
    <row r="40" spans="1:17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G40" s="17" t="s">
        <v>36</v>
      </c>
      <c r="H40" s="56">
        <v>0</v>
      </c>
      <c r="I40" s="78">
        <v>0</v>
      </c>
      <c r="J40" s="56">
        <v>0</v>
      </c>
      <c r="K40" s="56">
        <v>0</v>
      </c>
      <c r="M40" s="17" t="s">
        <v>36</v>
      </c>
      <c r="N40" s="112">
        <v>7</v>
      </c>
      <c r="O40" s="112">
        <v>2</v>
      </c>
      <c r="P40" s="112">
        <v>2</v>
      </c>
      <c r="Q40" s="112">
        <v>3</v>
      </c>
    </row>
    <row r="41" spans="1:17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G41" s="17" t="s">
        <v>37</v>
      </c>
      <c r="H41" s="56">
        <v>0</v>
      </c>
      <c r="I41" s="78">
        <v>0</v>
      </c>
      <c r="J41" s="56">
        <v>0</v>
      </c>
      <c r="K41" s="56">
        <v>0</v>
      </c>
      <c r="M41" s="17" t="s">
        <v>37</v>
      </c>
      <c r="N41" s="112">
        <v>19</v>
      </c>
      <c r="O41" s="112">
        <v>2</v>
      </c>
      <c r="P41" s="112">
        <v>14</v>
      </c>
      <c r="Q41" s="112">
        <v>3</v>
      </c>
    </row>
    <row r="42" spans="1:17" x14ac:dyDescent="0.3">
      <c r="A42" s="17" t="s">
        <v>38</v>
      </c>
      <c r="B42" s="167" t="s">
        <v>339</v>
      </c>
      <c r="C42" s="168"/>
      <c r="D42" s="168"/>
      <c r="E42" s="168"/>
      <c r="G42" s="17" t="s">
        <v>38</v>
      </c>
      <c r="H42" s="172" t="s">
        <v>339</v>
      </c>
      <c r="I42" s="173"/>
      <c r="J42" s="173"/>
      <c r="K42" s="173"/>
      <c r="M42" s="17" t="s">
        <v>38</v>
      </c>
      <c r="N42" s="167" t="s">
        <v>339</v>
      </c>
      <c r="O42" s="168"/>
      <c r="P42" s="168"/>
      <c r="Q42" s="168"/>
    </row>
    <row r="43" spans="1:17" ht="19.8" x14ac:dyDescent="0.3">
      <c r="A43" s="170">
        <v>46091</v>
      </c>
      <c r="B43" s="168"/>
      <c r="C43" s="168"/>
      <c r="D43" s="168"/>
      <c r="E43" s="168"/>
      <c r="G43" s="171">
        <v>46115</v>
      </c>
      <c r="H43" s="171"/>
      <c r="I43" s="171"/>
      <c r="J43" s="171"/>
      <c r="K43" s="171"/>
      <c r="M43" s="170">
        <v>46147</v>
      </c>
      <c r="N43" s="168"/>
      <c r="O43" s="168"/>
      <c r="P43" s="168"/>
      <c r="Q43" s="168"/>
    </row>
    <row r="44" spans="1:17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G44" s="1" t="s">
        <v>0</v>
      </c>
      <c r="H44" s="1" t="s">
        <v>1</v>
      </c>
      <c r="I44" s="1" t="s">
        <v>642</v>
      </c>
      <c r="J44" s="1" t="s">
        <v>3</v>
      </c>
      <c r="K44" s="1" t="s">
        <v>40</v>
      </c>
      <c r="M44" s="1" t="s">
        <v>0</v>
      </c>
      <c r="N44" s="1" t="s">
        <v>1</v>
      </c>
      <c r="O44" s="1" t="s">
        <v>2</v>
      </c>
      <c r="P44" s="1" t="s">
        <v>3</v>
      </c>
      <c r="Q44" s="1" t="s">
        <v>40</v>
      </c>
    </row>
    <row r="45" spans="1:17" x14ac:dyDescent="0.3">
      <c r="A45" s="2" t="s">
        <v>5</v>
      </c>
      <c r="B45" s="3">
        <v>1049</v>
      </c>
      <c r="C45" s="3">
        <v>470</v>
      </c>
      <c r="D45" s="3">
        <v>310</v>
      </c>
      <c r="E45" s="3">
        <v>269</v>
      </c>
      <c r="G45" s="2" t="s">
        <v>5</v>
      </c>
      <c r="H45" s="3">
        <v>1149</v>
      </c>
      <c r="I45" s="3">
        <v>0</v>
      </c>
      <c r="J45" s="3">
        <v>625</v>
      </c>
      <c r="K45" s="3">
        <v>524</v>
      </c>
      <c r="M45" s="2" t="s">
        <v>5</v>
      </c>
      <c r="N45" s="3">
        <v>2125</v>
      </c>
      <c r="O45" s="3">
        <v>875</v>
      </c>
      <c r="P45" s="3">
        <v>738</v>
      </c>
      <c r="Q45" s="3">
        <v>512</v>
      </c>
    </row>
    <row r="46" spans="1:17" x14ac:dyDescent="0.3">
      <c r="A46" s="2" t="s">
        <v>6</v>
      </c>
      <c r="B46" s="3">
        <v>90</v>
      </c>
      <c r="C46" s="4">
        <v>27</v>
      </c>
      <c r="D46" s="6">
        <v>28</v>
      </c>
      <c r="E46" s="5">
        <v>35</v>
      </c>
      <c r="G46" s="2" t="s">
        <v>6</v>
      </c>
      <c r="H46" s="3">
        <v>149</v>
      </c>
      <c r="I46" s="3">
        <v>0</v>
      </c>
      <c r="J46" s="5">
        <v>105</v>
      </c>
      <c r="K46" s="6">
        <v>44</v>
      </c>
      <c r="M46" s="2" t="s">
        <v>6</v>
      </c>
      <c r="N46" s="3">
        <v>257</v>
      </c>
      <c r="O46" s="5">
        <v>118</v>
      </c>
      <c r="P46" s="4">
        <v>67</v>
      </c>
      <c r="Q46" s="6">
        <v>72</v>
      </c>
    </row>
    <row r="47" spans="1:17" x14ac:dyDescent="0.3">
      <c r="A47" s="2" t="s">
        <v>7</v>
      </c>
      <c r="B47" s="3" t="s">
        <v>420</v>
      </c>
      <c r="C47" s="4" t="s">
        <v>422</v>
      </c>
      <c r="D47" s="6" t="s">
        <v>421</v>
      </c>
      <c r="E47" s="5" t="s">
        <v>423</v>
      </c>
      <c r="G47" s="2" t="s">
        <v>7</v>
      </c>
      <c r="H47" s="3" t="s">
        <v>1243</v>
      </c>
      <c r="I47" s="3">
        <v>0</v>
      </c>
      <c r="J47" s="5" t="s">
        <v>713</v>
      </c>
      <c r="K47" s="6" t="s">
        <v>1244</v>
      </c>
      <c r="M47" s="2" t="s">
        <v>7</v>
      </c>
      <c r="N47" s="3" t="s">
        <v>1802</v>
      </c>
      <c r="O47" s="6" t="s">
        <v>1342</v>
      </c>
      <c r="P47" s="4" t="s">
        <v>176</v>
      </c>
      <c r="Q47" s="5" t="s">
        <v>1803</v>
      </c>
    </row>
    <row r="48" spans="1:17" x14ac:dyDescent="0.3">
      <c r="A48" s="2" t="s">
        <v>12</v>
      </c>
      <c r="B48" s="3" t="s">
        <v>424</v>
      </c>
      <c r="C48" s="3" t="s">
        <v>25</v>
      </c>
      <c r="D48" s="6" t="s">
        <v>261</v>
      </c>
      <c r="E48" s="5" t="s">
        <v>336</v>
      </c>
      <c r="G48" s="2" t="s">
        <v>12</v>
      </c>
      <c r="H48" s="3" t="s">
        <v>528</v>
      </c>
      <c r="I48" s="3">
        <v>0</v>
      </c>
      <c r="J48" s="5" t="s">
        <v>115</v>
      </c>
      <c r="K48" s="3" t="s">
        <v>25</v>
      </c>
      <c r="M48" s="2" t="s">
        <v>12</v>
      </c>
      <c r="N48" s="3" t="s">
        <v>1804</v>
      </c>
      <c r="O48" s="6" t="s">
        <v>350</v>
      </c>
      <c r="P48" s="4" t="s">
        <v>298</v>
      </c>
      <c r="Q48" s="5" t="s">
        <v>1570</v>
      </c>
    </row>
    <row r="49" spans="1:17" x14ac:dyDescent="0.3">
      <c r="A49" s="2" t="s">
        <v>17</v>
      </c>
      <c r="B49" s="48">
        <f>B47-B48</f>
        <v>5.0500000000000003E-2</v>
      </c>
      <c r="C49" s="50">
        <f>C47-C48</f>
        <v>5.74E-2</v>
      </c>
      <c r="D49" s="6" t="s">
        <v>425</v>
      </c>
      <c r="E49" s="4" t="s">
        <v>426</v>
      </c>
      <c r="G49" s="2" t="s">
        <v>17</v>
      </c>
      <c r="H49" s="3" t="s">
        <v>767</v>
      </c>
      <c r="I49" s="3" t="s">
        <v>25</v>
      </c>
      <c r="J49" s="6" t="s">
        <v>1013</v>
      </c>
      <c r="K49" s="5" t="s">
        <v>1244</v>
      </c>
      <c r="M49" s="2" t="s">
        <v>17</v>
      </c>
      <c r="N49" s="3" t="s">
        <v>43</v>
      </c>
      <c r="O49" s="5" t="s">
        <v>639</v>
      </c>
      <c r="P49" s="4" t="s">
        <v>1043</v>
      </c>
      <c r="Q49" s="6" t="s">
        <v>1168</v>
      </c>
    </row>
    <row r="50" spans="1:17" x14ac:dyDescent="0.3">
      <c r="A50" s="2" t="s">
        <v>22</v>
      </c>
      <c r="B50" s="3" t="s">
        <v>81</v>
      </c>
      <c r="C50" s="3" t="s">
        <v>25</v>
      </c>
      <c r="D50" s="5" t="s">
        <v>146</v>
      </c>
      <c r="E50" s="3" t="s">
        <v>25</v>
      </c>
      <c r="G50" s="2" t="s">
        <v>22</v>
      </c>
      <c r="H50" s="3" t="s">
        <v>25</v>
      </c>
      <c r="I50" s="3" t="s">
        <v>25</v>
      </c>
      <c r="J50" s="3" t="s">
        <v>25</v>
      </c>
      <c r="K50" s="3" t="s">
        <v>25</v>
      </c>
      <c r="M50" s="2" t="s">
        <v>22</v>
      </c>
      <c r="N50" s="3" t="s">
        <v>25</v>
      </c>
      <c r="O50" s="3" t="s">
        <v>25</v>
      </c>
      <c r="P50" s="3" t="s">
        <v>25</v>
      </c>
      <c r="Q50" s="3" t="s">
        <v>25</v>
      </c>
    </row>
    <row r="51" spans="1:17" x14ac:dyDescent="0.3">
      <c r="A51" s="7" t="s">
        <v>26</v>
      </c>
      <c r="B51" s="8">
        <v>37</v>
      </c>
      <c r="C51" s="8">
        <v>0</v>
      </c>
      <c r="D51" s="8">
        <v>16</v>
      </c>
      <c r="E51" s="8">
        <v>21</v>
      </c>
      <c r="G51" s="7" t="s">
        <v>26</v>
      </c>
      <c r="H51" s="8">
        <v>67</v>
      </c>
      <c r="I51" s="8">
        <v>0</v>
      </c>
      <c r="J51" s="8">
        <v>67</v>
      </c>
      <c r="K51" s="8">
        <v>0</v>
      </c>
      <c r="M51" s="7" t="s">
        <v>26</v>
      </c>
      <c r="N51" s="8">
        <v>208</v>
      </c>
      <c r="O51" s="8">
        <v>92</v>
      </c>
      <c r="P51" s="8">
        <v>54</v>
      </c>
      <c r="Q51" s="8">
        <v>62</v>
      </c>
    </row>
    <row r="52" spans="1:17" x14ac:dyDescent="0.3">
      <c r="A52" s="9" t="s">
        <v>27</v>
      </c>
      <c r="B52" s="10">
        <v>12</v>
      </c>
      <c r="C52" s="10">
        <v>0</v>
      </c>
      <c r="D52" s="10">
        <v>12</v>
      </c>
      <c r="E52" s="10">
        <v>0</v>
      </c>
      <c r="G52" s="9" t="s">
        <v>27</v>
      </c>
      <c r="H52" s="10">
        <v>49</v>
      </c>
      <c r="I52" s="10">
        <v>0</v>
      </c>
      <c r="J52" s="10">
        <v>49</v>
      </c>
      <c r="K52" s="10">
        <v>0</v>
      </c>
      <c r="M52" s="9" t="s">
        <v>27</v>
      </c>
      <c r="N52" s="10">
        <v>132</v>
      </c>
      <c r="O52" s="10">
        <v>47</v>
      </c>
      <c r="P52" s="10">
        <v>40</v>
      </c>
      <c r="Q52" s="10">
        <v>45</v>
      </c>
    </row>
    <row r="53" spans="1:17" x14ac:dyDescent="0.3">
      <c r="A53" s="9" t="s">
        <v>28</v>
      </c>
      <c r="B53" s="10">
        <v>2</v>
      </c>
      <c r="C53" s="10">
        <v>0</v>
      </c>
      <c r="D53" s="10">
        <v>0</v>
      </c>
      <c r="E53" s="10">
        <v>2</v>
      </c>
      <c r="G53" s="9" t="s">
        <v>28</v>
      </c>
      <c r="H53" s="10">
        <v>1</v>
      </c>
      <c r="I53" s="10">
        <v>0</v>
      </c>
      <c r="J53" s="10">
        <v>1</v>
      </c>
      <c r="K53" s="10">
        <v>0</v>
      </c>
      <c r="M53" s="9" t="s">
        <v>28</v>
      </c>
      <c r="N53" s="10">
        <v>4</v>
      </c>
      <c r="O53" s="10">
        <v>1</v>
      </c>
      <c r="P53" s="10">
        <v>1</v>
      </c>
      <c r="Q53" s="10">
        <v>2</v>
      </c>
    </row>
    <row r="54" spans="1:17" x14ac:dyDescent="0.3">
      <c r="A54" s="9" t="s">
        <v>29</v>
      </c>
      <c r="B54" s="10">
        <v>11</v>
      </c>
      <c r="C54" s="10">
        <v>0</v>
      </c>
      <c r="D54" s="10">
        <v>0</v>
      </c>
      <c r="E54" s="10">
        <v>11</v>
      </c>
      <c r="G54" s="9" t="s">
        <v>29</v>
      </c>
      <c r="H54" s="10">
        <v>0</v>
      </c>
      <c r="I54" s="10">
        <v>0</v>
      </c>
      <c r="J54" s="10">
        <v>0</v>
      </c>
      <c r="K54" s="10">
        <v>0</v>
      </c>
      <c r="M54" s="9" t="s">
        <v>29</v>
      </c>
      <c r="N54" s="10">
        <v>18</v>
      </c>
      <c r="O54" s="10">
        <v>18</v>
      </c>
      <c r="P54" s="10">
        <v>0</v>
      </c>
      <c r="Q54" s="10">
        <v>0</v>
      </c>
    </row>
    <row r="55" spans="1:17" x14ac:dyDescent="0.3">
      <c r="A55" s="9" t="s">
        <v>30</v>
      </c>
      <c r="B55" s="10">
        <v>12</v>
      </c>
      <c r="C55" s="10">
        <v>0</v>
      </c>
      <c r="D55" s="10">
        <v>4</v>
      </c>
      <c r="E55" s="10">
        <v>8</v>
      </c>
      <c r="G55" s="9" t="s">
        <v>30</v>
      </c>
      <c r="H55" s="10">
        <v>17</v>
      </c>
      <c r="I55" s="10">
        <v>0</v>
      </c>
      <c r="J55" s="10">
        <v>17</v>
      </c>
      <c r="K55" s="10">
        <v>0</v>
      </c>
      <c r="M55" s="9" t="s">
        <v>30</v>
      </c>
      <c r="N55" s="10">
        <v>54</v>
      </c>
      <c r="O55" s="10">
        <v>26</v>
      </c>
      <c r="P55" s="10">
        <v>13</v>
      </c>
      <c r="Q55" s="10">
        <v>15</v>
      </c>
    </row>
    <row r="56" spans="1:17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G56" s="9" t="s">
        <v>31</v>
      </c>
      <c r="H56" s="10">
        <v>0</v>
      </c>
      <c r="I56" s="10">
        <v>0</v>
      </c>
      <c r="J56" s="10">
        <v>0</v>
      </c>
      <c r="K56" s="10">
        <v>0</v>
      </c>
      <c r="M56" s="9" t="s">
        <v>31</v>
      </c>
      <c r="N56" s="10">
        <v>0</v>
      </c>
      <c r="O56" s="10">
        <v>0</v>
      </c>
      <c r="P56" s="10">
        <v>0</v>
      </c>
      <c r="Q56" s="10">
        <v>0</v>
      </c>
    </row>
    <row r="57" spans="1:17" x14ac:dyDescent="0.3">
      <c r="A57" s="11" t="s">
        <v>32</v>
      </c>
      <c r="B57" s="12">
        <v>58</v>
      </c>
      <c r="C57" s="12">
        <v>24</v>
      </c>
      <c r="D57" s="12">
        <v>20</v>
      </c>
      <c r="E57" s="12">
        <v>14</v>
      </c>
      <c r="G57" s="11" t="s">
        <v>32</v>
      </c>
      <c r="H57" s="12">
        <v>82</v>
      </c>
      <c r="I57" s="12">
        <v>0</v>
      </c>
      <c r="J57" s="12">
        <v>38</v>
      </c>
      <c r="K57" s="12">
        <v>44</v>
      </c>
      <c r="M57" s="11" t="s">
        <v>32</v>
      </c>
      <c r="N57" s="12">
        <v>49</v>
      </c>
      <c r="O57" s="12">
        <v>26</v>
      </c>
      <c r="P57" s="12">
        <v>13</v>
      </c>
      <c r="Q57" s="12">
        <v>10</v>
      </c>
    </row>
    <row r="58" spans="1:17" x14ac:dyDescent="0.3">
      <c r="A58" s="13" t="s">
        <v>33</v>
      </c>
      <c r="B58" s="14">
        <v>1</v>
      </c>
      <c r="C58" s="14">
        <v>0</v>
      </c>
      <c r="D58" s="14">
        <v>1</v>
      </c>
      <c r="E58" s="14">
        <v>0</v>
      </c>
      <c r="G58" s="13" t="s">
        <v>33</v>
      </c>
      <c r="H58" s="14">
        <v>0</v>
      </c>
      <c r="I58" s="14">
        <v>0</v>
      </c>
      <c r="J58" s="14">
        <v>0</v>
      </c>
      <c r="K58" s="14">
        <v>0</v>
      </c>
      <c r="M58" s="13" t="s">
        <v>33</v>
      </c>
      <c r="N58" s="14">
        <v>0</v>
      </c>
      <c r="O58" s="14">
        <v>0</v>
      </c>
      <c r="P58" s="14">
        <v>0</v>
      </c>
      <c r="Q58" s="14">
        <v>0</v>
      </c>
    </row>
    <row r="59" spans="1:17" x14ac:dyDescent="0.3">
      <c r="A59" s="13" t="s">
        <v>34</v>
      </c>
      <c r="B59" s="14">
        <v>57</v>
      </c>
      <c r="C59" s="14">
        <v>24</v>
      </c>
      <c r="D59" s="14">
        <v>19</v>
      </c>
      <c r="E59" s="14">
        <v>14</v>
      </c>
      <c r="G59" s="13" t="s">
        <v>34</v>
      </c>
      <c r="H59" s="14">
        <v>82</v>
      </c>
      <c r="I59" s="14">
        <v>0</v>
      </c>
      <c r="J59" s="14">
        <v>38</v>
      </c>
      <c r="K59" s="14">
        <v>44</v>
      </c>
      <c r="M59" s="13" t="s">
        <v>34</v>
      </c>
      <c r="N59" s="14">
        <v>49</v>
      </c>
      <c r="O59" s="14">
        <v>26</v>
      </c>
      <c r="P59" s="14">
        <v>13</v>
      </c>
      <c r="Q59" s="14">
        <v>10</v>
      </c>
    </row>
    <row r="60" spans="1:17" x14ac:dyDescent="0.3">
      <c r="A60" s="15" t="s">
        <v>35</v>
      </c>
      <c r="B60" s="16">
        <v>1</v>
      </c>
      <c r="C60" s="16">
        <v>0</v>
      </c>
      <c r="D60" s="16">
        <v>1</v>
      </c>
      <c r="E60" s="16">
        <v>0</v>
      </c>
      <c r="G60" s="15" t="s">
        <v>35</v>
      </c>
      <c r="H60" s="16">
        <v>0</v>
      </c>
      <c r="I60" s="16">
        <v>0</v>
      </c>
      <c r="J60" s="16">
        <v>0</v>
      </c>
      <c r="K60" s="16">
        <v>0</v>
      </c>
      <c r="M60" s="15" t="s">
        <v>35</v>
      </c>
      <c r="N60" s="16">
        <v>0</v>
      </c>
      <c r="O60" s="16">
        <v>0</v>
      </c>
      <c r="P60" s="16">
        <v>0</v>
      </c>
      <c r="Q60" s="16">
        <v>0</v>
      </c>
    </row>
    <row r="61" spans="1:17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G61" s="17" t="s">
        <v>36</v>
      </c>
      <c r="H61" s="78">
        <v>0</v>
      </c>
      <c r="I61" s="78">
        <v>0</v>
      </c>
      <c r="J61" s="78">
        <v>0</v>
      </c>
      <c r="K61" s="78">
        <v>0</v>
      </c>
      <c r="M61" s="17" t="s">
        <v>36</v>
      </c>
      <c r="N61" s="112">
        <v>0</v>
      </c>
      <c r="O61" s="112">
        <v>0</v>
      </c>
      <c r="P61" s="112">
        <v>0</v>
      </c>
      <c r="Q61" s="112">
        <v>0</v>
      </c>
    </row>
    <row r="62" spans="1:17" x14ac:dyDescent="0.3">
      <c r="A62" s="17" t="s">
        <v>37</v>
      </c>
      <c r="B62" s="18">
        <v>1</v>
      </c>
      <c r="C62" s="18">
        <v>0</v>
      </c>
      <c r="D62" s="18">
        <v>1</v>
      </c>
      <c r="E62" s="18">
        <v>0</v>
      </c>
      <c r="G62" s="17" t="s">
        <v>37</v>
      </c>
      <c r="H62" s="78">
        <v>0</v>
      </c>
      <c r="I62" s="78">
        <v>0</v>
      </c>
      <c r="J62" s="78">
        <v>0</v>
      </c>
      <c r="K62" s="78">
        <v>0</v>
      </c>
      <c r="M62" s="17" t="s">
        <v>37</v>
      </c>
      <c r="N62" s="112">
        <v>0</v>
      </c>
      <c r="O62" s="112">
        <v>0</v>
      </c>
      <c r="P62" s="112">
        <v>0</v>
      </c>
      <c r="Q62" s="112">
        <v>0</v>
      </c>
    </row>
    <row r="63" spans="1:17" x14ac:dyDescent="0.3">
      <c r="A63" s="17" t="s">
        <v>38</v>
      </c>
      <c r="B63" s="167" t="s">
        <v>339</v>
      </c>
      <c r="C63" s="168"/>
      <c r="D63" s="168"/>
      <c r="E63" s="168"/>
      <c r="G63" s="17" t="s">
        <v>38</v>
      </c>
      <c r="H63" s="172" t="s">
        <v>339</v>
      </c>
      <c r="I63" s="173"/>
      <c r="J63" s="173"/>
      <c r="K63" s="173"/>
      <c r="M63" s="17" t="s">
        <v>38</v>
      </c>
      <c r="N63" s="167" t="s">
        <v>339</v>
      </c>
      <c r="O63" s="168"/>
      <c r="P63" s="168"/>
      <c r="Q63" s="168"/>
    </row>
    <row r="64" spans="1:17" ht="19.8" x14ac:dyDescent="0.3">
      <c r="A64" s="170">
        <v>46092</v>
      </c>
      <c r="B64" s="168"/>
      <c r="C64" s="168"/>
      <c r="D64" s="168"/>
      <c r="E64" s="168"/>
      <c r="G64" s="171">
        <v>46116</v>
      </c>
      <c r="H64" s="171"/>
      <c r="I64" s="171"/>
      <c r="J64" s="171"/>
      <c r="K64" s="171"/>
      <c r="M64" s="170">
        <v>46148</v>
      </c>
      <c r="N64" s="168"/>
      <c r="O64" s="168"/>
      <c r="P64" s="168"/>
      <c r="Q64" s="168"/>
    </row>
    <row r="65" spans="1:17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G65" s="1" t="s">
        <v>0</v>
      </c>
      <c r="H65" s="1" t="s">
        <v>1</v>
      </c>
      <c r="I65" s="1" t="s">
        <v>642</v>
      </c>
      <c r="J65" s="1" t="s">
        <v>760</v>
      </c>
      <c r="K65" s="1" t="s">
        <v>40</v>
      </c>
      <c r="M65" s="1" t="s">
        <v>0</v>
      </c>
      <c r="N65" s="1" t="s">
        <v>1</v>
      </c>
      <c r="O65" s="1" t="s">
        <v>2</v>
      </c>
      <c r="P65" s="1" t="s">
        <v>3</v>
      </c>
      <c r="Q65" s="1" t="s">
        <v>40</v>
      </c>
    </row>
    <row r="66" spans="1:17" x14ac:dyDescent="0.3">
      <c r="A66" s="2" t="s">
        <v>5</v>
      </c>
      <c r="B66" s="3">
        <v>1372</v>
      </c>
      <c r="C66" s="3">
        <v>618</v>
      </c>
      <c r="D66" s="3">
        <v>512</v>
      </c>
      <c r="E66" s="3">
        <v>242</v>
      </c>
      <c r="G66" s="2" t="s">
        <v>5</v>
      </c>
      <c r="H66" s="3">
        <v>383</v>
      </c>
      <c r="I66" s="3">
        <v>0</v>
      </c>
      <c r="J66" s="3">
        <v>0</v>
      </c>
      <c r="K66" s="3">
        <v>383</v>
      </c>
      <c r="M66" s="2" t="s">
        <v>5</v>
      </c>
      <c r="N66" s="3">
        <v>3852</v>
      </c>
      <c r="O66" s="3">
        <v>1567</v>
      </c>
      <c r="P66" s="3">
        <v>1311</v>
      </c>
      <c r="Q66" s="3">
        <v>974</v>
      </c>
    </row>
    <row r="67" spans="1:17" x14ac:dyDescent="0.3">
      <c r="A67" s="2" t="s">
        <v>6</v>
      </c>
      <c r="B67" s="3">
        <v>87</v>
      </c>
      <c r="C67" s="4">
        <v>21</v>
      </c>
      <c r="D67" s="5">
        <v>42</v>
      </c>
      <c r="E67" s="6">
        <v>24</v>
      </c>
      <c r="G67" s="2" t="s">
        <v>6</v>
      </c>
      <c r="H67" s="3">
        <v>35</v>
      </c>
      <c r="I67" s="3">
        <v>0</v>
      </c>
      <c r="J67" s="3">
        <v>0</v>
      </c>
      <c r="K67" s="5">
        <v>35</v>
      </c>
      <c r="M67" s="2" t="s">
        <v>6</v>
      </c>
      <c r="N67" s="3">
        <v>475</v>
      </c>
      <c r="O67" s="5">
        <v>225</v>
      </c>
      <c r="P67" s="4">
        <v>102</v>
      </c>
      <c r="Q67" s="6">
        <v>148</v>
      </c>
    </row>
    <row r="68" spans="1:17" x14ac:dyDescent="0.3">
      <c r="A68" s="2" t="s">
        <v>7</v>
      </c>
      <c r="B68" s="3" t="s">
        <v>454</v>
      </c>
      <c r="C68" s="4" t="s">
        <v>456</v>
      </c>
      <c r="D68" s="6" t="s">
        <v>455</v>
      </c>
      <c r="E68" s="5" t="s">
        <v>457</v>
      </c>
      <c r="G68" s="2" t="s">
        <v>7</v>
      </c>
      <c r="H68" s="3" t="s">
        <v>1269</v>
      </c>
      <c r="I68" s="3">
        <v>0</v>
      </c>
      <c r="J68" s="3">
        <v>0</v>
      </c>
      <c r="K68" s="5" t="s">
        <v>1269</v>
      </c>
      <c r="M68" s="2" t="s">
        <v>7</v>
      </c>
      <c r="N68" s="3" t="s">
        <v>1000</v>
      </c>
      <c r="O68" s="6" t="s">
        <v>841</v>
      </c>
      <c r="P68" s="4" t="s">
        <v>1813</v>
      </c>
      <c r="Q68" s="5" t="s">
        <v>1814</v>
      </c>
    </row>
    <row r="69" spans="1:17" x14ac:dyDescent="0.3">
      <c r="A69" s="2" t="s">
        <v>12</v>
      </c>
      <c r="B69" s="3" t="s">
        <v>273</v>
      </c>
      <c r="C69" s="4" t="s">
        <v>76</v>
      </c>
      <c r="D69" s="5" t="s">
        <v>458</v>
      </c>
      <c r="E69" s="6" t="s">
        <v>459</v>
      </c>
      <c r="G69" s="2" t="s">
        <v>12</v>
      </c>
      <c r="H69" s="3" t="s">
        <v>25</v>
      </c>
      <c r="I69" s="3">
        <v>0</v>
      </c>
      <c r="J69" s="3">
        <v>0</v>
      </c>
      <c r="K69" s="3" t="s">
        <v>25</v>
      </c>
      <c r="M69" s="2" t="s">
        <v>12</v>
      </c>
      <c r="N69" s="3" t="s">
        <v>701</v>
      </c>
      <c r="O69" s="6" t="s">
        <v>1815</v>
      </c>
      <c r="P69" s="4" t="s">
        <v>177</v>
      </c>
      <c r="Q69" s="5" t="s">
        <v>1816</v>
      </c>
    </row>
    <row r="70" spans="1:17" x14ac:dyDescent="0.3">
      <c r="A70" s="2" t="s">
        <v>17</v>
      </c>
      <c r="B70" s="48">
        <f>B68-B69</f>
        <v>2.4799999999999996E-2</v>
      </c>
      <c r="C70" s="50">
        <f>C68-C69</f>
        <v>2.9100000000000001E-2</v>
      </c>
      <c r="D70" s="4" t="s">
        <v>358</v>
      </c>
      <c r="E70" s="6" t="s">
        <v>460</v>
      </c>
      <c r="G70" s="2" t="s">
        <v>17</v>
      </c>
      <c r="H70" s="3" t="s">
        <v>1186</v>
      </c>
      <c r="I70" s="3" t="s">
        <v>25</v>
      </c>
      <c r="J70" s="3" t="s">
        <v>25</v>
      </c>
      <c r="K70" s="5" t="s">
        <v>1186</v>
      </c>
      <c r="M70" s="2" t="s">
        <v>17</v>
      </c>
      <c r="N70" s="3" t="s">
        <v>233</v>
      </c>
      <c r="O70" s="4" t="s">
        <v>42</v>
      </c>
      <c r="P70" s="6" t="s">
        <v>717</v>
      </c>
      <c r="Q70" s="5" t="s">
        <v>1283</v>
      </c>
    </row>
    <row r="71" spans="1:17" x14ac:dyDescent="0.3">
      <c r="A71" s="2" t="s">
        <v>22</v>
      </c>
      <c r="B71" s="3" t="s">
        <v>138</v>
      </c>
      <c r="C71" s="3" t="s">
        <v>25</v>
      </c>
      <c r="D71" s="5" t="s">
        <v>99</v>
      </c>
      <c r="E71" s="3" t="s">
        <v>25</v>
      </c>
      <c r="G71" s="2" t="s">
        <v>22</v>
      </c>
      <c r="H71" s="3" t="s">
        <v>25</v>
      </c>
      <c r="I71" s="3" t="s">
        <v>25</v>
      </c>
      <c r="J71" s="3" t="s">
        <v>25</v>
      </c>
      <c r="K71" s="3" t="s">
        <v>25</v>
      </c>
      <c r="M71" s="2" t="s">
        <v>22</v>
      </c>
      <c r="N71" s="3" t="s">
        <v>154</v>
      </c>
      <c r="O71" s="4" t="s">
        <v>268</v>
      </c>
      <c r="P71" s="5" t="s">
        <v>74</v>
      </c>
      <c r="Q71" s="6" t="s">
        <v>81</v>
      </c>
    </row>
    <row r="72" spans="1:17" x14ac:dyDescent="0.3">
      <c r="A72" s="7" t="s">
        <v>26</v>
      </c>
      <c r="B72" s="8">
        <v>53</v>
      </c>
      <c r="C72" s="8">
        <v>3</v>
      </c>
      <c r="D72" s="8">
        <v>35</v>
      </c>
      <c r="E72" s="8">
        <v>15</v>
      </c>
      <c r="G72" s="7" t="s">
        <v>26</v>
      </c>
      <c r="H72" s="8">
        <v>0</v>
      </c>
      <c r="I72" s="8">
        <v>0</v>
      </c>
      <c r="J72" s="8">
        <v>0</v>
      </c>
      <c r="K72" s="8">
        <v>0</v>
      </c>
      <c r="M72" s="7" t="s">
        <v>26</v>
      </c>
      <c r="N72" s="8">
        <v>444</v>
      </c>
      <c r="O72" s="8">
        <v>215</v>
      </c>
      <c r="P72" s="8">
        <v>91</v>
      </c>
      <c r="Q72" s="8">
        <v>138</v>
      </c>
    </row>
    <row r="73" spans="1:17" x14ac:dyDescent="0.3">
      <c r="A73" s="9" t="s">
        <v>27</v>
      </c>
      <c r="B73" s="10">
        <v>18</v>
      </c>
      <c r="C73" s="10">
        <v>0</v>
      </c>
      <c r="D73" s="10">
        <v>17</v>
      </c>
      <c r="E73" s="10">
        <v>1</v>
      </c>
      <c r="G73" s="9" t="s">
        <v>27</v>
      </c>
      <c r="H73" s="10">
        <v>0</v>
      </c>
      <c r="I73" s="10">
        <v>0</v>
      </c>
      <c r="J73" s="10">
        <v>0</v>
      </c>
      <c r="K73" s="10">
        <v>0</v>
      </c>
      <c r="M73" s="9" t="s">
        <v>27</v>
      </c>
      <c r="N73" s="10">
        <v>286</v>
      </c>
      <c r="O73" s="10">
        <v>133</v>
      </c>
      <c r="P73" s="10">
        <v>72</v>
      </c>
      <c r="Q73" s="10">
        <v>81</v>
      </c>
    </row>
    <row r="74" spans="1:17" x14ac:dyDescent="0.3">
      <c r="A74" s="9" t="s">
        <v>28</v>
      </c>
      <c r="B74" s="10">
        <v>1</v>
      </c>
      <c r="C74" s="10">
        <v>0</v>
      </c>
      <c r="D74" s="10">
        <v>0</v>
      </c>
      <c r="E74" s="10">
        <v>1</v>
      </c>
      <c r="G74" s="9" t="s">
        <v>28</v>
      </c>
      <c r="H74" s="10">
        <v>0</v>
      </c>
      <c r="I74" s="10">
        <v>0</v>
      </c>
      <c r="J74" s="10">
        <v>0</v>
      </c>
      <c r="K74" s="10">
        <v>0</v>
      </c>
      <c r="M74" s="9" t="s">
        <v>28</v>
      </c>
      <c r="N74" s="10">
        <v>13</v>
      </c>
      <c r="O74" s="10">
        <v>2</v>
      </c>
      <c r="P74" s="10">
        <v>1</v>
      </c>
      <c r="Q74" s="10">
        <v>10</v>
      </c>
    </row>
    <row r="75" spans="1:17" x14ac:dyDescent="0.3">
      <c r="A75" s="9" t="s">
        <v>29</v>
      </c>
      <c r="B75" s="10">
        <v>6</v>
      </c>
      <c r="C75" s="10">
        <v>1</v>
      </c>
      <c r="D75" s="10">
        <v>0</v>
      </c>
      <c r="E75" s="10">
        <v>5</v>
      </c>
      <c r="G75" s="9" t="s">
        <v>29</v>
      </c>
      <c r="H75" s="10">
        <v>0</v>
      </c>
      <c r="I75" s="10">
        <v>0</v>
      </c>
      <c r="J75" s="10">
        <v>0</v>
      </c>
      <c r="K75" s="10">
        <v>0</v>
      </c>
      <c r="M75" s="9" t="s">
        <v>29</v>
      </c>
      <c r="N75" s="10">
        <v>26</v>
      </c>
      <c r="O75" s="10">
        <v>26</v>
      </c>
      <c r="P75" s="10">
        <v>0</v>
      </c>
      <c r="Q75" s="10">
        <v>0</v>
      </c>
    </row>
    <row r="76" spans="1:17" x14ac:dyDescent="0.3">
      <c r="A76" s="9" t="s">
        <v>30</v>
      </c>
      <c r="B76" s="10">
        <v>28</v>
      </c>
      <c r="C76" s="10">
        <v>2</v>
      </c>
      <c r="D76" s="10">
        <v>18</v>
      </c>
      <c r="E76" s="10">
        <v>8</v>
      </c>
      <c r="G76" s="9" t="s">
        <v>30</v>
      </c>
      <c r="H76" s="10">
        <v>0</v>
      </c>
      <c r="I76" s="10">
        <v>0</v>
      </c>
      <c r="J76" s="10">
        <v>0</v>
      </c>
      <c r="K76" s="10">
        <v>0</v>
      </c>
      <c r="M76" s="9" t="s">
        <v>30</v>
      </c>
      <c r="N76" s="10">
        <v>119</v>
      </c>
      <c r="O76" s="10">
        <v>54</v>
      </c>
      <c r="P76" s="10">
        <v>18</v>
      </c>
      <c r="Q76" s="10">
        <v>47</v>
      </c>
    </row>
    <row r="77" spans="1:17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G77" s="9" t="s">
        <v>31</v>
      </c>
      <c r="H77" s="10">
        <v>0</v>
      </c>
      <c r="I77" s="10">
        <v>0</v>
      </c>
      <c r="J77" s="10">
        <v>0</v>
      </c>
      <c r="K77" s="10">
        <v>0</v>
      </c>
      <c r="M77" s="9" t="s">
        <v>31</v>
      </c>
      <c r="N77" s="10">
        <v>0</v>
      </c>
      <c r="O77" s="10">
        <v>0</v>
      </c>
      <c r="P77" s="10">
        <v>0</v>
      </c>
      <c r="Q77" s="10">
        <v>0</v>
      </c>
    </row>
    <row r="78" spans="1:17" x14ac:dyDescent="0.3">
      <c r="A78" s="11" t="s">
        <v>32</v>
      </c>
      <c r="B78" s="12">
        <v>39</v>
      </c>
      <c r="C78" s="12">
        <v>14</v>
      </c>
      <c r="D78" s="12">
        <v>16</v>
      </c>
      <c r="E78" s="12">
        <v>9</v>
      </c>
      <c r="G78" s="11" t="s">
        <v>32</v>
      </c>
      <c r="H78" s="12">
        <v>34</v>
      </c>
      <c r="I78" s="12">
        <v>0</v>
      </c>
      <c r="J78" s="12">
        <v>0</v>
      </c>
      <c r="K78" s="12">
        <v>34</v>
      </c>
      <c r="M78" s="11" t="s">
        <v>32</v>
      </c>
      <c r="N78" s="12">
        <v>31</v>
      </c>
      <c r="O78" s="12">
        <v>10</v>
      </c>
      <c r="P78" s="12">
        <v>11</v>
      </c>
      <c r="Q78" s="12">
        <v>10</v>
      </c>
    </row>
    <row r="79" spans="1:17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G79" s="13" t="s">
        <v>33</v>
      </c>
      <c r="H79" s="14">
        <v>0</v>
      </c>
      <c r="I79" s="14">
        <v>0</v>
      </c>
      <c r="J79" s="14">
        <v>0</v>
      </c>
      <c r="K79" s="14">
        <v>0</v>
      </c>
      <c r="M79" s="13" t="s">
        <v>33</v>
      </c>
      <c r="N79" s="14">
        <v>3</v>
      </c>
      <c r="O79" s="14">
        <v>1</v>
      </c>
      <c r="P79" s="14">
        <v>2</v>
      </c>
      <c r="Q79" s="14">
        <v>0</v>
      </c>
    </row>
    <row r="80" spans="1:17" x14ac:dyDescent="0.3">
      <c r="A80" s="13" t="s">
        <v>34</v>
      </c>
      <c r="B80" s="14">
        <v>39</v>
      </c>
      <c r="C80" s="14">
        <v>14</v>
      </c>
      <c r="D80" s="14">
        <v>16</v>
      </c>
      <c r="E80" s="14">
        <v>9</v>
      </c>
      <c r="G80" s="13" t="s">
        <v>34</v>
      </c>
      <c r="H80" s="14">
        <v>34</v>
      </c>
      <c r="I80" s="14">
        <v>0</v>
      </c>
      <c r="J80" s="14">
        <v>0</v>
      </c>
      <c r="K80" s="14">
        <v>34</v>
      </c>
      <c r="M80" s="13" t="s">
        <v>34</v>
      </c>
      <c r="N80" s="14">
        <v>28</v>
      </c>
      <c r="O80" s="14">
        <v>9</v>
      </c>
      <c r="P80" s="14">
        <v>9</v>
      </c>
      <c r="Q80" s="14">
        <v>10</v>
      </c>
    </row>
    <row r="81" spans="1:17" x14ac:dyDescent="0.3">
      <c r="A81" s="15" t="s">
        <v>35</v>
      </c>
      <c r="B81" s="16">
        <v>1</v>
      </c>
      <c r="C81" s="16">
        <v>0</v>
      </c>
      <c r="D81" s="16">
        <v>1</v>
      </c>
      <c r="E81" s="16">
        <v>0</v>
      </c>
      <c r="G81" s="15" t="s">
        <v>35</v>
      </c>
      <c r="H81" s="16">
        <v>0</v>
      </c>
      <c r="I81" s="16">
        <v>0</v>
      </c>
      <c r="J81" s="16">
        <v>0</v>
      </c>
      <c r="K81" s="16">
        <v>0</v>
      </c>
      <c r="M81" s="15" t="s">
        <v>35</v>
      </c>
      <c r="N81" s="16">
        <v>6</v>
      </c>
      <c r="O81" s="16">
        <v>1</v>
      </c>
      <c r="P81" s="16">
        <v>4</v>
      </c>
      <c r="Q81" s="16">
        <v>1</v>
      </c>
    </row>
    <row r="82" spans="1:17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G82" s="17" t="s">
        <v>36</v>
      </c>
      <c r="H82" s="78">
        <v>0</v>
      </c>
      <c r="I82" s="78">
        <v>0</v>
      </c>
      <c r="J82" s="78">
        <v>0</v>
      </c>
      <c r="K82" s="78">
        <v>0</v>
      </c>
      <c r="M82" s="17" t="s">
        <v>36</v>
      </c>
      <c r="N82" s="112">
        <v>3</v>
      </c>
      <c r="O82" s="112">
        <v>1</v>
      </c>
      <c r="P82" s="112">
        <v>1</v>
      </c>
      <c r="Q82" s="112">
        <v>1</v>
      </c>
    </row>
    <row r="83" spans="1:17" x14ac:dyDescent="0.3">
      <c r="A83" s="17" t="s">
        <v>37</v>
      </c>
      <c r="B83" s="18">
        <v>1</v>
      </c>
      <c r="C83" s="18">
        <v>0</v>
      </c>
      <c r="D83" s="18">
        <v>1</v>
      </c>
      <c r="E83" s="18">
        <v>0</v>
      </c>
      <c r="G83" s="17" t="s">
        <v>37</v>
      </c>
      <c r="H83" s="78">
        <v>0</v>
      </c>
      <c r="I83" s="78">
        <v>0</v>
      </c>
      <c r="J83" s="78">
        <v>0</v>
      </c>
      <c r="K83" s="78">
        <v>0</v>
      </c>
      <c r="M83" s="17" t="s">
        <v>37</v>
      </c>
      <c r="N83" s="112">
        <v>6</v>
      </c>
      <c r="O83" s="112">
        <v>1</v>
      </c>
      <c r="P83" s="112">
        <v>4</v>
      </c>
      <c r="Q83" s="112">
        <v>1</v>
      </c>
    </row>
    <row r="84" spans="1:17" x14ac:dyDescent="0.3">
      <c r="A84" s="17" t="s">
        <v>38</v>
      </c>
      <c r="B84" s="167" t="s">
        <v>339</v>
      </c>
      <c r="C84" s="168"/>
      <c r="D84" s="168"/>
      <c r="E84" s="168"/>
      <c r="G84" s="17" t="s">
        <v>38</v>
      </c>
      <c r="H84" s="172" t="s">
        <v>339</v>
      </c>
      <c r="I84" s="173"/>
      <c r="J84" s="173"/>
      <c r="K84" s="173"/>
      <c r="M84" s="17" t="s">
        <v>38</v>
      </c>
      <c r="N84" s="167" t="s">
        <v>339</v>
      </c>
      <c r="O84" s="168"/>
      <c r="P84" s="168"/>
      <c r="Q84" s="168"/>
    </row>
    <row r="85" spans="1:17" ht="19.8" x14ac:dyDescent="0.3">
      <c r="A85" s="170">
        <v>46093</v>
      </c>
      <c r="B85" s="168"/>
      <c r="C85" s="168"/>
      <c r="D85" s="168"/>
      <c r="E85" s="168"/>
      <c r="G85" s="170">
        <v>46118</v>
      </c>
      <c r="H85" s="168"/>
      <c r="I85" s="168"/>
      <c r="J85" s="168"/>
      <c r="K85" s="168"/>
      <c r="M85" s="170">
        <v>46149</v>
      </c>
      <c r="N85" s="168"/>
      <c r="O85" s="168"/>
      <c r="P85" s="168"/>
      <c r="Q85" s="168"/>
    </row>
    <row r="86" spans="1:17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G86" s="1" t="s">
        <v>0</v>
      </c>
      <c r="H86" s="1" t="s">
        <v>1</v>
      </c>
      <c r="I86" s="1" t="s">
        <v>2</v>
      </c>
      <c r="J86" s="1" t="s">
        <v>3</v>
      </c>
      <c r="K86" s="1" t="s">
        <v>40</v>
      </c>
      <c r="M86" s="1" t="s">
        <v>0</v>
      </c>
      <c r="N86" s="1" t="s">
        <v>1</v>
      </c>
      <c r="O86" s="1" t="s">
        <v>2</v>
      </c>
      <c r="P86" s="1" t="s">
        <v>3</v>
      </c>
      <c r="Q86" s="1" t="s">
        <v>40</v>
      </c>
    </row>
    <row r="87" spans="1:17" x14ac:dyDescent="0.3">
      <c r="A87" s="2" t="s">
        <v>5</v>
      </c>
      <c r="B87" s="3">
        <v>1258</v>
      </c>
      <c r="C87" s="3">
        <v>593</v>
      </c>
      <c r="D87" s="3">
        <v>517</v>
      </c>
      <c r="E87" s="3">
        <v>148</v>
      </c>
      <c r="G87" s="2" t="s">
        <v>5</v>
      </c>
      <c r="H87" s="3">
        <v>1478</v>
      </c>
      <c r="I87" s="3">
        <v>601</v>
      </c>
      <c r="J87" s="3">
        <v>491</v>
      </c>
      <c r="K87" s="3">
        <v>386</v>
      </c>
      <c r="M87" s="2" t="s">
        <v>5</v>
      </c>
      <c r="N87" s="3">
        <v>3507</v>
      </c>
      <c r="O87" s="3">
        <v>1405</v>
      </c>
      <c r="P87" s="3">
        <v>1201</v>
      </c>
      <c r="Q87" s="3">
        <v>901</v>
      </c>
    </row>
    <row r="88" spans="1:17" x14ac:dyDescent="0.3">
      <c r="A88" s="2" t="s">
        <v>6</v>
      </c>
      <c r="B88" s="3">
        <v>110</v>
      </c>
      <c r="C88" s="4">
        <v>23</v>
      </c>
      <c r="D88" s="5">
        <v>60</v>
      </c>
      <c r="E88" s="6">
        <v>27</v>
      </c>
      <c r="G88" s="2" t="s">
        <v>6</v>
      </c>
      <c r="H88" s="3">
        <v>257</v>
      </c>
      <c r="I88" s="5">
        <v>127</v>
      </c>
      <c r="J88" s="6">
        <v>103</v>
      </c>
      <c r="K88" s="4">
        <v>27</v>
      </c>
      <c r="M88" s="2" t="s">
        <v>6</v>
      </c>
      <c r="N88" s="3">
        <v>516</v>
      </c>
      <c r="O88" s="5">
        <v>232</v>
      </c>
      <c r="P88" s="4">
        <v>133</v>
      </c>
      <c r="Q88" s="6">
        <v>151</v>
      </c>
    </row>
    <row r="89" spans="1:17" x14ac:dyDescent="0.3">
      <c r="A89" s="2" t="s">
        <v>7</v>
      </c>
      <c r="B89" s="3" t="s">
        <v>494</v>
      </c>
      <c r="C89" s="4" t="s">
        <v>495</v>
      </c>
      <c r="D89" s="6" t="s">
        <v>496</v>
      </c>
      <c r="E89" s="5" t="s">
        <v>497</v>
      </c>
      <c r="G89" s="2" t="s">
        <v>7</v>
      </c>
      <c r="H89" s="3" t="s">
        <v>524</v>
      </c>
      <c r="I89" s="5" t="s">
        <v>1292</v>
      </c>
      <c r="J89" s="6" t="s">
        <v>1293</v>
      </c>
      <c r="K89" s="4" t="s">
        <v>959</v>
      </c>
      <c r="M89" s="2" t="s">
        <v>7</v>
      </c>
      <c r="N89" s="3" t="s">
        <v>1825</v>
      </c>
      <c r="O89" s="6" t="s">
        <v>1065</v>
      </c>
      <c r="P89" s="4" t="s">
        <v>1826</v>
      </c>
      <c r="Q89" s="5" t="s">
        <v>1827</v>
      </c>
    </row>
    <row r="90" spans="1:17" x14ac:dyDescent="0.3">
      <c r="A90" s="2" t="s">
        <v>12</v>
      </c>
      <c r="B90" s="3" t="s">
        <v>498</v>
      </c>
      <c r="C90" s="4" t="s">
        <v>499</v>
      </c>
      <c r="D90" s="6" t="s">
        <v>500</v>
      </c>
      <c r="E90" s="5" t="s">
        <v>501</v>
      </c>
      <c r="G90" s="2" t="s">
        <v>12</v>
      </c>
      <c r="H90" s="3" t="s">
        <v>1294</v>
      </c>
      <c r="I90" s="5" t="s">
        <v>857</v>
      </c>
      <c r="J90" s="6" t="s">
        <v>1295</v>
      </c>
      <c r="K90" s="3" t="s">
        <v>25</v>
      </c>
      <c r="M90" s="2" t="s">
        <v>12</v>
      </c>
      <c r="N90" s="3" t="s">
        <v>1114</v>
      </c>
      <c r="O90" s="6" t="s">
        <v>1828</v>
      </c>
      <c r="P90" s="4" t="s">
        <v>1623</v>
      </c>
      <c r="Q90" s="5" t="s">
        <v>1829</v>
      </c>
    </row>
    <row r="91" spans="1:17" x14ac:dyDescent="0.3">
      <c r="A91" s="2" t="s">
        <v>17</v>
      </c>
      <c r="B91" s="48">
        <f>B89-B90</f>
        <v>2.3800000000000002E-2</v>
      </c>
      <c r="C91" s="50">
        <f>C89-C90</f>
        <v>2.7000000000000003E-2</v>
      </c>
      <c r="D91" s="6" t="s">
        <v>502</v>
      </c>
      <c r="E91" s="4" t="s">
        <v>69</v>
      </c>
      <c r="G91" s="2" t="s">
        <v>17</v>
      </c>
      <c r="H91" s="3" t="s">
        <v>303</v>
      </c>
      <c r="I91" s="4" t="s">
        <v>644</v>
      </c>
      <c r="J91" s="6" t="s">
        <v>1172</v>
      </c>
      <c r="K91" s="5" t="s">
        <v>959</v>
      </c>
      <c r="M91" s="2" t="s">
        <v>17</v>
      </c>
      <c r="N91" s="3" t="s">
        <v>803</v>
      </c>
      <c r="O91" s="6" t="s">
        <v>1333</v>
      </c>
      <c r="P91" s="5" t="s">
        <v>292</v>
      </c>
      <c r="Q91" s="4" t="s">
        <v>472</v>
      </c>
    </row>
    <row r="92" spans="1:17" x14ac:dyDescent="0.3">
      <c r="A92" s="2" t="s">
        <v>22</v>
      </c>
      <c r="B92" s="3" t="s">
        <v>154</v>
      </c>
      <c r="C92" s="6" t="s">
        <v>108</v>
      </c>
      <c r="D92" s="5" t="s">
        <v>136</v>
      </c>
      <c r="E92" s="3" t="s">
        <v>25</v>
      </c>
      <c r="G92" s="2" t="s">
        <v>22</v>
      </c>
      <c r="H92" s="3" t="s">
        <v>25</v>
      </c>
      <c r="I92" s="3" t="s">
        <v>25</v>
      </c>
      <c r="J92" s="3" t="s">
        <v>25</v>
      </c>
      <c r="K92" s="3" t="s">
        <v>25</v>
      </c>
      <c r="M92" s="2" t="s">
        <v>22</v>
      </c>
      <c r="N92" s="3" t="s">
        <v>49</v>
      </c>
      <c r="O92" s="4" t="s">
        <v>138</v>
      </c>
      <c r="P92" s="6" t="s">
        <v>309</v>
      </c>
      <c r="Q92" s="5" t="s">
        <v>122</v>
      </c>
    </row>
    <row r="93" spans="1:17" x14ac:dyDescent="0.3">
      <c r="A93" s="7" t="s">
        <v>26</v>
      </c>
      <c r="B93" s="8">
        <v>80</v>
      </c>
      <c r="C93" s="8">
        <v>7</v>
      </c>
      <c r="D93" s="8">
        <v>51</v>
      </c>
      <c r="E93" s="8">
        <v>22</v>
      </c>
      <c r="G93" s="7" t="s">
        <v>26</v>
      </c>
      <c r="H93" s="8">
        <v>168</v>
      </c>
      <c r="I93" s="8">
        <v>94</v>
      </c>
      <c r="J93" s="8">
        <v>74</v>
      </c>
      <c r="K93" s="8">
        <v>0</v>
      </c>
      <c r="M93" s="7" t="s">
        <v>26</v>
      </c>
      <c r="N93" s="8">
        <v>445</v>
      </c>
      <c r="O93" s="8">
        <v>202</v>
      </c>
      <c r="P93" s="8">
        <v>107</v>
      </c>
      <c r="Q93" s="8">
        <v>136</v>
      </c>
    </row>
    <row r="94" spans="1:17" x14ac:dyDescent="0.3">
      <c r="A94" s="9" t="s">
        <v>27</v>
      </c>
      <c r="B94" s="10">
        <v>27</v>
      </c>
      <c r="C94" s="10">
        <v>0</v>
      </c>
      <c r="D94" s="10">
        <v>25</v>
      </c>
      <c r="E94" s="10">
        <v>2</v>
      </c>
      <c r="G94" s="9" t="s">
        <v>27</v>
      </c>
      <c r="H94" s="10">
        <v>125</v>
      </c>
      <c r="I94" s="10">
        <v>65</v>
      </c>
      <c r="J94" s="10">
        <v>60</v>
      </c>
      <c r="K94" s="10">
        <v>0</v>
      </c>
      <c r="M94" s="9" t="s">
        <v>27</v>
      </c>
      <c r="N94" s="10">
        <v>259</v>
      </c>
      <c r="O94" s="10">
        <v>106</v>
      </c>
      <c r="P94" s="10">
        <v>86</v>
      </c>
      <c r="Q94" s="10">
        <v>67</v>
      </c>
    </row>
    <row r="95" spans="1:17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G95" s="9" t="s">
        <v>28</v>
      </c>
      <c r="H95" s="10">
        <v>2</v>
      </c>
      <c r="I95" s="10">
        <v>0</v>
      </c>
      <c r="J95" s="10">
        <v>2</v>
      </c>
      <c r="K95" s="10">
        <v>0</v>
      </c>
      <c r="M95" s="9" t="s">
        <v>28</v>
      </c>
      <c r="N95" s="10">
        <v>14</v>
      </c>
      <c r="O95" s="10">
        <v>1</v>
      </c>
      <c r="P95" s="10">
        <v>1</v>
      </c>
      <c r="Q95" s="10">
        <v>12</v>
      </c>
    </row>
    <row r="96" spans="1:17" x14ac:dyDescent="0.3">
      <c r="A96" s="9" t="s">
        <v>29</v>
      </c>
      <c r="B96" s="10">
        <v>6</v>
      </c>
      <c r="C96" s="10">
        <v>3</v>
      </c>
      <c r="D96" s="10">
        <v>0</v>
      </c>
      <c r="E96" s="10">
        <v>3</v>
      </c>
      <c r="G96" s="9" t="s">
        <v>29</v>
      </c>
      <c r="H96" s="10">
        <v>7</v>
      </c>
      <c r="I96" s="10">
        <v>7</v>
      </c>
      <c r="J96" s="10">
        <v>0</v>
      </c>
      <c r="K96" s="10">
        <v>0</v>
      </c>
      <c r="M96" s="9" t="s">
        <v>29</v>
      </c>
      <c r="N96" s="10">
        <v>27</v>
      </c>
      <c r="O96" s="10">
        <v>27</v>
      </c>
      <c r="P96" s="10">
        <v>0</v>
      </c>
      <c r="Q96" s="10">
        <v>0</v>
      </c>
    </row>
    <row r="97" spans="1:17" x14ac:dyDescent="0.3">
      <c r="A97" s="9" t="s">
        <v>30</v>
      </c>
      <c r="B97" s="10">
        <v>47</v>
      </c>
      <c r="C97" s="10">
        <v>4</v>
      </c>
      <c r="D97" s="10">
        <v>26</v>
      </c>
      <c r="E97" s="10">
        <v>17</v>
      </c>
      <c r="G97" s="9" t="s">
        <v>30</v>
      </c>
      <c r="H97" s="10">
        <v>34</v>
      </c>
      <c r="I97" s="10">
        <v>22</v>
      </c>
      <c r="J97" s="10">
        <v>12</v>
      </c>
      <c r="K97" s="10">
        <v>0</v>
      </c>
      <c r="M97" s="9" t="s">
        <v>30</v>
      </c>
      <c r="N97" s="10">
        <v>145</v>
      </c>
      <c r="O97" s="10">
        <v>68</v>
      </c>
      <c r="P97" s="10">
        <v>20</v>
      </c>
      <c r="Q97" s="10">
        <v>57</v>
      </c>
    </row>
    <row r="98" spans="1:17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G98" s="9" t="s">
        <v>31</v>
      </c>
      <c r="H98" s="10">
        <v>0</v>
      </c>
      <c r="I98" s="10">
        <v>0</v>
      </c>
      <c r="J98" s="10">
        <v>0</v>
      </c>
      <c r="K98" s="10">
        <v>0</v>
      </c>
      <c r="M98" s="9" t="s">
        <v>31</v>
      </c>
      <c r="N98" s="10">
        <v>0</v>
      </c>
      <c r="O98" s="10">
        <v>0</v>
      </c>
      <c r="P98" s="10">
        <v>0</v>
      </c>
      <c r="Q98" s="10">
        <v>0</v>
      </c>
    </row>
    <row r="99" spans="1:17" x14ac:dyDescent="0.3">
      <c r="A99" s="11" t="s">
        <v>32</v>
      </c>
      <c r="B99" s="12">
        <v>37</v>
      </c>
      <c r="C99" s="12">
        <v>13</v>
      </c>
      <c r="D99" s="12">
        <v>19</v>
      </c>
      <c r="E99" s="12">
        <v>5</v>
      </c>
      <c r="G99" s="11" t="s">
        <v>32</v>
      </c>
      <c r="H99" s="12">
        <v>89</v>
      </c>
      <c r="I99" s="12">
        <v>33</v>
      </c>
      <c r="J99" s="12">
        <v>29</v>
      </c>
      <c r="K99" s="12">
        <v>27</v>
      </c>
      <c r="M99" s="11" t="s">
        <v>32</v>
      </c>
      <c r="N99" s="12">
        <v>71</v>
      </c>
      <c r="O99" s="12">
        <v>30</v>
      </c>
      <c r="P99" s="12">
        <v>26</v>
      </c>
      <c r="Q99" s="12">
        <v>15</v>
      </c>
    </row>
    <row r="100" spans="1:17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G100" s="13" t="s">
        <v>33</v>
      </c>
      <c r="H100" s="14">
        <v>0</v>
      </c>
      <c r="I100" s="14">
        <v>0</v>
      </c>
      <c r="J100" s="14">
        <v>0</v>
      </c>
      <c r="K100" s="14">
        <v>0</v>
      </c>
      <c r="M100" s="13" t="s">
        <v>33</v>
      </c>
      <c r="N100" s="14">
        <v>0</v>
      </c>
      <c r="O100" s="14">
        <v>0</v>
      </c>
      <c r="P100" s="14">
        <v>0</v>
      </c>
      <c r="Q100" s="14">
        <v>0</v>
      </c>
    </row>
    <row r="101" spans="1:17" x14ac:dyDescent="0.3">
      <c r="A101" s="13" t="s">
        <v>34</v>
      </c>
      <c r="B101" s="14">
        <v>37</v>
      </c>
      <c r="C101" s="14">
        <v>13</v>
      </c>
      <c r="D101" s="14">
        <v>19</v>
      </c>
      <c r="E101" s="14">
        <v>5</v>
      </c>
      <c r="G101" s="13" t="s">
        <v>34</v>
      </c>
      <c r="H101" s="14">
        <v>89</v>
      </c>
      <c r="I101" s="14">
        <v>33</v>
      </c>
      <c r="J101" s="14">
        <v>29</v>
      </c>
      <c r="K101" s="14">
        <v>27</v>
      </c>
      <c r="M101" s="13" t="s">
        <v>34</v>
      </c>
      <c r="N101" s="14">
        <v>71</v>
      </c>
      <c r="O101" s="14">
        <v>30</v>
      </c>
      <c r="P101" s="14">
        <v>26</v>
      </c>
      <c r="Q101" s="14">
        <v>15</v>
      </c>
    </row>
    <row r="102" spans="1:17" x14ac:dyDescent="0.3">
      <c r="A102" s="15" t="s">
        <v>35</v>
      </c>
      <c r="B102" s="16">
        <v>2</v>
      </c>
      <c r="C102" s="16">
        <v>1</v>
      </c>
      <c r="D102" s="16">
        <v>1</v>
      </c>
      <c r="E102" s="16">
        <v>0</v>
      </c>
      <c r="G102" s="15" t="s">
        <v>35</v>
      </c>
      <c r="H102" s="16">
        <v>0</v>
      </c>
      <c r="I102" s="16">
        <v>0</v>
      </c>
      <c r="J102" s="16">
        <v>0</v>
      </c>
      <c r="K102" s="16">
        <v>0</v>
      </c>
      <c r="M102" s="15" t="s">
        <v>35</v>
      </c>
      <c r="N102" s="16">
        <v>4</v>
      </c>
      <c r="O102" s="16">
        <v>1</v>
      </c>
      <c r="P102" s="16">
        <v>1</v>
      </c>
      <c r="Q102" s="16">
        <v>2</v>
      </c>
    </row>
    <row r="103" spans="1:17" x14ac:dyDescent="0.3">
      <c r="A103" s="17" t="s">
        <v>36</v>
      </c>
      <c r="B103" s="18">
        <v>1</v>
      </c>
      <c r="C103" s="18">
        <v>1</v>
      </c>
      <c r="D103" s="18">
        <v>0</v>
      </c>
      <c r="E103" s="18">
        <v>0</v>
      </c>
      <c r="G103" s="17" t="s">
        <v>36</v>
      </c>
      <c r="H103" s="78">
        <v>0</v>
      </c>
      <c r="I103" s="78">
        <v>0</v>
      </c>
      <c r="J103" s="78">
        <v>0</v>
      </c>
      <c r="K103" s="78">
        <v>0</v>
      </c>
      <c r="M103" s="17" t="s">
        <v>36</v>
      </c>
      <c r="N103" s="112">
        <v>3</v>
      </c>
      <c r="O103" s="112">
        <v>1</v>
      </c>
      <c r="P103" s="112">
        <v>0</v>
      </c>
      <c r="Q103" s="112">
        <v>2</v>
      </c>
    </row>
    <row r="104" spans="1:17" x14ac:dyDescent="0.3">
      <c r="A104" s="17" t="s">
        <v>37</v>
      </c>
      <c r="B104" s="18">
        <v>1</v>
      </c>
      <c r="C104" s="18">
        <v>0</v>
      </c>
      <c r="D104" s="18">
        <v>1</v>
      </c>
      <c r="E104" s="18">
        <v>0</v>
      </c>
      <c r="G104" s="17" t="s">
        <v>37</v>
      </c>
      <c r="H104" s="78">
        <v>0</v>
      </c>
      <c r="I104" s="78">
        <v>0</v>
      </c>
      <c r="J104" s="78">
        <v>0</v>
      </c>
      <c r="K104" s="78">
        <v>0</v>
      </c>
      <c r="M104" s="17" t="s">
        <v>37</v>
      </c>
      <c r="N104" s="112">
        <v>3</v>
      </c>
      <c r="O104" s="112">
        <v>1</v>
      </c>
      <c r="P104" s="112">
        <v>1</v>
      </c>
      <c r="Q104" s="112">
        <v>1</v>
      </c>
    </row>
    <row r="105" spans="1:17" x14ac:dyDescent="0.3">
      <c r="A105" s="17" t="s">
        <v>38</v>
      </c>
      <c r="B105" s="167" t="s">
        <v>339</v>
      </c>
      <c r="C105" s="168"/>
      <c r="D105" s="168"/>
      <c r="E105" s="168"/>
      <c r="G105" s="17" t="s">
        <v>38</v>
      </c>
      <c r="H105" s="167" t="s">
        <v>339</v>
      </c>
      <c r="I105" s="168"/>
      <c r="J105" s="168"/>
      <c r="K105" s="168"/>
      <c r="M105" s="17" t="s">
        <v>38</v>
      </c>
      <c r="N105" s="167" t="s">
        <v>339</v>
      </c>
      <c r="O105" s="168"/>
      <c r="P105" s="168"/>
      <c r="Q105" s="168"/>
    </row>
    <row r="106" spans="1:17" ht="19.8" x14ac:dyDescent="0.3">
      <c r="A106" s="170">
        <v>46094</v>
      </c>
      <c r="B106" s="168"/>
      <c r="C106" s="168"/>
      <c r="D106" s="168"/>
      <c r="E106" s="168"/>
      <c r="G106" s="170">
        <v>46119</v>
      </c>
      <c r="H106" s="168"/>
      <c r="I106" s="168"/>
      <c r="J106" s="168"/>
      <c r="K106" s="168"/>
      <c r="M106" s="170">
        <v>46150</v>
      </c>
      <c r="N106" s="168"/>
      <c r="O106" s="168"/>
      <c r="P106" s="168"/>
      <c r="Q106" s="168"/>
    </row>
    <row r="107" spans="1:17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G107" s="1" t="s">
        <v>0</v>
      </c>
      <c r="H107" s="1" t="s">
        <v>1</v>
      </c>
      <c r="I107" s="1" t="s">
        <v>2</v>
      </c>
      <c r="J107" s="1" t="s">
        <v>3</v>
      </c>
      <c r="K107" s="1" t="s">
        <v>40</v>
      </c>
      <c r="M107" s="1" t="s">
        <v>0</v>
      </c>
      <c r="N107" s="1" t="s">
        <v>1</v>
      </c>
      <c r="O107" s="1" t="s">
        <v>2</v>
      </c>
      <c r="P107" s="1" t="s">
        <v>3</v>
      </c>
      <c r="Q107" s="1" t="s">
        <v>40</v>
      </c>
    </row>
    <row r="108" spans="1:17" x14ac:dyDescent="0.3">
      <c r="A108" s="2" t="s">
        <v>5</v>
      </c>
      <c r="B108" s="3">
        <v>1167</v>
      </c>
      <c r="C108" s="3">
        <v>493</v>
      </c>
      <c r="D108" s="3">
        <v>380</v>
      </c>
      <c r="E108" s="3">
        <v>294</v>
      </c>
      <c r="G108" s="2" t="s">
        <v>5</v>
      </c>
      <c r="H108" s="3">
        <v>2308</v>
      </c>
      <c r="I108" s="3">
        <v>940</v>
      </c>
      <c r="J108" s="3">
        <v>760</v>
      </c>
      <c r="K108" s="3">
        <v>608</v>
      </c>
      <c r="M108" s="2" t="s">
        <v>5</v>
      </c>
      <c r="N108" s="3">
        <v>2795</v>
      </c>
      <c r="O108" s="3">
        <v>1140</v>
      </c>
      <c r="P108" s="3">
        <v>942</v>
      </c>
      <c r="Q108" s="3">
        <v>713</v>
      </c>
    </row>
    <row r="109" spans="1:17" x14ac:dyDescent="0.3">
      <c r="A109" s="2" t="s">
        <v>6</v>
      </c>
      <c r="B109" s="3">
        <v>120</v>
      </c>
      <c r="C109" s="4">
        <v>19</v>
      </c>
      <c r="D109" s="5">
        <v>59</v>
      </c>
      <c r="E109" s="6">
        <v>42</v>
      </c>
      <c r="G109" s="2" t="s">
        <v>6</v>
      </c>
      <c r="H109" s="3">
        <v>404</v>
      </c>
      <c r="I109" s="5">
        <v>189</v>
      </c>
      <c r="J109" s="6">
        <v>180</v>
      </c>
      <c r="K109" s="4">
        <v>35</v>
      </c>
      <c r="M109" s="2" t="s">
        <v>6</v>
      </c>
      <c r="N109" s="3">
        <v>382</v>
      </c>
      <c r="O109" s="5">
        <v>190</v>
      </c>
      <c r="P109" s="4">
        <v>85</v>
      </c>
      <c r="Q109" s="6">
        <v>107</v>
      </c>
    </row>
    <row r="110" spans="1:17" x14ac:dyDescent="0.3">
      <c r="A110" s="2" t="s">
        <v>7</v>
      </c>
      <c r="B110" s="3" t="s">
        <v>21</v>
      </c>
      <c r="C110" s="4" t="s">
        <v>104</v>
      </c>
      <c r="D110" s="5" t="s">
        <v>553</v>
      </c>
      <c r="E110" s="6" t="s">
        <v>554</v>
      </c>
      <c r="G110" s="2" t="s">
        <v>7</v>
      </c>
      <c r="H110" s="3" t="s">
        <v>1319</v>
      </c>
      <c r="I110" s="6" t="s">
        <v>1320</v>
      </c>
      <c r="J110" s="5" t="s">
        <v>1321</v>
      </c>
      <c r="K110" s="4" t="s">
        <v>1322</v>
      </c>
      <c r="M110" s="2" t="s">
        <v>7</v>
      </c>
      <c r="N110" s="3" t="s">
        <v>1837</v>
      </c>
      <c r="O110" s="5" t="s">
        <v>1838</v>
      </c>
      <c r="P110" s="4" t="s">
        <v>224</v>
      </c>
      <c r="Q110" s="6" t="s">
        <v>838</v>
      </c>
    </row>
    <row r="111" spans="1:17" x14ac:dyDescent="0.3">
      <c r="A111" s="2" t="s">
        <v>12</v>
      </c>
      <c r="B111" s="3" t="s">
        <v>161</v>
      </c>
      <c r="C111" s="4" t="s">
        <v>551</v>
      </c>
      <c r="D111" s="5" t="s">
        <v>555</v>
      </c>
      <c r="E111" s="6" t="s">
        <v>556</v>
      </c>
      <c r="G111" s="2" t="s">
        <v>12</v>
      </c>
      <c r="H111" s="3" t="s">
        <v>1323</v>
      </c>
      <c r="I111" s="6" t="s">
        <v>1324</v>
      </c>
      <c r="J111" s="5" t="s">
        <v>1161</v>
      </c>
      <c r="K111" s="3" t="s">
        <v>25</v>
      </c>
      <c r="M111" s="2" t="s">
        <v>12</v>
      </c>
      <c r="N111" s="3" t="s">
        <v>1839</v>
      </c>
      <c r="O111" s="5" t="s">
        <v>1840</v>
      </c>
      <c r="P111" s="4" t="s">
        <v>811</v>
      </c>
      <c r="Q111" s="6" t="s">
        <v>1841</v>
      </c>
    </row>
    <row r="112" spans="1:17" x14ac:dyDescent="0.3">
      <c r="A112" s="2" t="s">
        <v>17</v>
      </c>
      <c r="B112" s="48">
        <f>B110-B111</f>
        <v>2.3100000000000009E-2</v>
      </c>
      <c r="C112" s="50">
        <f>C110-C111</f>
        <v>3.2399999999999998E-2</v>
      </c>
      <c r="D112" s="6" t="s">
        <v>557</v>
      </c>
      <c r="E112" s="4" t="s">
        <v>279</v>
      </c>
      <c r="G112" s="2" t="s">
        <v>17</v>
      </c>
      <c r="H112" s="3" t="s">
        <v>693</v>
      </c>
      <c r="I112" s="4" t="s">
        <v>1245</v>
      </c>
      <c r="J112" s="6" t="s">
        <v>1077</v>
      </c>
      <c r="K112" s="5" t="s">
        <v>1322</v>
      </c>
      <c r="M112" s="2" t="s">
        <v>17</v>
      </c>
      <c r="N112" s="3" t="s">
        <v>741</v>
      </c>
      <c r="O112" s="6" t="s">
        <v>70</v>
      </c>
      <c r="P112" s="4" t="s">
        <v>390</v>
      </c>
      <c r="Q112" s="5" t="s">
        <v>1536</v>
      </c>
    </row>
    <row r="113" spans="1:17" x14ac:dyDescent="0.3">
      <c r="A113" s="2" t="s">
        <v>22</v>
      </c>
      <c r="B113" s="3" t="s">
        <v>84</v>
      </c>
      <c r="C113" s="3" t="s">
        <v>25</v>
      </c>
      <c r="D113" s="5" t="s">
        <v>101</v>
      </c>
      <c r="E113" s="3" t="s">
        <v>25</v>
      </c>
      <c r="G113" s="2" t="s">
        <v>22</v>
      </c>
      <c r="H113" s="3" t="s">
        <v>25</v>
      </c>
      <c r="I113" s="3" t="s">
        <v>25</v>
      </c>
      <c r="J113" s="3" t="s">
        <v>25</v>
      </c>
      <c r="K113" s="3" t="s">
        <v>25</v>
      </c>
      <c r="M113" s="2" t="s">
        <v>22</v>
      </c>
      <c r="N113" s="3" t="s">
        <v>49</v>
      </c>
      <c r="O113" s="4" t="s">
        <v>84</v>
      </c>
      <c r="P113" s="6" t="s">
        <v>49</v>
      </c>
      <c r="Q113" s="5" t="s">
        <v>310</v>
      </c>
    </row>
    <row r="114" spans="1:17" x14ac:dyDescent="0.3">
      <c r="A114" s="7" t="s">
        <v>26</v>
      </c>
      <c r="B114" s="8">
        <v>93</v>
      </c>
      <c r="C114" s="8">
        <v>3</v>
      </c>
      <c r="D114" s="8">
        <v>54</v>
      </c>
      <c r="E114" s="8">
        <v>36</v>
      </c>
      <c r="G114" s="7" t="s">
        <v>26</v>
      </c>
      <c r="H114" s="8">
        <v>282</v>
      </c>
      <c r="I114" s="8">
        <v>142</v>
      </c>
      <c r="J114" s="8">
        <v>140</v>
      </c>
      <c r="K114" s="8">
        <v>0</v>
      </c>
      <c r="M114" s="7" t="s">
        <v>26</v>
      </c>
      <c r="N114" s="8">
        <v>293</v>
      </c>
      <c r="O114" s="8">
        <v>157</v>
      </c>
      <c r="P114" s="8">
        <v>58</v>
      </c>
      <c r="Q114" s="8">
        <v>78</v>
      </c>
    </row>
    <row r="115" spans="1:17" x14ac:dyDescent="0.3">
      <c r="A115" s="9" t="s">
        <v>27</v>
      </c>
      <c r="B115" s="10">
        <v>24</v>
      </c>
      <c r="C115" s="10">
        <v>0</v>
      </c>
      <c r="D115" s="10">
        <v>20</v>
      </c>
      <c r="E115" s="10">
        <v>4</v>
      </c>
      <c r="G115" s="9" t="s">
        <v>27</v>
      </c>
      <c r="H115" s="10">
        <v>211</v>
      </c>
      <c r="I115" s="10">
        <v>101</v>
      </c>
      <c r="J115" s="10">
        <v>110</v>
      </c>
      <c r="K115" s="10">
        <v>0</v>
      </c>
      <c r="M115" s="9" t="s">
        <v>27</v>
      </c>
      <c r="N115" s="10">
        <v>187</v>
      </c>
      <c r="O115" s="10">
        <v>94</v>
      </c>
      <c r="P115" s="10">
        <v>44</v>
      </c>
      <c r="Q115" s="10">
        <v>49</v>
      </c>
    </row>
    <row r="116" spans="1:17" x14ac:dyDescent="0.3">
      <c r="A116" s="9" t="s">
        <v>28</v>
      </c>
      <c r="B116" s="10">
        <v>2</v>
      </c>
      <c r="C116" s="10">
        <v>0</v>
      </c>
      <c r="D116" s="10">
        <v>0</v>
      </c>
      <c r="E116" s="10">
        <v>2</v>
      </c>
      <c r="G116" s="9" t="s">
        <v>28</v>
      </c>
      <c r="H116" s="10">
        <v>3</v>
      </c>
      <c r="I116" s="10">
        <v>2</v>
      </c>
      <c r="J116" s="10">
        <v>1</v>
      </c>
      <c r="K116" s="10">
        <v>0</v>
      </c>
      <c r="M116" s="9" t="s">
        <v>28</v>
      </c>
      <c r="N116" s="10">
        <v>5</v>
      </c>
      <c r="O116" s="10">
        <v>0</v>
      </c>
      <c r="P116" s="10">
        <v>0</v>
      </c>
      <c r="Q116" s="10">
        <v>5</v>
      </c>
    </row>
    <row r="117" spans="1:17" x14ac:dyDescent="0.3">
      <c r="A117" s="9" t="s">
        <v>29</v>
      </c>
      <c r="B117" s="10">
        <v>3</v>
      </c>
      <c r="C117" s="10">
        <v>1</v>
      </c>
      <c r="D117" s="10">
        <v>0</v>
      </c>
      <c r="E117" s="10">
        <v>2</v>
      </c>
      <c r="G117" s="9" t="s">
        <v>29</v>
      </c>
      <c r="H117" s="10">
        <v>4</v>
      </c>
      <c r="I117" s="10">
        <v>4</v>
      </c>
      <c r="J117" s="10">
        <v>0</v>
      </c>
      <c r="K117" s="10">
        <v>0</v>
      </c>
      <c r="M117" s="9" t="s">
        <v>29</v>
      </c>
      <c r="N117" s="10">
        <v>27</v>
      </c>
      <c r="O117" s="10">
        <v>27</v>
      </c>
      <c r="P117" s="10">
        <v>0</v>
      </c>
      <c r="Q117" s="10">
        <v>0</v>
      </c>
    </row>
    <row r="118" spans="1:17" x14ac:dyDescent="0.3">
      <c r="A118" s="9" t="s">
        <v>30</v>
      </c>
      <c r="B118" s="10">
        <v>64</v>
      </c>
      <c r="C118" s="10">
        <v>2</v>
      </c>
      <c r="D118" s="10">
        <v>34</v>
      </c>
      <c r="E118" s="10">
        <v>28</v>
      </c>
      <c r="G118" s="9" t="s">
        <v>30</v>
      </c>
      <c r="H118" s="10">
        <v>64</v>
      </c>
      <c r="I118" s="10">
        <v>35</v>
      </c>
      <c r="J118" s="10">
        <v>29</v>
      </c>
      <c r="K118" s="10">
        <v>0</v>
      </c>
      <c r="M118" s="9" t="s">
        <v>30</v>
      </c>
      <c r="N118" s="10">
        <v>74</v>
      </c>
      <c r="O118" s="10">
        <v>36</v>
      </c>
      <c r="P118" s="10">
        <v>14</v>
      </c>
      <c r="Q118" s="10">
        <v>24</v>
      </c>
    </row>
    <row r="119" spans="1:17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G119" s="9" t="s">
        <v>31</v>
      </c>
      <c r="H119" s="10">
        <v>0</v>
      </c>
      <c r="I119" s="10">
        <v>0</v>
      </c>
      <c r="J119" s="10">
        <v>0</v>
      </c>
      <c r="K119" s="10">
        <v>0</v>
      </c>
      <c r="M119" s="9" t="s">
        <v>31</v>
      </c>
      <c r="N119" s="10">
        <v>0</v>
      </c>
      <c r="O119" s="10">
        <v>0</v>
      </c>
      <c r="P119" s="10">
        <v>0</v>
      </c>
      <c r="Q119" s="10">
        <v>0</v>
      </c>
    </row>
    <row r="120" spans="1:17" x14ac:dyDescent="0.3">
      <c r="A120" s="11" t="s">
        <v>32</v>
      </c>
      <c r="B120" s="12">
        <v>32</v>
      </c>
      <c r="C120" s="12">
        <v>16</v>
      </c>
      <c r="D120" s="12">
        <v>10</v>
      </c>
      <c r="E120" s="12">
        <v>6</v>
      </c>
      <c r="G120" s="11" t="s">
        <v>32</v>
      </c>
      <c r="H120" s="12">
        <v>123</v>
      </c>
      <c r="I120" s="12">
        <v>48</v>
      </c>
      <c r="J120" s="12">
        <v>40</v>
      </c>
      <c r="K120" s="12">
        <v>35</v>
      </c>
      <c r="M120" s="11" t="s">
        <v>32</v>
      </c>
      <c r="N120" s="12">
        <v>89</v>
      </c>
      <c r="O120" s="12">
        <v>33</v>
      </c>
      <c r="P120" s="12">
        <v>27</v>
      </c>
      <c r="Q120" s="12">
        <v>29</v>
      </c>
    </row>
    <row r="121" spans="1:17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G121" s="13" t="s">
        <v>33</v>
      </c>
      <c r="H121" s="14">
        <v>1</v>
      </c>
      <c r="I121" s="14">
        <v>1</v>
      </c>
      <c r="J121" s="14">
        <v>0</v>
      </c>
      <c r="K121" s="14">
        <v>0</v>
      </c>
      <c r="M121" s="13" t="s">
        <v>33</v>
      </c>
      <c r="N121" s="14">
        <v>0</v>
      </c>
      <c r="O121" s="14">
        <v>0</v>
      </c>
      <c r="P121" s="14">
        <v>0</v>
      </c>
      <c r="Q121" s="14">
        <v>0</v>
      </c>
    </row>
    <row r="122" spans="1:17" x14ac:dyDescent="0.3">
      <c r="A122" s="13" t="s">
        <v>34</v>
      </c>
      <c r="B122" s="14">
        <v>32</v>
      </c>
      <c r="C122" s="14">
        <v>16</v>
      </c>
      <c r="D122" s="14">
        <v>10</v>
      </c>
      <c r="E122" s="14">
        <v>6</v>
      </c>
      <c r="G122" s="13" t="s">
        <v>34</v>
      </c>
      <c r="H122" s="14">
        <v>122</v>
      </c>
      <c r="I122" s="14">
        <v>47</v>
      </c>
      <c r="J122" s="14">
        <v>40</v>
      </c>
      <c r="K122" s="14">
        <v>35</v>
      </c>
      <c r="M122" s="13" t="s">
        <v>34</v>
      </c>
      <c r="N122" s="14">
        <v>89</v>
      </c>
      <c r="O122" s="14">
        <v>33</v>
      </c>
      <c r="P122" s="14">
        <v>27</v>
      </c>
      <c r="Q122" s="14">
        <v>29</v>
      </c>
    </row>
    <row r="123" spans="1:17" x14ac:dyDescent="0.3">
      <c r="A123" s="15" t="s">
        <v>35</v>
      </c>
      <c r="B123" s="16">
        <v>1</v>
      </c>
      <c r="C123" s="16">
        <v>0</v>
      </c>
      <c r="D123" s="16">
        <v>1</v>
      </c>
      <c r="E123" s="16">
        <v>0</v>
      </c>
      <c r="G123" s="15" t="s">
        <v>35</v>
      </c>
      <c r="H123" s="16">
        <v>0</v>
      </c>
      <c r="I123" s="16">
        <v>0</v>
      </c>
      <c r="J123" s="16">
        <v>0</v>
      </c>
      <c r="K123" s="16">
        <v>0</v>
      </c>
      <c r="M123" s="15" t="s">
        <v>35</v>
      </c>
      <c r="N123" s="16">
        <v>3</v>
      </c>
      <c r="O123" s="16">
        <v>1</v>
      </c>
      <c r="P123" s="16">
        <v>1</v>
      </c>
      <c r="Q123" s="16">
        <v>1</v>
      </c>
    </row>
    <row r="124" spans="1:17" x14ac:dyDescent="0.3">
      <c r="A124" s="17" t="s">
        <v>36</v>
      </c>
      <c r="B124" s="18">
        <v>1</v>
      </c>
      <c r="C124" s="18">
        <v>0</v>
      </c>
      <c r="D124" s="18">
        <v>1</v>
      </c>
      <c r="E124" s="18">
        <v>0</v>
      </c>
      <c r="G124" s="17" t="s">
        <v>36</v>
      </c>
      <c r="H124" s="78">
        <v>0</v>
      </c>
      <c r="I124" s="78">
        <v>0</v>
      </c>
      <c r="J124" s="78">
        <v>0</v>
      </c>
      <c r="K124" s="78">
        <v>0</v>
      </c>
      <c r="M124" s="17" t="s">
        <v>36</v>
      </c>
      <c r="N124" s="112">
        <v>2</v>
      </c>
      <c r="O124" s="112">
        <v>1</v>
      </c>
      <c r="P124" s="112">
        <v>0</v>
      </c>
      <c r="Q124" s="112">
        <v>1</v>
      </c>
    </row>
    <row r="125" spans="1:17" x14ac:dyDescent="0.3">
      <c r="A125" s="17" t="s">
        <v>37</v>
      </c>
      <c r="B125" s="18">
        <v>1</v>
      </c>
      <c r="C125" s="18">
        <v>0</v>
      </c>
      <c r="D125" s="18">
        <v>1</v>
      </c>
      <c r="E125" s="18">
        <v>0</v>
      </c>
      <c r="G125" s="17" t="s">
        <v>37</v>
      </c>
      <c r="H125" s="78">
        <v>0</v>
      </c>
      <c r="I125" s="78">
        <v>0</v>
      </c>
      <c r="J125" s="78">
        <v>0</v>
      </c>
      <c r="K125" s="78">
        <v>0</v>
      </c>
      <c r="M125" s="17" t="s">
        <v>37</v>
      </c>
      <c r="N125" s="112">
        <v>3</v>
      </c>
      <c r="O125" s="112">
        <v>1</v>
      </c>
      <c r="P125" s="112">
        <v>1</v>
      </c>
      <c r="Q125" s="112">
        <v>1</v>
      </c>
    </row>
    <row r="126" spans="1:17" x14ac:dyDescent="0.3">
      <c r="A126" s="17" t="s">
        <v>38</v>
      </c>
      <c r="B126" s="167" t="s">
        <v>339</v>
      </c>
      <c r="C126" s="168"/>
      <c r="D126" s="168"/>
      <c r="E126" s="168"/>
      <c r="G126" s="17" t="s">
        <v>38</v>
      </c>
      <c r="H126" s="167" t="s">
        <v>339</v>
      </c>
      <c r="I126" s="168"/>
      <c r="J126" s="168"/>
      <c r="K126" s="168"/>
      <c r="M126" s="17" t="s">
        <v>38</v>
      </c>
      <c r="N126" s="167" t="s">
        <v>339</v>
      </c>
      <c r="O126" s="168"/>
      <c r="P126" s="168"/>
      <c r="Q126" s="168"/>
    </row>
    <row r="127" spans="1:17" ht="19.8" x14ac:dyDescent="0.3">
      <c r="A127" s="170">
        <v>46095</v>
      </c>
      <c r="B127" s="168"/>
      <c r="C127" s="168"/>
      <c r="D127" s="168"/>
      <c r="E127" s="168"/>
      <c r="G127" s="170">
        <v>46120</v>
      </c>
      <c r="H127" s="168"/>
      <c r="I127" s="168"/>
      <c r="J127" s="168"/>
      <c r="K127" s="168"/>
      <c r="M127" s="170">
        <v>46151</v>
      </c>
      <c r="N127" s="168"/>
      <c r="O127" s="168"/>
      <c r="P127" s="168"/>
      <c r="Q127" s="168"/>
    </row>
    <row r="128" spans="1:17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G128" s="1" t="s">
        <v>0</v>
      </c>
      <c r="H128" s="1" t="s">
        <v>1</v>
      </c>
      <c r="I128" s="1" t="s">
        <v>2</v>
      </c>
      <c r="J128" s="1" t="s">
        <v>3</v>
      </c>
      <c r="K128" s="1" t="s">
        <v>40</v>
      </c>
      <c r="M128" s="1" t="s">
        <v>0</v>
      </c>
      <c r="N128" s="1" t="s">
        <v>1</v>
      </c>
      <c r="O128" s="1" t="s">
        <v>2</v>
      </c>
      <c r="P128" s="1" t="s">
        <v>3</v>
      </c>
      <c r="Q128" s="1" t="s">
        <v>40</v>
      </c>
    </row>
    <row r="129" spans="1:17" x14ac:dyDescent="0.3">
      <c r="A129" s="2" t="s">
        <v>5</v>
      </c>
      <c r="B129" s="3">
        <v>968</v>
      </c>
      <c r="C129" s="3">
        <v>405</v>
      </c>
      <c r="D129" s="3">
        <v>312</v>
      </c>
      <c r="E129" s="3">
        <v>251</v>
      </c>
      <c r="G129" s="2" t="s">
        <v>5</v>
      </c>
      <c r="H129" s="3">
        <v>1888</v>
      </c>
      <c r="I129" s="3">
        <v>786</v>
      </c>
      <c r="J129" s="3">
        <v>620</v>
      </c>
      <c r="K129" s="3">
        <v>482</v>
      </c>
      <c r="M129" s="2" t="s">
        <v>5</v>
      </c>
      <c r="N129" s="3">
        <v>3360</v>
      </c>
      <c r="O129" s="3">
        <v>1356</v>
      </c>
      <c r="P129" s="3">
        <v>1142</v>
      </c>
      <c r="Q129" s="3">
        <v>862</v>
      </c>
    </row>
    <row r="130" spans="1:17" x14ac:dyDescent="0.3">
      <c r="A130" s="2" t="s">
        <v>6</v>
      </c>
      <c r="B130" s="3">
        <v>123</v>
      </c>
      <c r="C130" s="4">
        <v>24</v>
      </c>
      <c r="D130" s="5">
        <v>57</v>
      </c>
      <c r="E130" s="6">
        <v>42</v>
      </c>
      <c r="G130" s="2" t="s">
        <v>6</v>
      </c>
      <c r="H130" s="3">
        <v>250</v>
      </c>
      <c r="I130" s="6">
        <v>106</v>
      </c>
      <c r="J130" s="5">
        <v>124</v>
      </c>
      <c r="K130" s="4">
        <v>20</v>
      </c>
      <c r="M130" s="2" t="s">
        <v>6</v>
      </c>
      <c r="N130" s="3">
        <v>249</v>
      </c>
      <c r="O130" s="5">
        <v>122</v>
      </c>
      <c r="P130" s="6">
        <v>64</v>
      </c>
      <c r="Q130" s="4">
        <v>63</v>
      </c>
    </row>
    <row r="131" spans="1:17" x14ac:dyDescent="0.3">
      <c r="A131" s="2" t="s">
        <v>7</v>
      </c>
      <c r="B131" s="3" t="s">
        <v>584</v>
      </c>
      <c r="C131" s="4" t="s">
        <v>288</v>
      </c>
      <c r="D131" s="5" t="s">
        <v>585</v>
      </c>
      <c r="E131" s="6" t="s">
        <v>586</v>
      </c>
      <c r="G131" s="2" t="s">
        <v>7</v>
      </c>
      <c r="H131" s="3" t="s">
        <v>1341</v>
      </c>
      <c r="I131" s="6" t="s">
        <v>1342</v>
      </c>
      <c r="J131" s="5" t="s">
        <v>1343</v>
      </c>
      <c r="K131" s="4" t="s">
        <v>868</v>
      </c>
      <c r="M131" s="2" t="s">
        <v>7</v>
      </c>
      <c r="N131" s="3" t="s">
        <v>601</v>
      </c>
      <c r="O131" s="5" t="s">
        <v>330</v>
      </c>
      <c r="P131" s="4" t="s">
        <v>1344</v>
      </c>
      <c r="Q131" s="6" t="s">
        <v>172</v>
      </c>
    </row>
    <row r="132" spans="1:17" x14ac:dyDescent="0.3">
      <c r="A132" s="2" t="s">
        <v>12</v>
      </c>
      <c r="B132" s="3" t="s">
        <v>587</v>
      </c>
      <c r="C132" s="4" t="s">
        <v>482</v>
      </c>
      <c r="D132" s="5" t="s">
        <v>588</v>
      </c>
      <c r="E132" s="6" t="s">
        <v>589</v>
      </c>
      <c r="G132" s="2" t="s">
        <v>12</v>
      </c>
      <c r="H132" s="3" t="s">
        <v>1158</v>
      </c>
      <c r="I132" s="6" t="s">
        <v>1014</v>
      </c>
      <c r="J132" s="5" t="s">
        <v>703</v>
      </c>
      <c r="K132" s="3" t="s">
        <v>25</v>
      </c>
      <c r="M132" s="2" t="s">
        <v>12</v>
      </c>
      <c r="N132" s="3" t="s">
        <v>959</v>
      </c>
      <c r="O132" s="5" t="s">
        <v>333</v>
      </c>
      <c r="P132" s="4" t="s">
        <v>740</v>
      </c>
      <c r="Q132" s="6" t="s">
        <v>458</v>
      </c>
    </row>
    <row r="133" spans="1:17" x14ac:dyDescent="0.3">
      <c r="A133" s="2" t="s">
        <v>17</v>
      </c>
      <c r="B133" s="48">
        <f>B131-B132</f>
        <v>3.0999999999999986E-2</v>
      </c>
      <c r="C133" s="50">
        <f>C131-C132</f>
        <v>3.7099999999999994E-2</v>
      </c>
      <c r="D133" s="6" t="s">
        <v>430</v>
      </c>
      <c r="E133" s="4" t="s">
        <v>590</v>
      </c>
      <c r="G133" s="2" t="s">
        <v>17</v>
      </c>
      <c r="H133" s="3" t="s">
        <v>824</v>
      </c>
      <c r="I133" s="6" t="s">
        <v>1344</v>
      </c>
      <c r="J133" s="5" t="s">
        <v>1175</v>
      </c>
      <c r="K133" s="4" t="s">
        <v>868</v>
      </c>
      <c r="M133" s="2" t="s">
        <v>17</v>
      </c>
      <c r="N133" s="3" t="s">
        <v>78</v>
      </c>
      <c r="O133" s="5" t="s">
        <v>66</v>
      </c>
      <c r="P133" s="4" t="s">
        <v>109</v>
      </c>
      <c r="Q133" s="6" t="s">
        <v>317</v>
      </c>
    </row>
    <row r="134" spans="1:17" x14ac:dyDescent="0.3">
      <c r="A134" s="2" t="s">
        <v>22</v>
      </c>
      <c r="B134" s="3" t="s">
        <v>77</v>
      </c>
      <c r="C134" s="3" t="s">
        <v>25</v>
      </c>
      <c r="D134" s="5" t="s">
        <v>42</v>
      </c>
      <c r="E134" s="3" t="s">
        <v>25</v>
      </c>
      <c r="G134" s="2" t="s">
        <v>22</v>
      </c>
      <c r="H134" s="3" t="s">
        <v>154</v>
      </c>
      <c r="I134" s="4" t="s">
        <v>75</v>
      </c>
      <c r="J134" s="6" t="s">
        <v>154</v>
      </c>
      <c r="K134" s="5" t="s">
        <v>77</v>
      </c>
      <c r="M134" s="2" t="s">
        <v>22</v>
      </c>
      <c r="N134" s="3" t="s">
        <v>84</v>
      </c>
      <c r="O134" s="4" t="s">
        <v>138</v>
      </c>
      <c r="P134" s="6" t="s">
        <v>84</v>
      </c>
      <c r="Q134" s="5" t="s">
        <v>102</v>
      </c>
    </row>
    <row r="135" spans="1:17" x14ac:dyDescent="0.3">
      <c r="A135" s="7" t="s">
        <v>26</v>
      </c>
      <c r="B135" s="8">
        <v>93</v>
      </c>
      <c r="C135" s="8">
        <v>9</v>
      </c>
      <c r="D135" s="8">
        <v>49</v>
      </c>
      <c r="E135" s="8">
        <v>35</v>
      </c>
      <c r="G135" s="7" t="s">
        <v>26</v>
      </c>
      <c r="H135" s="8">
        <v>147</v>
      </c>
      <c r="I135" s="8">
        <v>62</v>
      </c>
      <c r="J135" s="8">
        <v>85</v>
      </c>
      <c r="K135" s="8">
        <v>0</v>
      </c>
      <c r="M135" s="7" t="s">
        <v>26</v>
      </c>
      <c r="N135" s="8">
        <v>235</v>
      </c>
      <c r="O135" s="8">
        <v>114</v>
      </c>
      <c r="P135" s="8">
        <v>62</v>
      </c>
      <c r="Q135" s="8">
        <v>59</v>
      </c>
    </row>
    <row r="136" spans="1:17" x14ac:dyDescent="0.3">
      <c r="A136" s="9" t="s">
        <v>27</v>
      </c>
      <c r="B136" s="10">
        <v>33</v>
      </c>
      <c r="C136" s="10">
        <v>0</v>
      </c>
      <c r="D136" s="10">
        <v>30</v>
      </c>
      <c r="E136" s="10">
        <v>3</v>
      </c>
      <c r="G136" s="9" t="s">
        <v>27</v>
      </c>
      <c r="H136" s="10">
        <v>103</v>
      </c>
      <c r="I136" s="10">
        <v>33</v>
      </c>
      <c r="J136" s="10">
        <v>70</v>
      </c>
      <c r="K136" s="10">
        <v>0</v>
      </c>
      <c r="M136" s="9" t="s">
        <v>27</v>
      </c>
      <c r="N136" s="10">
        <v>139</v>
      </c>
      <c r="O136" s="10">
        <v>60</v>
      </c>
      <c r="P136" s="10">
        <v>48</v>
      </c>
      <c r="Q136" s="10">
        <v>31</v>
      </c>
    </row>
    <row r="137" spans="1:17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G137" s="9" t="s">
        <v>28</v>
      </c>
      <c r="H137" s="10">
        <v>0</v>
      </c>
      <c r="I137" s="10">
        <v>0</v>
      </c>
      <c r="J137" s="10">
        <v>0</v>
      </c>
      <c r="K137" s="10">
        <v>0</v>
      </c>
      <c r="M137" s="9" t="s">
        <v>28</v>
      </c>
      <c r="N137" s="10">
        <v>3</v>
      </c>
      <c r="O137" s="10">
        <v>0</v>
      </c>
      <c r="P137" s="10">
        <v>0</v>
      </c>
      <c r="Q137" s="10">
        <v>3</v>
      </c>
    </row>
    <row r="138" spans="1:17" x14ac:dyDescent="0.3">
      <c r="A138" s="9" t="s">
        <v>29</v>
      </c>
      <c r="B138" s="10">
        <v>11</v>
      </c>
      <c r="C138" s="10">
        <v>7</v>
      </c>
      <c r="D138" s="10">
        <v>0</v>
      </c>
      <c r="E138" s="10">
        <v>4</v>
      </c>
      <c r="G138" s="9" t="s">
        <v>29</v>
      </c>
      <c r="H138" s="10">
        <v>4</v>
      </c>
      <c r="I138" s="10">
        <v>4</v>
      </c>
      <c r="J138" s="10">
        <v>0</v>
      </c>
      <c r="K138" s="10">
        <v>0</v>
      </c>
      <c r="M138" s="9" t="s">
        <v>29</v>
      </c>
      <c r="N138" s="10">
        <v>31</v>
      </c>
      <c r="O138" s="10">
        <v>31</v>
      </c>
      <c r="P138" s="10">
        <v>0</v>
      </c>
      <c r="Q138" s="10">
        <v>0</v>
      </c>
    </row>
    <row r="139" spans="1:17" x14ac:dyDescent="0.3">
      <c r="A139" s="9" t="s">
        <v>30</v>
      </c>
      <c r="B139" s="10">
        <v>49</v>
      </c>
      <c r="C139" s="10">
        <v>2</v>
      </c>
      <c r="D139" s="10">
        <v>19</v>
      </c>
      <c r="E139" s="10">
        <v>28</v>
      </c>
      <c r="G139" s="9" t="s">
        <v>30</v>
      </c>
      <c r="H139" s="10">
        <v>40</v>
      </c>
      <c r="I139" s="10">
        <v>25</v>
      </c>
      <c r="J139" s="10">
        <v>15</v>
      </c>
      <c r="K139" s="10">
        <v>0</v>
      </c>
      <c r="M139" s="9" t="s">
        <v>30</v>
      </c>
      <c r="N139" s="10">
        <v>62</v>
      </c>
      <c r="O139" s="10">
        <v>23</v>
      </c>
      <c r="P139" s="10">
        <v>14</v>
      </c>
      <c r="Q139" s="10">
        <v>25</v>
      </c>
    </row>
    <row r="140" spans="1:17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G140" s="9" t="s">
        <v>31</v>
      </c>
      <c r="H140" s="10">
        <v>0</v>
      </c>
      <c r="I140" s="10">
        <v>0</v>
      </c>
      <c r="J140" s="10">
        <v>0</v>
      </c>
      <c r="K140" s="10">
        <v>0</v>
      </c>
      <c r="M140" s="9" t="s">
        <v>31</v>
      </c>
      <c r="N140" s="10">
        <v>0</v>
      </c>
      <c r="O140" s="10">
        <v>0</v>
      </c>
      <c r="P140" s="10">
        <v>0</v>
      </c>
      <c r="Q140" s="10">
        <v>0</v>
      </c>
    </row>
    <row r="141" spans="1:17" x14ac:dyDescent="0.3">
      <c r="A141" s="11" t="s">
        <v>32</v>
      </c>
      <c r="B141" s="12">
        <v>27</v>
      </c>
      <c r="C141" s="12">
        <v>11</v>
      </c>
      <c r="D141" s="12">
        <v>9</v>
      </c>
      <c r="E141" s="12">
        <v>7</v>
      </c>
      <c r="G141" s="11" t="s">
        <v>32</v>
      </c>
      <c r="H141" s="12">
        <v>103</v>
      </c>
      <c r="I141" s="12">
        <v>44</v>
      </c>
      <c r="J141" s="12">
        <v>39</v>
      </c>
      <c r="K141" s="12">
        <v>20</v>
      </c>
      <c r="M141" s="11" t="s">
        <v>32</v>
      </c>
      <c r="N141" s="12">
        <v>14</v>
      </c>
      <c r="O141" s="12">
        <v>8</v>
      </c>
      <c r="P141" s="12">
        <v>2</v>
      </c>
      <c r="Q141" s="12">
        <v>4</v>
      </c>
    </row>
    <row r="142" spans="1:17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G142" s="13" t="s">
        <v>33</v>
      </c>
      <c r="H142" s="14">
        <v>0</v>
      </c>
      <c r="I142" s="14">
        <v>0</v>
      </c>
      <c r="J142" s="14">
        <v>0</v>
      </c>
      <c r="K142" s="14">
        <v>0</v>
      </c>
      <c r="M142" s="13" t="s">
        <v>33</v>
      </c>
      <c r="N142" s="14">
        <v>0</v>
      </c>
      <c r="O142" s="14">
        <v>0</v>
      </c>
      <c r="P142" s="14">
        <v>0</v>
      </c>
      <c r="Q142" s="14">
        <v>0</v>
      </c>
    </row>
    <row r="143" spans="1:17" x14ac:dyDescent="0.3">
      <c r="A143" s="13" t="s">
        <v>34</v>
      </c>
      <c r="B143" s="14">
        <v>27</v>
      </c>
      <c r="C143" s="14">
        <v>11</v>
      </c>
      <c r="D143" s="14">
        <v>9</v>
      </c>
      <c r="E143" s="14">
        <v>7</v>
      </c>
      <c r="G143" s="13" t="s">
        <v>34</v>
      </c>
      <c r="H143" s="14">
        <v>103</v>
      </c>
      <c r="I143" s="14">
        <v>44</v>
      </c>
      <c r="J143" s="14">
        <v>39</v>
      </c>
      <c r="K143" s="14">
        <v>20</v>
      </c>
      <c r="M143" s="13" t="s">
        <v>34</v>
      </c>
      <c r="N143" s="14">
        <v>14</v>
      </c>
      <c r="O143" s="14">
        <v>8</v>
      </c>
      <c r="P143" s="14">
        <v>2</v>
      </c>
      <c r="Q143" s="14">
        <v>4</v>
      </c>
    </row>
    <row r="144" spans="1:17" x14ac:dyDescent="0.3">
      <c r="A144" s="15" t="s">
        <v>35</v>
      </c>
      <c r="B144" s="16">
        <v>2</v>
      </c>
      <c r="C144" s="16">
        <v>0</v>
      </c>
      <c r="D144" s="16">
        <v>2</v>
      </c>
      <c r="E144" s="16">
        <v>0</v>
      </c>
      <c r="G144" s="15" t="s">
        <v>35</v>
      </c>
      <c r="H144" s="16">
        <v>3</v>
      </c>
      <c r="I144" s="16">
        <v>1</v>
      </c>
      <c r="J144" s="16">
        <v>1</v>
      </c>
      <c r="K144" s="16">
        <v>1</v>
      </c>
      <c r="M144" s="15" t="s">
        <v>35</v>
      </c>
      <c r="N144" s="16">
        <v>3</v>
      </c>
      <c r="O144" s="16">
        <v>1</v>
      </c>
      <c r="P144" s="16">
        <v>1</v>
      </c>
      <c r="Q144" s="16">
        <v>1</v>
      </c>
    </row>
    <row r="145" spans="1:17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G145" s="17" t="s">
        <v>36</v>
      </c>
      <c r="H145" s="78">
        <v>2</v>
      </c>
      <c r="I145" s="78">
        <v>1</v>
      </c>
      <c r="J145" s="78">
        <v>0</v>
      </c>
      <c r="K145" s="78">
        <v>1</v>
      </c>
      <c r="M145" s="17" t="s">
        <v>36</v>
      </c>
      <c r="N145" s="112">
        <v>2</v>
      </c>
      <c r="O145" s="112">
        <v>1</v>
      </c>
      <c r="P145" s="112">
        <v>0</v>
      </c>
      <c r="Q145" s="112">
        <v>1</v>
      </c>
    </row>
    <row r="146" spans="1:17" x14ac:dyDescent="0.3">
      <c r="A146" s="17" t="s">
        <v>37</v>
      </c>
      <c r="B146" s="18">
        <v>2</v>
      </c>
      <c r="C146" s="18">
        <v>0</v>
      </c>
      <c r="D146" s="18">
        <v>2</v>
      </c>
      <c r="E146" s="18">
        <v>0</v>
      </c>
      <c r="G146" s="17" t="s">
        <v>37</v>
      </c>
      <c r="H146" s="78">
        <v>3</v>
      </c>
      <c r="I146" s="78">
        <v>1</v>
      </c>
      <c r="J146" s="78">
        <v>1</v>
      </c>
      <c r="K146" s="78">
        <v>1</v>
      </c>
      <c r="M146" s="17" t="s">
        <v>37</v>
      </c>
      <c r="N146" s="112">
        <v>3</v>
      </c>
      <c r="O146" s="112">
        <v>1</v>
      </c>
      <c r="P146" s="112">
        <v>1</v>
      </c>
      <c r="Q146" s="112">
        <v>1</v>
      </c>
    </row>
    <row r="147" spans="1:17" x14ac:dyDescent="0.3">
      <c r="A147" s="17" t="s">
        <v>38</v>
      </c>
      <c r="B147" s="167" t="s">
        <v>339</v>
      </c>
      <c r="C147" s="168"/>
      <c r="D147" s="168"/>
      <c r="E147" s="168"/>
      <c r="G147" s="17" t="s">
        <v>38</v>
      </c>
      <c r="H147" s="167" t="s">
        <v>339</v>
      </c>
      <c r="I147" s="168"/>
      <c r="J147" s="168"/>
      <c r="K147" s="168"/>
      <c r="M147" s="17" t="s">
        <v>38</v>
      </c>
      <c r="N147" s="167" t="s">
        <v>339</v>
      </c>
      <c r="O147" s="168"/>
      <c r="P147" s="168"/>
      <c r="Q147" s="168"/>
    </row>
    <row r="148" spans="1:17" ht="19.8" x14ac:dyDescent="0.3">
      <c r="A148" s="170">
        <v>46097</v>
      </c>
      <c r="B148" s="168"/>
      <c r="C148" s="168"/>
      <c r="D148" s="168"/>
      <c r="E148" s="168"/>
      <c r="G148" s="170">
        <v>46121</v>
      </c>
      <c r="H148" s="168"/>
      <c r="I148" s="168"/>
      <c r="J148" s="168"/>
      <c r="K148" s="168"/>
      <c r="M148" s="171">
        <v>46153</v>
      </c>
      <c r="N148" s="171"/>
      <c r="O148" s="171"/>
      <c r="P148" s="171"/>
      <c r="Q148" s="171"/>
    </row>
    <row r="149" spans="1:17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G149" s="1" t="s">
        <v>0</v>
      </c>
      <c r="H149" s="1" t="s">
        <v>1</v>
      </c>
      <c r="I149" s="1" t="s">
        <v>2</v>
      </c>
      <c r="J149" s="1" t="s">
        <v>3</v>
      </c>
      <c r="K149" s="1" t="s">
        <v>40</v>
      </c>
      <c r="M149" s="1" t="s">
        <v>0</v>
      </c>
      <c r="N149" s="1" t="s">
        <v>1</v>
      </c>
      <c r="O149" s="1" t="s">
        <v>2</v>
      </c>
      <c r="P149" s="1" t="s">
        <v>760</v>
      </c>
      <c r="Q149" s="1" t="s">
        <v>40</v>
      </c>
    </row>
    <row r="150" spans="1:17" x14ac:dyDescent="0.3">
      <c r="A150" s="2" t="s">
        <v>5</v>
      </c>
      <c r="B150" s="3">
        <v>1549</v>
      </c>
      <c r="C150" s="3">
        <v>661</v>
      </c>
      <c r="D150" s="3">
        <v>499</v>
      </c>
      <c r="E150" s="3">
        <v>389</v>
      </c>
      <c r="G150" s="2" t="s">
        <v>5</v>
      </c>
      <c r="H150" s="3">
        <v>1577</v>
      </c>
      <c r="I150" s="3">
        <v>726</v>
      </c>
      <c r="J150" s="3">
        <v>459</v>
      </c>
      <c r="K150" s="3">
        <v>392</v>
      </c>
      <c r="M150" s="2" t="s">
        <v>5</v>
      </c>
      <c r="N150" s="3">
        <v>0</v>
      </c>
      <c r="O150" s="3">
        <v>0</v>
      </c>
      <c r="P150" s="3">
        <v>0</v>
      </c>
      <c r="Q150" s="3">
        <v>0</v>
      </c>
    </row>
    <row r="151" spans="1:17" x14ac:dyDescent="0.3">
      <c r="A151" s="2" t="s">
        <v>6</v>
      </c>
      <c r="B151" s="3">
        <v>127</v>
      </c>
      <c r="C151" s="6">
        <v>42</v>
      </c>
      <c r="D151" s="4">
        <v>37</v>
      </c>
      <c r="E151" s="5">
        <v>48</v>
      </c>
      <c r="G151" s="2" t="s">
        <v>6</v>
      </c>
      <c r="H151" s="3">
        <v>199</v>
      </c>
      <c r="I151" s="5">
        <v>109</v>
      </c>
      <c r="J151" s="6">
        <v>82</v>
      </c>
      <c r="K151" s="4">
        <v>8</v>
      </c>
      <c r="M151" s="2" t="s">
        <v>6</v>
      </c>
      <c r="N151" s="3">
        <v>0</v>
      </c>
      <c r="O151" s="3">
        <v>0</v>
      </c>
      <c r="P151" s="3">
        <v>0</v>
      </c>
      <c r="Q151" s="3">
        <v>0</v>
      </c>
    </row>
    <row r="152" spans="1:17" x14ac:dyDescent="0.3">
      <c r="A152" s="2" t="s">
        <v>7</v>
      </c>
      <c r="B152" s="3" t="s">
        <v>455</v>
      </c>
      <c r="C152" s="4" t="s">
        <v>600</v>
      </c>
      <c r="D152" s="6" t="s">
        <v>601</v>
      </c>
      <c r="E152" s="5" t="s">
        <v>602</v>
      </c>
      <c r="G152" s="2" t="s">
        <v>7</v>
      </c>
      <c r="H152" s="3" t="s">
        <v>1359</v>
      </c>
      <c r="I152" s="6" t="s">
        <v>838</v>
      </c>
      <c r="J152" s="5" t="s">
        <v>1360</v>
      </c>
      <c r="K152" s="4" t="s">
        <v>279</v>
      </c>
      <c r="M152" s="2" t="s">
        <v>7</v>
      </c>
      <c r="N152" s="3">
        <v>0</v>
      </c>
      <c r="O152" s="3">
        <v>0</v>
      </c>
      <c r="P152" s="3">
        <v>0</v>
      </c>
      <c r="Q152" s="3">
        <v>0</v>
      </c>
    </row>
    <row r="153" spans="1:17" x14ac:dyDescent="0.3">
      <c r="A153" s="2" t="s">
        <v>12</v>
      </c>
      <c r="B153" s="3" t="s">
        <v>261</v>
      </c>
      <c r="C153" s="6" t="s">
        <v>603</v>
      </c>
      <c r="D153" s="5" t="s">
        <v>604</v>
      </c>
      <c r="E153" s="4" t="s">
        <v>605</v>
      </c>
      <c r="G153" s="2" t="s">
        <v>12</v>
      </c>
      <c r="H153" s="3" t="s">
        <v>1300</v>
      </c>
      <c r="I153" s="6" t="s">
        <v>899</v>
      </c>
      <c r="J153" s="5" t="s">
        <v>1361</v>
      </c>
      <c r="K153" s="3" t="s">
        <v>25</v>
      </c>
      <c r="M153" s="2" t="s">
        <v>12</v>
      </c>
      <c r="N153" s="3">
        <v>0</v>
      </c>
      <c r="O153" s="3">
        <v>0</v>
      </c>
      <c r="P153" s="3">
        <v>0</v>
      </c>
      <c r="Q153" s="3">
        <v>0</v>
      </c>
    </row>
    <row r="154" spans="1:17" x14ac:dyDescent="0.3">
      <c r="A154" s="2" t="s">
        <v>17</v>
      </c>
      <c r="B154" s="48">
        <f>B152-B153</f>
        <v>3.0400000000000003E-2</v>
      </c>
      <c r="C154" s="50">
        <f>C152-C153</f>
        <v>1.5100000000000002E-2</v>
      </c>
      <c r="D154" s="4" t="s">
        <v>338</v>
      </c>
      <c r="E154" s="6" t="s">
        <v>161</v>
      </c>
      <c r="G154" s="2" t="s">
        <v>17</v>
      </c>
      <c r="H154" s="3" t="s">
        <v>116</v>
      </c>
      <c r="I154" s="6" t="s">
        <v>1362</v>
      </c>
      <c r="J154" s="5" t="s">
        <v>1254</v>
      </c>
      <c r="K154" s="4" t="s">
        <v>279</v>
      </c>
      <c r="M154" s="2" t="s">
        <v>17</v>
      </c>
      <c r="N154" s="3" t="s">
        <v>25</v>
      </c>
      <c r="O154" s="3" t="s">
        <v>25</v>
      </c>
      <c r="P154" s="3" t="s">
        <v>25</v>
      </c>
      <c r="Q154" s="3" t="s">
        <v>25</v>
      </c>
    </row>
    <row r="155" spans="1:17" x14ac:dyDescent="0.3">
      <c r="A155" s="2" t="s">
        <v>22</v>
      </c>
      <c r="B155" s="3" t="s">
        <v>606</v>
      </c>
      <c r="C155" s="3" t="s">
        <v>25</v>
      </c>
      <c r="D155" s="3" t="s">
        <v>25</v>
      </c>
      <c r="E155" s="5" t="s">
        <v>177</v>
      </c>
      <c r="G155" s="2" t="s">
        <v>22</v>
      </c>
      <c r="H155" s="3" t="s">
        <v>25</v>
      </c>
      <c r="I155" s="3" t="s">
        <v>25</v>
      </c>
      <c r="J155" s="3" t="s">
        <v>25</v>
      </c>
      <c r="K155" s="3" t="s">
        <v>25</v>
      </c>
      <c r="M155" s="2" t="s">
        <v>22</v>
      </c>
      <c r="N155" s="3" t="s">
        <v>25</v>
      </c>
      <c r="O155" s="3" t="s">
        <v>25</v>
      </c>
      <c r="P155" s="3" t="s">
        <v>25</v>
      </c>
      <c r="Q155" s="3" t="s">
        <v>25</v>
      </c>
    </row>
    <row r="156" spans="1:17" x14ac:dyDescent="0.3">
      <c r="A156" s="7" t="s">
        <v>26</v>
      </c>
      <c r="B156" s="8">
        <v>80</v>
      </c>
      <c r="C156" s="8">
        <v>32</v>
      </c>
      <c r="D156" s="8">
        <v>31</v>
      </c>
      <c r="E156" s="8">
        <v>17</v>
      </c>
      <c r="G156" s="7" t="s">
        <v>26</v>
      </c>
      <c r="H156" s="8">
        <v>159</v>
      </c>
      <c r="I156" s="8">
        <v>94</v>
      </c>
      <c r="J156" s="8">
        <v>65</v>
      </c>
      <c r="K156" s="8">
        <v>0</v>
      </c>
      <c r="M156" s="7" t="s">
        <v>26</v>
      </c>
      <c r="N156" s="8">
        <v>0</v>
      </c>
      <c r="O156" s="8">
        <v>0</v>
      </c>
      <c r="P156" s="8">
        <v>0</v>
      </c>
      <c r="Q156" s="8">
        <v>0</v>
      </c>
    </row>
    <row r="157" spans="1:17" x14ac:dyDescent="0.3">
      <c r="A157" s="9" t="s">
        <v>27</v>
      </c>
      <c r="B157" s="10">
        <v>28</v>
      </c>
      <c r="C157" s="10">
        <v>1</v>
      </c>
      <c r="D157" s="10">
        <v>24</v>
      </c>
      <c r="E157" s="10">
        <v>3</v>
      </c>
      <c r="G157" s="9" t="s">
        <v>27</v>
      </c>
      <c r="H157" s="10">
        <v>110</v>
      </c>
      <c r="I157" s="10">
        <v>62</v>
      </c>
      <c r="J157" s="10">
        <v>48</v>
      </c>
      <c r="K157" s="10">
        <v>0</v>
      </c>
      <c r="M157" s="9" t="s">
        <v>27</v>
      </c>
      <c r="N157" s="10">
        <v>0</v>
      </c>
      <c r="O157" s="10">
        <v>0</v>
      </c>
      <c r="P157" s="10">
        <v>0</v>
      </c>
      <c r="Q157" s="10">
        <v>0</v>
      </c>
    </row>
    <row r="158" spans="1:17" x14ac:dyDescent="0.3">
      <c r="A158" s="9" t="s">
        <v>28</v>
      </c>
      <c r="B158" s="10">
        <v>3</v>
      </c>
      <c r="C158" s="10">
        <v>0</v>
      </c>
      <c r="D158" s="10">
        <v>0</v>
      </c>
      <c r="E158" s="10">
        <v>3</v>
      </c>
      <c r="G158" s="9" t="s">
        <v>28</v>
      </c>
      <c r="H158" s="10">
        <v>2</v>
      </c>
      <c r="I158" s="10">
        <v>2</v>
      </c>
      <c r="J158" s="10">
        <v>0</v>
      </c>
      <c r="K158" s="10">
        <v>0</v>
      </c>
      <c r="M158" s="9" t="s">
        <v>28</v>
      </c>
      <c r="N158" s="10">
        <v>0</v>
      </c>
      <c r="O158" s="10">
        <v>0</v>
      </c>
      <c r="P158" s="10">
        <v>0</v>
      </c>
      <c r="Q158" s="10">
        <v>0</v>
      </c>
    </row>
    <row r="159" spans="1:17" x14ac:dyDescent="0.3">
      <c r="A159" s="9" t="s">
        <v>29</v>
      </c>
      <c r="B159" s="10">
        <v>32</v>
      </c>
      <c r="C159" s="10">
        <v>29</v>
      </c>
      <c r="D159" s="10">
        <v>0</v>
      </c>
      <c r="E159" s="10">
        <v>3</v>
      </c>
      <c r="G159" s="9" t="s">
        <v>29</v>
      </c>
      <c r="H159" s="10">
        <v>4</v>
      </c>
      <c r="I159" s="10">
        <v>4</v>
      </c>
      <c r="J159" s="10">
        <v>0</v>
      </c>
      <c r="K159" s="10">
        <v>0</v>
      </c>
      <c r="M159" s="9" t="s">
        <v>29</v>
      </c>
      <c r="N159" s="10">
        <v>0</v>
      </c>
      <c r="O159" s="10">
        <v>0</v>
      </c>
      <c r="P159" s="10">
        <v>0</v>
      </c>
      <c r="Q159" s="10">
        <v>0</v>
      </c>
    </row>
    <row r="160" spans="1:17" x14ac:dyDescent="0.3">
      <c r="A160" s="9" t="s">
        <v>30</v>
      </c>
      <c r="B160" s="10">
        <v>17</v>
      </c>
      <c r="C160" s="10">
        <v>2</v>
      </c>
      <c r="D160" s="10">
        <v>7</v>
      </c>
      <c r="E160" s="10">
        <v>8</v>
      </c>
      <c r="G160" s="9" t="s">
        <v>30</v>
      </c>
      <c r="H160" s="10">
        <v>43</v>
      </c>
      <c r="I160" s="10">
        <v>26</v>
      </c>
      <c r="J160" s="10">
        <v>17</v>
      </c>
      <c r="K160" s="10">
        <v>0</v>
      </c>
      <c r="M160" s="9" t="s">
        <v>30</v>
      </c>
      <c r="N160" s="10">
        <v>0</v>
      </c>
      <c r="O160" s="10">
        <v>0</v>
      </c>
      <c r="P160" s="10">
        <v>0</v>
      </c>
      <c r="Q160" s="10">
        <v>0</v>
      </c>
    </row>
    <row r="161" spans="1:17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G161" s="9" t="s">
        <v>31</v>
      </c>
      <c r="H161" s="10">
        <v>0</v>
      </c>
      <c r="I161" s="10">
        <v>0</v>
      </c>
      <c r="J161" s="10">
        <v>0</v>
      </c>
      <c r="K161" s="10">
        <v>0</v>
      </c>
      <c r="M161" s="9" t="s">
        <v>31</v>
      </c>
      <c r="N161" s="10">
        <v>0</v>
      </c>
      <c r="O161" s="10">
        <v>0</v>
      </c>
      <c r="P161" s="10">
        <v>0</v>
      </c>
      <c r="Q161" s="10">
        <v>0</v>
      </c>
    </row>
    <row r="162" spans="1:17" x14ac:dyDescent="0.3">
      <c r="A162" s="11" t="s">
        <v>32</v>
      </c>
      <c r="B162" s="12">
        <v>48</v>
      </c>
      <c r="C162" s="12">
        <v>8</v>
      </c>
      <c r="D162" s="12">
        <v>9</v>
      </c>
      <c r="E162" s="12">
        <v>31</v>
      </c>
      <c r="G162" s="11" t="s">
        <v>32</v>
      </c>
      <c r="H162" s="12">
        <v>39</v>
      </c>
      <c r="I162" s="12">
        <v>15</v>
      </c>
      <c r="J162" s="12">
        <v>16</v>
      </c>
      <c r="K162" s="12">
        <v>8</v>
      </c>
      <c r="M162" s="11" t="s">
        <v>32</v>
      </c>
      <c r="N162" s="12">
        <v>0</v>
      </c>
      <c r="O162" s="12">
        <v>0</v>
      </c>
      <c r="P162" s="12">
        <v>0</v>
      </c>
      <c r="Q162" s="12">
        <v>0</v>
      </c>
    </row>
    <row r="163" spans="1:17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G163" s="13" t="s">
        <v>33</v>
      </c>
      <c r="H163" s="14">
        <v>0</v>
      </c>
      <c r="I163" s="14">
        <v>0</v>
      </c>
      <c r="J163" s="14">
        <v>0</v>
      </c>
      <c r="K163" s="14">
        <v>0</v>
      </c>
      <c r="M163" s="13" t="s">
        <v>33</v>
      </c>
      <c r="N163" s="14">
        <v>0</v>
      </c>
      <c r="O163" s="14">
        <v>0</v>
      </c>
      <c r="P163" s="14">
        <v>0</v>
      </c>
      <c r="Q163" s="14">
        <v>0</v>
      </c>
    </row>
    <row r="164" spans="1:17" x14ac:dyDescent="0.3">
      <c r="A164" s="13" t="s">
        <v>34</v>
      </c>
      <c r="B164" s="14">
        <v>48</v>
      </c>
      <c r="C164" s="14">
        <v>8</v>
      </c>
      <c r="D164" s="14">
        <v>9</v>
      </c>
      <c r="E164" s="14">
        <v>31</v>
      </c>
      <c r="G164" s="13" t="s">
        <v>34</v>
      </c>
      <c r="H164" s="14">
        <v>39</v>
      </c>
      <c r="I164" s="14">
        <v>15</v>
      </c>
      <c r="J164" s="14">
        <v>16</v>
      </c>
      <c r="K164" s="14">
        <v>8</v>
      </c>
      <c r="M164" s="13" t="s">
        <v>34</v>
      </c>
      <c r="N164" s="14">
        <v>0</v>
      </c>
      <c r="O164" s="14">
        <v>0</v>
      </c>
      <c r="P164" s="14">
        <v>0</v>
      </c>
      <c r="Q164" s="14">
        <v>0</v>
      </c>
    </row>
    <row r="165" spans="1:17" x14ac:dyDescent="0.3">
      <c r="A165" s="15" t="s">
        <v>35</v>
      </c>
      <c r="B165" s="16">
        <v>27</v>
      </c>
      <c r="C165" s="16">
        <v>0</v>
      </c>
      <c r="D165" s="16">
        <v>0</v>
      </c>
      <c r="E165" s="16">
        <v>27</v>
      </c>
      <c r="G165" s="15" t="s">
        <v>35</v>
      </c>
      <c r="H165" s="16">
        <v>0</v>
      </c>
      <c r="I165" s="16">
        <v>0</v>
      </c>
      <c r="J165" s="16">
        <v>0</v>
      </c>
      <c r="K165" s="16">
        <v>0</v>
      </c>
      <c r="M165" s="15" t="s">
        <v>35</v>
      </c>
      <c r="N165" s="16">
        <v>0</v>
      </c>
      <c r="O165" s="16">
        <v>0</v>
      </c>
      <c r="P165" s="16">
        <v>0</v>
      </c>
      <c r="Q165" s="16">
        <v>0</v>
      </c>
    </row>
    <row r="166" spans="1:17" x14ac:dyDescent="0.3">
      <c r="A166" s="17" t="s">
        <v>36</v>
      </c>
      <c r="B166" s="18">
        <v>27</v>
      </c>
      <c r="C166" s="18">
        <v>0</v>
      </c>
      <c r="D166" s="18">
        <v>0</v>
      </c>
      <c r="E166" s="18">
        <v>27</v>
      </c>
      <c r="G166" s="17" t="s">
        <v>36</v>
      </c>
      <c r="H166" s="78">
        <v>0</v>
      </c>
      <c r="I166" s="78">
        <v>0</v>
      </c>
      <c r="J166" s="78">
        <v>0</v>
      </c>
      <c r="K166" s="78">
        <v>0</v>
      </c>
      <c r="M166" s="17" t="s">
        <v>36</v>
      </c>
      <c r="N166" s="112">
        <v>0</v>
      </c>
      <c r="O166" s="112">
        <v>0</v>
      </c>
      <c r="P166" s="112">
        <v>0</v>
      </c>
      <c r="Q166" s="112">
        <v>0</v>
      </c>
    </row>
    <row r="167" spans="1:17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G167" s="17" t="s">
        <v>37</v>
      </c>
      <c r="H167" s="78">
        <v>0</v>
      </c>
      <c r="I167" s="78">
        <v>0</v>
      </c>
      <c r="J167" s="78">
        <v>0</v>
      </c>
      <c r="K167" s="78">
        <v>0</v>
      </c>
      <c r="M167" s="17" t="s">
        <v>37</v>
      </c>
      <c r="N167" s="112">
        <v>0</v>
      </c>
      <c r="O167" s="112">
        <v>0</v>
      </c>
      <c r="P167" s="112">
        <v>0</v>
      </c>
      <c r="Q167" s="112">
        <v>0</v>
      </c>
    </row>
    <row r="168" spans="1:17" x14ac:dyDescent="0.3">
      <c r="A168" s="17" t="s">
        <v>38</v>
      </c>
      <c r="B168" s="167" t="s">
        <v>339</v>
      </c>
      <c r="C168" s="168"/>
      <c r="D168" s="168"/>
      <c r="E168" s="168"/>
      <c r="G168" s="17" t="s">
        <v>38</v>
      </c>
      <c r="H168" s="167" t="s">
        <v>339</v>
      </c>
      <c r="I168" s="168"/>
      <c r="J168" s="168"/>
      <c r="K168" s="168"/>
      <c r="M168" s="17" t="s">
        <v>38</v>
      </c>
      <c r="N168" s="131"/>
      <c r="O168" s="132"/>
      <c r="P168" s="132"/>
      <c r="Q168" s="132"/>
    </row>
    <row r="169" spans="1:17" ht="19.8" x14ac:dyDescent="0.3">
      <c r="A169" s="170">
        <v>46098</v>
      </c>
      <c r="B169" s="168"/>
      <c r="C169" s="168"/>
      <c r="D169" s="168"/>
      <c r="E169" s="168"/>
      <c r="G169" s="170">
        <v>46122</v>
      </c>
      <c r="H169" s="168"/>
      <c r="I169" s="168"/>
      <c r="J169" s="168"/>
      <c r="K169" s="168"/>
      <c r="M169" s="170">
        <v>46154</v>
      </c>
      <c r="N169" s="168"/>
      <c r="O169" s="168"/>
      <c r="P169" s="168"/>
      <c r="Q169" s="168"/>
    </row>
    <row r="170" spans="1:17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G170" s="1" t="s">
        <v>0</v>
      </c>
      <c r="H170" s="1" t="s">
        <v>1</v>
      </c>
      <c r="I170" s="1" t="s">
        <v>2</v>
      </c>
      <c r="J170" s="1" t="s">
        <v>3</v>
      </c>
      <c r="K170" s="1" t="s">
        <v>40</v>
      </c>
      <c r="M170" s="1" t="s">
        <v>0</v>
      </c>
      <c r="N170" s="1" t="s">
        <v>1</v>
      </c>
      <c r="O170" s="1" t="s">
        <v>2</v>
      </c>
      <c r="P170" s="1" t="s">
        <v>3</v>
      </c>
      <c r="Q170" s="1" t="s">
        <v>40</v>
      </c>
    </row>
    <row r="171" spans="1:17" x14ac:dyDescent="0.3">
      <c r="A171" s="2" t="s">
        <v>5</v>
      </c>
      <c r="B171" s="3">
        <v>1745</v>
      </c>
      <c r="C171" s="3">
        <v>829</v>
      </c>
      <c r="D171" s="3">
        <v>897</v>
      </c>
      <c r="E171" s="3">
        <v>19</v>
      </c>
      <c r="G171" s="2" t="s">
        <v>5</v>
      </c>
      <c r="H171" s="3">
        <v>1742</v>
      </c>
      <c r="I171" s="3">
        <v>731</v>
      </c>
      <c r="J171" s="3">
        <v>575</v>
      </c>
      <c r="K171" s="3">
        <v>436</v>
      </c>
      <c r="M171" s="2" t="s">
        <v>5</v>
      </c>
      <c r="N171" s="3">
        <v>3842</v>
      </c>
      <c r="O171" s="3">
        <v>1524</v>
      </c>
      <c r="P171" s="3">
        <v>1337</v>
      </c>
      <c r="Q171" s="3">
        <v>981</v>
      </c>
    </row>
    <row r="172" spans="1:17" x14ac:dyDescent="0.3">
      <c r="A172" s="2" t="s">
        <v>6</v>
      </c>
      <c r="B172" s="3">
        <v>268</v>
      </c>
      <c r="C172" s="6">
        <v>90</v>
      </c>
      <c r="D172" s="5">
        <v>159</v>
      </c>
      <c r="E172" s="4">
        <v>19</v>
      </c>
      <c r="G172" s="2" t="s">
        <v>6</v>
      </c>
      <c r="H172" s="3">
        <v>208</v>
      </c>
      <c r="I172" s="5">
        <v>106</v>
      </c>
      <c r="J172" s="6">
        <v>87</v>
      </c>
      <c r="K172" s="4">
        <v>15</v>
      </c>
      <c r="M172" s="2" t="s">
        <v>6</v>
      </c>
      <c r="N172" s="3">
        <v>478</v>
      </c>
      <c r="O172" s="5">
        <v>228</v>
      </c>
      <c r="P172" s="4">
        <v>117</v>
      </c>
      <c r="Q172" s="6">
        <v>133</v>
      </c>
    </row>
    <row r="173" spans="1:17" x14ac:dyDescent="0.3">
      <c r="A173" s="2" t="s">
        <v>7</v>
      </c>
      <c r="B173" s="3" t="s">
        <v>672</v>
      </c>
      <c r="C173" s="4" t="s">
        <v>673</v>
      </c>
      <c r="D173" s="6" t="s">
        <v>674</v>
      </c>
      <c r="E173" s="5" t="s">
        <v>48</v>
      </c>
      <c r="G173" s="2" t="s">
        <v>7</v>
      </c>
      <c r="H173" s="3" t="s">
        <v>1378</v>
      </c>
      <c r="I173" s="6" t="s">
        <v>1331</v>
      </c>
      <c r="J173" s="5" t="s">
        <v>1379</v>
      </c>
      <c r="K173" s="4" t="s">
        <v>890</v>
      </c>
      <c r="M173" s="2" t="s">
        <v>7</v>
      </c>
      <c r="N173" s="3" t="s">
        <v>995</v>
      </c>
      <c r="O173" s="5" t="s">
        <v>1866</v>
      </c>
      <c r="P173" s="4" t="s">
        <v>1439</v>
      </c>
      <c r="Q173" s="6" t="s">
        <v>1867</v>
      </c>
    </row>
    <row r="174" spans="1:17" x14ac:dyDescent="0.3">
      <c r="A174" s="2" t="s">
        <v>12</v>
      </c>
      <c r="B174" s="3" t="s">
        <v>675</v>
      </c>
      <c r="C174" s="6" t="s">
        <v>564</v>
      </c>
      <c r="D174" s="5" t="s">
        <v>676</v>
      </c>
      <c r="E174" s="3" t="s">
        <v>25</v>
      </c>
      <c r="G174" s="2" t="s">
        <v>12</v>
      </c>
      <c r="H174" s="3" t="s">
        <v>728</v>
      </c>
      <c r="I174" s="6" t="s">
        <v>731</v>
      </c>
      <c r="J174" s="5" t="s">
        <v>1380</v>
      </c>
      <c r="K174" s="3" t="s">
        <v>25</v>
      </c>
      <c r="M174" s="2" t="s">
        <v>12</v>
      </c>
      <c r="N174" s="3" t="s">
        <v>1868</v>
      </c>
      <c r="O174" s="5" t="s">
        <v>719</v>
      </c>
      <c r="P174" s="4" t="s">
        <v>1466</v>
      </c>
      <c r="Q174" s="6" t="s">
        <v>898</v>
      </c>
    </row>
    <row r="175" spans="1:17" x14ac:dyDescent="0.3">
      <c r="A175" s="2" t="s">
        <v>17</v>
      </c>
      <c r="B175" s="3" t="s">
        <v>413</v>
      </c>
      <c r="C175" s="6" t="s">
        <v>677</v>
      </c>
      <c r="D175" s="4" t="s">
        <v>678</v>
      </c>
      <c r="E175" s="5" t="s">
        <v>48</v>
      </c>
      <c r="G175" s="2" t="s">
        <v>17</v>
      </c>
      <c r="H175" s="3" t="s">
        <v>54</v>
      </c>
      <c r="I175" s="6" t="s">
        <v>390</v>
      </c>
      <c r="J175" s="4" t="s">
        <v>1381</v>
      </c>
      <c r="K175" s="5" t="s">
        <v>890</v>
      </c>
      <c r="M175" s="2" t="s">
        <v>17</v>
      </c>
      <c r="N175" s="3" t="s">
        <v>510</v>
      </c>
      <c r="O175" s="6" t="s">
        <v>830</v>
      </c>
      <c r="P175" s="4" t="s">
        <v>1296</v>
      </c>
      <c r="Q175" s="5" t="s">
        <v>450</v>
      </c>
    </row>
    <row r="176" spans="1:17" x14ac:dyDescent="0.3">
      <c r="A176" s="2" t="s">
        <v>22</v>
      </c>
      <c r="B176" s="3" t="s">
        <v>365</v>
      </c>
      <c r="C176" s="3" t="s">
        <v>25</v>
      </c>
      <c r="D176" s="3" t="s">
        <v>25</v>
      </c>
      <c r="E176" s="5" t="s">
        <v>48</v>
      </c>
      <c r="G176" s="2" t="s">
        <v>22</v>
      </c>
      <c r="H176" s="3" t="s">
        <v>268</v>
      </c>
      <c r="I176" s="3" t="s">
        <v>25</v>
      </c>
      <c r="J176" s="5" t="s">
        <v>108</v>
      </c>
      <c r="K176" s="3" t="s">
        <v>25</v>
      </c>
      <c r="M176" s="2" t="s">
        <v>22</v>
      </c>
      <c r="N176" s="3" t="s">
        <v>309</v>
      </c>
      <c r="O176" s="4" t="s">
        <v>138</v>
      </c>
      <c r="P176" s="6" t="s">
        <v>138</v>
      </c>
      <c r="Q176" s="5" t="s">
        <v>81</v>
      </c>
    </row>
    <row r="177" spans="1:17" x14ac:dyDescent="0.3">
      <c r="A177" s="7" t="s">
        <v>26</v>
      </c>
      <c r="B177" s="8">
        <v>196</v>
      </c>
      <c r="C177" s="8">
        <v>59</v>
      </c>
      <c r="D177" s="8">
        <v>137</v>
      </c>
      <c r="E177" s="8">
        <v>0</v>
      </c>
      <c r="G177" s="7" t="s">
        <v>26</v>
      </c>
      <c r="H177" s="8">
        <v>155</v>
      </c>
      <c r="I177" s="8">
        <v>85</v>
      </c>
      <c r="J177" s="8">
        <v>70</v>
      </c>
      <c r="K177" s="8">
        <v>0</v>
      </c>
      <c r="M177" s="7" t="s">
        <v>26</v>
      </c>
      <c r="N177" s="8">
        <v>419</v>
      </c>
      <c r="O177" s="8">
        <v>206</v>
      </c>
      <c r="P177" s="8">
        <v>98</v>
      </c>
      <c r="Q177" s="8">
        <v>115</v>
      </c>
    </row>
    <row r="178" spans="1:17" x14ac:dyDescent="0.3">
      <c r="A178" s="9" t="s">
        <v>27</v>
      </c>
      <c r="B178" s="10">
        <v>75</v>
      </c>
      <c r="C178" s="10">
        <v>13</v>
      </c>
      <c r="D178" s="10">
        <v>62</v>
      </c>
      <c r="E178" s="10">
        <v>0</v>
      </c>
      <c r="G178" s="9" t="s">
        <v>27</v>
      </c>
      <c r="H178" s="10">
        <v>95</v>
      </c>
      <c r="I178" s="10">
        <v>49</v>
      </c>
      <c r="J178" s="10">
        <v>46</v>
      </c>
      <c r="K178" s="10">
        <v>0</v>
      </c>
      <c r="M178" s="9" t="s">
        <v>27</v>
      </c>
      <c r="N178" s="10">
        <v>267</v>
      </c>
      <c r="O178" s="10">
        <v>115</v>
      </c>
      <c r="P178" s="10">
        <v>77</v>
      </c>
      <c r="Q178" s="10">
        <v>75</v>
      </c>
    </row>
    <row r="179" spans="1:17" x14ac:dyDescent="0.3">
      <c r="A179" s="9" t="s">
        <v>28</v>
      </c>
      <c r="B179" s="10">
        <v>1</v>
      </c>
      <c r="C179" s="10">
        <v>1</v>
      </c>
      <c r="D179" s="10">
        <v>0</v>
      </c>
      <c r="E179" s="10">
        <v>0</v>
      </c>
      <c r="G179" s="9" t="s">
        <v>28</v>
      </c>
      <c r="H179" s="10">
        <v>0</v>
      </c>
      <c r="I179" s="10">
        <v>0</v>
      </c>
      <c r="J179" s="10">
        <v>0</v>
      </c>
      <c r="K179" s="10">
        <v>0</v>
      </c>
      <c r="M179" s="9" t="s">
        <v>28</v>
      </c>
      <c r="N179" s="10">
        <v>7</v>
      </c>
      <c r="O179" s="10">
        <v>2</v>
      </c>
      <c r="P179" s="10">
        <v>1</v>
      </c>
      <c r="Q179" s="10">
        <v>4</v>
      </c>
    </row>
    <row r="180" spans="1:17" x14ac:dyDescent="0.3">
      <c r="A180" s="9" t="s">
        <v>29</v>
      </c>
      <c r="B180" s="10">
        <v>38</v>
      </c>
      <c r="C180" s="10">
        <v>38</v>
      </c>
      <c r="D180" s="10">
        <v>0</v>
      </c>
      <c r="E180" s="10">
        <v>0</v>
      </c>
      <c r="G180" s="9" t="s">
        <v>29</v>
      </c>
      <c r="H180" s="10">
        <v>7</v>
      </c>
      <c r="I180" s="10">
        <v>7</v>
      </c>
      <c r="J180" s="10">
        <v>0</v>
      </c>
      <c r="K180" s="10">
        <v>0</v>
      </c>
      <c r="M180" s="9" t="s">
        <v>29</v>
      </c>
      <c r="N180" s="10">
        <v>45</v>
      </c>
      <c r="O180" s="10">
        <v>45</v>
      </c>
      <c r="P180" s="10">
        <v>0</v>
      </c>
      <c r="Q180" s="10">
        <v>0</v>
      </c>
    </row>
    <row r="181" spans="1:17" x14ac:dyDescent="0.3">
      <c r="A181" s="9" t="s">
        <v>30</v>
      </c>
      <c r="B181" s="10">
        <v>82</v>
      </c>
      <c r="C181" s="10">
        <v>7</v>
      </c>
      <c r="D181" s="10">
        <v>75</v>
      </c>
      <c r="E181" s="10">
        <v>0</v>
      </c>
      <c r="G181" s="9" t="s">
        <v>30</v>
      </c>
      <c r="H181" s="10">
        <v>53</v>
      </c>
      <c r="I181" s="10">
        <v>29</v>
      </c>
      <c r="J181" s="10">
        <v>24</v>
      </c>
      <c r="K181" s="10">
        <v>0</v>
      </c>
      <c r="M181" s="9" t="s">
        <v>30</v>
      </c>
      <c r="N181" s="10">
        <v>100</v>
      </c>
      <c r="O181" s="10">
        <v>44</v>
      </c>
      <c r="P181" s="10">
        <v>20</v>
      </c>
      <c r="Q181" s="10">
        <v>36</v>
      </c>
    </row>
    <row r="182" spans="1:17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G182" s="9" t="s">
        <v>31</v>
      </c>
      <c r="H182" s="10">
        <v>0</v>
      </c>
      <c r="I182" s="10">
        <v>0</v>
      </c>
      <c r="J182" s="10">
        <v>0</v>
      </c>
      <c r="K182" s="10">
        <v>0</v>
      </c>
      <c r="M182" s="9" t="s">
        <v>31</v>
      </c>
      <c r="N182" s="10">
        <v>0</v>
      </c>
      <c r="O182" s="10">
        <v>0</v>
      </c>
      <c r="P182" s="10">
        <v>0</v>
      </c>
      <c r="Q182" s="10">
        <v>0</v>
      </c>
    </row>
    <row r="183" spans="1:17" x14ac:dyDescent="0.3">
      <c r="A183" s="11" t="s">
        <v>32</v>
      </c>
      <c r="B183" s="12">
        <v>89</v>
      </c>
      <c r="C183" s="12">
        <v>38</v>
      </c>
      <c r="D183" s="12">
        <v>32</v>
      </c>
      <c r="E183" s="12">
        <v>19</v>
      </c>
      <c r="G183" s="11" t="s">
        <v>32</v>
      </c>
      <c r="H183" s="12">
        <v>52</v>
      </c>
      <c r="I183" s="12">
        <v>21</v>
      </c>
      <c r="J183" s="12">
        <v>16</v>
      </c>
      <c r="K183" s="12">
        <v>15</v>
      </c>
      <c r="M183" s="11" t="s">
        <v>32</v>
      </c>
      <c r="N183" s="12">
        <v>59</v>
      </c>
      <c r="O183" s="12">
        <v>22</v>
      </c>
      <c r="P183" s="12">
        <v>19</v>
      </c>
      <c r="Q183" s="12">
        <v>18</v>
      </c>
    </row>
    <row r="184" spans="1:17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G184" s="13" t="s">
        <v>33</v>
      </c>
      <c r="H184" s="14">
        <v>0</v>
      </c>
      <c r="I184" s="14">
        <v>0</v>
      </c>
      <c r="J184" s="14">
        <v>0</v>
      </c>
      <c r="K184" s="14">
        <v>0</v>
      </c>
      <c r="M184" s="13" t="s">
        <v>33</v>
      </c>
      <c r="N184" s="14">
        <v>0</v>
      </c>
      <c r="O184" s="14">
        <v>0</v>
      </c>
      <c r="P184" s="14">
        <v>0</v>
      </c>
      <c r="Q184" s="14">
        <v>0</v>
      </c>
    </row>
    <row r="185" spans="1:17" x14ac:dyDescent="0.3">
      <c r="A185" s="13" t="s">
        <v>34</v>
      </c>
      <c r="B185" s="14">
        <v>89</v>
      </c>
      <c r="C185" s="14">
        <v>38</v>
      </c>
      <c r="D185" s="14">
        <v>32</v>
      </c>
      <c r="E185" s="14">
        <v>19</v>
      </c>
      <c r="G185" s="13" t="s">
        <v>34</v>
      </c>
      <c r="H185" s="14">
        <v>52</v>
      </c>
      <c r="I185" s="14">
        <v>21</v>
      </c>
      <c r="J185" s="14">
        <v>16</v>
      </c>
      <c r="K185" s="14">
        <v>15</v>
      </c>
      <c r="M185" s="13" t="s">
        <v>34</v>
      </c>
      <c r="N185" s="14">
        <v>59</v>
      </c>
      <c r="O185" s="14">
        <v>22</v>
      </c>
      <c r="P185" s="14">
        <v>19</v>
      </c>
      <c r="Q185" s="14">
        <v>18</v>
      </c>
    </row>
    <row r="186" spans="1:17" x14ac:dyDescent="0.3">
      <c r="A186" s="15" t="s">
        <v>35</v>
      </c>
      <c r="B186" s="16">
        <v>19</v>
      </c>
      <c r="C186" s="16">
        <v>0</v>
      </c>
      <c r="D186" s="16">
        <v>0</v>
      </c>
      <c r="E186" s="16">
        <v>19</v>
      </c>
      <c r="G186" s="15" t="s">
        <v>35</v>
      </c>
      <c r="H186" s="16">
        <v>1</v>
      </c>
      <c r="I186" s="16">
        <v>0</v>
      </c>
      <c r="J186" s="16">
        <v>1</v>
      </c>
      <c r="K186" s="16">
        <v>0</v>
      </c>
      <c r="M186" s="15" t="s">
        <v>35</v>
      </c>
      <c r="N186" s="16">
        <v>3</v>
      </c>
      <c r="O186" s="16">
        <v>1</v>
      </c>
      <c r="P186" s="16">
        <v>1</v>
      </c>
      <c r="Q186" s="16">
        <v>1</v>
      </c>
    </row>
    <row r="187" spans="1:17" x14ac:dyDescent="0.3">
      <c r="A187" s="17" t="s">
        <v>36</v>
      </c>
      <c r="B187" s="18">
        <v>19</v>
      </c>
      <c r="C187" s="18">
        <v>0</v>
      </c>
      <c r="D187" s="18">
        <v>0</v>
      </c>
      <c r="E187" s="18">
        <v>19</v>
      </c>
      <c r="G187" s="17" t="s">
        <v>36</v>
      </c>
      <c r="H187" s="78">
        <v>0</v>
      </c>
      <c r="I187" s="78">
        <v>0</v>
      </c>
      <c r="J187" s="78">
        <v>0</v>
      </c>
      <c r="K187" s="78">
        <v>0</v>
      </c>
      <c r="M187" s="17" t="s">
        <v>36</v>
      </c>
      <c r="N187" s="112">
        <v>3</v>
      </c>
      <c r="O187" s="112">
        <v>1</v>
      </c>
      <c r="P187" s="112">
        <v>1</v>
      </c>
      <c r="Q187" s="112">
        <v>1</v>
      </c>
    </row>
    <row r="188" spans="1:17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G188" s="17" t="s">
        <v>37</v>
      </c>
      <c r="H188" s="78">
        <v>1</v>
      </c>
      <c r="I188" s="78">
        <v>0</v>
      </c>
      <c r="J188" s="78">
        <v>1</v>
      </c>
      <c r="K188" s="78">
        <v>0</v>
      </c>
      <c r="M188" s="17" t="s">
        <v>37</v>
      </c>
      <c r="N188" s="112">
        <v>3</v>
      </c>
      <c r="O188" s="112">
        <v>1</v>
      </c>
      <c r="P188" s="112">
        <v>1</v>
      </c>
      <c r="Q188" s="112">
        <v>1</v>
      </c>
    </row>
    <row r="189" spans="1:17" x14ac:dyDescent="0.3">
      <c r="A189" s="17" t="s">
        <v>38</v>
      </c>
      <c r="B189" s="167" t="s">
        <v>339</v>
      </c>
      <c r="C189" s="168"/>
      <c r="D189" s="168"/>
      <c r="E189" s="168"/>
      <c r="G189" s="17" t="s">
        <v>38</v>
      </c>
      <c r="H189" s="167" t="s">
        <v>339</v>
      </c>
      <c r="I189" s="168"/>
      <c r="J189" s="168"/>
      <c r="K189" s="168"/>
      <c r="M189" s="17" t="s">
        <v>38</v>
      </c>
      <c r="N189" s="167" t="s">
        <v>339</v>
      </c>
      <c r="O189" s="168"/>
      <c r="P189" s="168"/>
      <c r="Q189" s="168"/>
    </row>
    <row r="190" spans="1:17" ht="19.8" x14ac:dyDescent="0.3">
      <c r="A190" s="170">
        <v>46099</v>
      </c>
      <c r="B190" s="168"/>
      <c r="C190" s="168"/>
      <c r="D190" s="168"/>
      <c r="E190" s="168"/>
      <c r="G190" s="170">
        <v>46123</v>
      </c>
      <c r="H190" s="168"/>
      <c r="I190" s="168"/>
      <c r="J190" s="168"/>
      <c r="K190" s="168"/>
      <c r="M190" s="171">
        <v>46155</v>
      </c>
      <c r="N190" s="174"/>
      <c r="O190" s="174"/>
      <c r="P190" s="174"/>
      <c r="Q190" s="174"/>
    </row>
    <row r="191" spans="1:17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G191" s="1" t="s">
        <v>0</v>
      </c>
      <c r="H191" s="1" t="s">
        <v>1</v>
      </c>
      <c r="I191" s="1" t="s">
        <v>2</v>
      </c>
      <c r="J191" s="1" t="s">
        <v>3</v>
      </c>
      <c r="K191" s="1" t="s">
        <v>40</v>
      </c>
      <c r="M191" s="1" t="s">
        <v>0</v>
      </c>
      <c r="N191" s="1" t="s">
        <v>1</v>
      </c>
      <c r="O191" s="1" t="s">
        <v>2</v>
      </c>
      <c r="P191" s="1" t="s">
        <v>3</v>
      </c>
      <c r="Q191" s="1" t="s">
        <v>40</v>
      </c>
    </row>
    <row r="192" spans="1:17" x14ac:dyDescent="0.3">
      <c r="A192" s="2" t="s">
        <v>5</v>
      </c>
      <c r="B192" s="3">
        <v>1198</v>
      </c>
      <c r="C192" s="3">
        <v>487</v>
      </c>
      <c r="D192" s="3">
        <v>413</v>
      </c>
      <c r="E192" s="3">
        <v>298</v>
      </c>
      <c r="G192" s="2" t="s">
        <v>5</v>
      </c>
      <c r="H192" s="3">
        <v>1303</v>
      </c>
      <c r="I192" s="3">
        <v>527</v>
      </c>
      <c r="J192" s="3">
        <v>424</v>
      </c>
      <c r="K192" s="3">
        <v>352</v>
      </c>
      <c r="M192" s="2" t="s">
        <v>5</v>
      </c>
      <c r="N192" s="3">
        <v>3487</v>
      </c>
      <c r="O192" s="3">
        <v>1374</v>
      </c>
      <c r="P192" s="3">
        <v>1203</v>
      </c>
      <c r="Q192" s="3">
        <v>910</v>
      </c>
    </row>
    <row r="193" spans="1:17" x14ac:dyDescent="0.3">
      <c r="A193" s="2" t="s">
        <v>6</v>
      </c>
      <c r="B193" s="3">
        <v>142</v>
      </c>
      <c r="C193" s="5">
        <v>60</v>
      </c>
      <c r="D193" s="6">
        <v>54</v>
      </c>
      <c r="E193" s="4">
        <v>28</v>
      </c>
      <c r="G193" s="2" t="s">
        <v>6</v>
      </c>
      <c r="H193" s="3">
        <v>207</v>
      </c>
      <c r="I193" s="6">
        <v>98</v>
      </c>
      <c r="J193" s="5">
        <v>101</v>
      </c>
      <c r="K193" s="4">
        <v>8</v>
      </c>
      <c r="M193" s="2" t="s">
        <v>6</v>
      </c>
      <c r="N193" s="3">
        <v>322</v>
      </c>
      <c r="O193" s="5">
        <v>149</v>
      </c>
      <c r="P193" s="4">
        <v>85</v>
      </c>
      <c r="Q193" s="6">
        <v>88</v>
      </c>
    </row>
    <row r="194" spans="1:17" x14ac:dyDescent="0.3">
      <c r="A194" s="2" t="s">
        <v>7</v>
      </c>
      <c r="B194" s="3" t="s">
        <v>687</v>
      </c>
      <c r="C194" s="6" t="s">
        <v>688</v>
      </c>
      <c r="D194" s="5" t="s">
        <v>689</v>
      </c>
      <c r="E194" s="4" t="s">
        <v>222</v>
      </c>
      <c r="G194" s="2" t="s">
        <v>7</v>
      </c>
      <c r="H194" s="3" t="s">
        <v>1393</v>
      </c>
      <c r="I194" s="6" t="s">
        <v>1394</v>
      </c>
      <c r="J194" s="5" t="s">
        <v>1395</v>
      </c>
      <c r="K194" s="4" t="s">
        <v>1396</v>
      </c>
      <c r="M194" s="2" t="s">
        <v>7</v>
      </c>
      <c r="N194" s="3" t="s">
        <v>96</v>
      </c>
      <c r="O194" s="5" t="s">
        <v>1614</v>
      </c>
      <c r="P194" s="4" t="s">
        <v>295</v>
      </c>
      <c r="Q194" s="6" t="s">
        <v>1212</v>
      </c>
    </row>
    <row r="195" spans="1:17" x14ac:dyDescent="0.3">
      <c r="A195" s="2" t="s">
        <v>12</v>
      </c>
      <c r="B195" s="3" t="s">
        <v>690</v>
      </c>
      <c r="C195" s="6" t="s">
        <v>543</v>
      </c>
      <c r="D195" s="5" t="s">
        <v>691</v>
      </c>
      <c r="E195" s="4" t="s">
        <v>106</v>
      </c>
      <c r="G195" s="2" t="s">
        <v>12</v>
      </c>
      <c r="H195" s="3" t="s">
        <v>1397</v>
      </c>
      <c r="I195" s="6" t="s">
        <v>1398</v>
      </c>
      <c r="J195" s="5" t="s">
        <v>1399</v>
      </c>
      <c r="K195" s="3" t="s">
        <v>25</v>
      </c>
      <c r="M195" s="2" t="s">
        <v>12</v>
      </c>
      <c r="N195" s="3" t="s">
        <v>90</v>
      </c>
      <c r="O195" s="5" t="s">
        <v>1336</v>
      </c>
      <c r="P195" s="4" t="s">
        <v>1170</v>
      </c>
      <c r="Q195" s="6" t="s">
        <v>1208</v>
      </c>
    </row>
    <row r="196" spans="1:17" x14ac:dyDescent="0.3">
      <c r="A196" s="2" t="s">
        <v>17</v>
      </c>
      <c r="B196" s="3" t="s">
        <v>570</v>
      </c>
      <c r="C196" s="4" t="s">
        <v>692</v>
      </c>
      <c r="D196" s="5" t="s">
        <v>693</v>
      </c>
      <c r="E196" s="6" t="s">
        <v>53</v>
      </c>
      <c r="G196" s="2" t="s">
        <v>17</v>
      </c>
      <c r="H196" s="3" t="s">
        <v>475</v>
      </c>
      <c r="I196" s="6" t="s">
        <v>537</v>
      </c>
      <c r="J196" s="4" t="s">
        <v>182</v>
      </c>
      <c r="K196" s="5" t="s">
        <v>1396</v>
      </c>
      <c r="M196" s="2" t="s">
        <v>17</v>
      </c>
      <c r="N196" s="3" t="s">
        <v>467</v>
      </c>
      <c r="O196" s="5" t="s">
        <v>46</v>
      </c>
      <c r="P196" s="4" t="s">
        <v>137</v>
      </c>
      <c r="Q196" s="6" t="s">
        <v>794</v>
      </c>
    </row>
    <row r="197" spans="1:17" x14ac:dyDescent="0.3">
      <c r="A197" s="2" t="s">
        <v>22</v>
      </c>
      <c r="B197" s="3" t="s">
        <v>309</v>
      </c>
      <c r="C197" s="3" t="s">
        <v>25</v>
      </c>
      <c r="D197" s="3" t="s">
        <v>25</v>
      </c>
      <c r="E197" s="5" t="s">
        <v>100</v>
      </c>
      <c r="G197" s="2" t="s">
        <v>22</v>
      </c>
      <c r="H197" s="3" t="s">
        <v>25</v>
      </c>
      <c r="I197" s="3" t="s">
        <v>25</v>
      </c>
      <c r="J197" s="3" t="s">
        <v>25</v>
      </c>
      <c r="K197" s="3" t="s">
        <v>25</v>
      </c>
      <c r="M197" s="2" t="s">
        <v>22</v>
      </c>
      <c r="N197" s="3" t="s">
        <v>25</v>
      </c>
      <c r="O197" s="3" t="s">
        <v>25</v>
      </c>
      <c r="P197" s="3" t="s">
        <v>25</v>
      </c>
      <c r="Q197" s="3" t="s">
        <v>25</v>
      </c>
    </row>
    <row r="198" spans="1:17" x14ac:dyDescent="0.3">
      <c r="A198" s="7" t="s">
        <v>26</v>
      </c>
      <c r="B198" s="8">
        <v>98</v>
      </c>
      <c r="C198" s="8">
        <v>45</v>
      </c>
      <c r="D198" s="8">
        <v>40</v>
      </c>
      <c r="E198" s="8">
        <v>13</v>
      </c>
      <c r="G198" s="7" t="s">
        <v>26</v>
      </c>
      <c r="H198" s="8">
        <v>182</v>
      </c>
      <c r="I198" s="8">
        <v>88</v>
      </c>
      <c r="J198" s="8">
        <v>94</v>
      </c>
      <c r="K198" s="8">
        <v>0</v>
      </c>
      <c r="M198" s="7" t="s">
        <v>26</v>
      </c>
      <c r="N198" s="8">
        <v>292</v>
      </c>
      <c r="O198" s="8">
        <v>135</v>
      </c>
      <c r="P198" s="8">
        <v>78</v>
      </c>
      <c r="Q198" s="8">
        <v>79</v>
      </c>
    </row>
    <row r="199" spans="1:17" x14ac:dyDescent="0.3">
      <c r="A199" s="9" t="s">
        <v>27</v>
      </c>
      <c r="B199" s="10">
        <v>26</v>
      </c>
      <c r="C199" s="10">
        <v>3</v>
      </c>
      <c r="D199" s="10">
        <v>19</v>
      </c>
      <c r="E199" s="10">
        <v>4</v>
      </c>
      <c r="G199" s="9" t="s">
        <v>27</v>
      </c>
      <c r="H199" s="10">
        <v>112</v>
      </c>
      <c r="I199" s="10">
        <v>36</v>
      </c>
      <c r="J199" s="10">
        <v>76</v>
      </c>
      <c r="K199" s="10">
        <v>0</v>
      </c>
      <c r="M199" s="9" t="s">
        <v>27</v>
      </c>
      <c r="N199" s="10">
        <v>175</v>
      </c>
      <c r="O199" s="10">
        <v>60</v>
      </c>
      <c r="P199" s="10">
        <v>60</v>
      </c>
      <c r="Q199" s="10">
        <v>55</v>
      </c>
    </row>
    <row r="200" spans="1:17" x14ac:dyDescent="0.3">
      <c r="A200" s="9" t="s">
        <v>28</v>
      </c>
      <c r="B200" s="10">
        <v>1</v>
      </c>
      <c r="C200" s="10">
        <v>0</v>
      </c>
      <c r="D200" s="10">
        <v>1</v>
      </c>
      <c r="E200" s="10">
        <v>0</v>
      </c>
      <c r="G200" s="9" t="s">
        <v>28</v>
      </c>
      <c r="H200" s="10">
        <v>3</v>
      </c>
      <c r="I200" s="10">
        <v>1</v>
      </c>
      <c r="J200" s="10">
        <v>2</v>
      </c>
      <c r="K200" s="10">
        <v>0</v>
      </c>
      <c r="M200" s="9" t="s">
        <v>28</v>
      </c>
      <c r="N200" s="10">
        <v>6</v>
      </c>
      <c r="O200" s="10">
        <v>0</v>
      </c>
      <c r="P200" s="10">
        <v>5</v>
      </c>
      <c r="Q200" s="10">
        <v>1</v>
      </c>
    </row>
    <row r="201" spans="1:17" x14ac:dyDescent="0.3">
      <c r="A201" s="9" t="s">
        <v>29</v>
      </c>
      <c r="B201" s="10">
        <v>42</v>
      </c>
      <c r="C201" s="10">
        <v>40</v>
      </c>
      <c r="D201" s="10">
        <v>0</v>
      </c>
      <c r="E201" s="10">
        <v>2</v>
      </c>
      <c r="G201" s="9" t="s">
        <v>29</v>
      </c>
      <c r="H201" s="10">
        <v>26</v>
      </c>
      <c r="I201" s="10">
        <v>26</v>
      </c>
      <c r="J201" s="10">
        <v>0</v>
      </c>
      <c r="K201" s="10">
        <v>0</v>
      </c>
      <c r="M201" s="9" t="s">
        <v>29</v>
      </c>
      <c r="N201" s="10">
        <v>46</v>
      </c>
      <c r="O201" s="10">
        <v>46</v>
      </c>
      <c r="P201" s="10">
        <v>0</v>
      </c>
      <c r="Q201" s="10">
        <v>0</v>
      </c>
    </row>
    <row r="202" spans="1:17" x14ac:dyDescent="0.3">
      <c r="A202" s="9" t="s">
        <v>30</v>
      </c>
      <c r="B202" s="10">
        <v>29</v>
      </c>
      <c r="C202" s="10">
        <v>2</v>
      </c>
      <c r="D202" s="10">
        <v>20</v>
      </c>
      <c r="E202" s="10">
        <v>7</v>
      </c>
      <c r="G202" s="9" t="s">
        <v>30</v>
      </c>
      <c r="H202" s="10">
        <v>41</v>
      </c>
      <c r="I202" s="10">
        <v>25</v>
      </c>
      <c r="J202" s="10">
        <v>16</v>
      </c>
      <c r="K202" s="10">
        <v>0</v>
      </c>
      <c r="M202" s="9" t="s">
        <v>30</v>
      </c>
      <c r="N202" s="10">
        <v>65</v>
      </c>
      <c r="O202" s="10">
        <v>29</v>
      </c>
      <c r="P202" s="10">
        <v>13</v>
      </c>
      <c r="Q202" s="10">
        <v>23</v>
      </c>
    </row>
    <row r="203" spans="1:17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G203" s="9" t="s">
        <v>31</v>
      </c>
      <c r="H203" s="10">
        <v>0</v>
      </c>
      <c r="I203" s="10">
        <v>0</v>
      </c>
      <c r="J203" s="10">
        <v>0</v>
      </c>
      <c r="K203" s="10">
        <v>0</v>
      </c>
      <c r="M203" s="9" t="s">
        <v>31</v>
      </c>
      <c r="N203" s="10">
        <v>0</v>
      </c>
      <c r="O203" s="10">
        <v>0</v>
      </c>
      <c r="P203" s="10">
        <v>0</v>
      </c>
      <c r="Q203" s="10">
        <v>0</v>
      </c>
    </row>
    <row r="204" spans="1:17" x14ac:dyDescent="0.3">
      <c r="A204" s="11" t="s">
        <v>32</v>
      </c>
      <c r="B204" s="12">
        <v>52</v>
      </c>
      <c r="C204" s="12">
        <v>16</v>
      </c>
      <c r="D204" s="12">
        <v>22</v>
      </c>
      <c r="E204" s="12">
        <v>14</v>
      </c>
      <c r="G204" s="11" t="s">
        <v>32</v>
      </c>
      <c r="H204" s="12">
        <v>25</v>
      </c>
      <c r="I204" s="12">
        <v>10</v>
      </c>
      <c r="J204" s="12">
        <v>7</v>
      </c>
      <c r="K204" s="12">
        <v>8</v>
      </c>
      <c r="M204" s="11" t="s">
        <v>32</v>
      </c>
      <c r="N204" s="12">
        <v>30</v>
      </c>
      <c r="O204" s="12">
        <v>14</v>
      </c>
      <c r="P204" s="12">
        <v>7</v>
      </c>
      <c r="Q204" s="12">
        <v>9</v>
      </c>
    </row>
    <row r="205" spans="1:17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G205" s="13" t="s">
        <v>33</v>
      </c>
      <c r="H205" s="14">
        <v>1</v>
      </c>
      <c r="I205" s="14">
        <v>1</v>
      </c>
      <c r="J205" s="14">
        <v>0</v>
      </c>
      <c r="K205" s="14">
        <v>0</v>
      </c>
      <c r="M205" s="13" t="s">
        <v>33</v>
      </c>
      <c r="N205" s="14">
        <v>0</v>
      </c>
      <c r="O205" s="14">
        <v>0</v>
      </c>
      <c r="P205" s="14">
        <v>0</v>
      </c>
      <c r="Q205" s="14">
        <v>0</v>
      </c>
    </row>
    <row r="206" spans="1:17" x14ac:dyDescent="0.3">
      <c r="A206" s="13" t="s">
        <v>34</v>
      </c>
      <c r="B206" s="14">
        <v>52</v>
      </c>
      <c r="C206" s="14">
        <v>16</v>
      </c>
      <c r="D206" s="14">
        <v>22</v>
      </c>
      <c r="E206" s="14">
        <v>14</v>
      </c>
      <c r="G206" s="13" t="s">
        <v>34</v>
      </c>
      <c r="H206" s="14">
        <v>24</v>
      </c>
      <c r="I206" s="14">
        <v>9</v>
      </c>
      <c r="J206" s="14">
        <v>7</v>
      </c>
      <c r="K206" s="14">
        <v>8</v>
      </c>
      <c r="M206" s="13" t="s">
        <v>34</v>
      </c>
      <c r="N206" s="14">
        <v>30</v>
      </c>
      <c r="O206" s="14">
        <v>14</v>
      </c>
      <c r="P206" s="14">
        <v>7</v>
      </c>
      <c r="Q206" s="14">
        <v>9</v>
      </c>
    </row>
    <row r="207" spans="1:17" x14ac:dyDescent="0.3">
      <c r="A207" s="15" t="s">
        <v>35</v>
      </c>
      <c r="B207" s="16">
        <v>1</v>
      </c>
      <c r="C207" s="16">
        <v>0</v>
      </c>
      <c r="D207" s="16">
        <v>0</v>
      </c>
      <c r="E207" s="16">
        <v>1</v>
      </c>
      <c r="G207" s="15" t="s">
        <v>35</v>
      </c>
      <c r="H207" s="16">
        <v>0</v>
      </c>
      <c r="I207" s="16">
        <v>0</v>
      </c>
      <c r="J207" s="16">
        <v>0</v>
      </c>
      <c r="K207" s="16">
        <v>0</v>
      </c>
      <c r="M207" s="15" t="s">
        <v>35</v>
      </c>
      <c r="N207" s="16">
        <v>0</v>
      </c>
      <c r="O207" s="16">
        <v>0</v>
      </c>
      <c r="P207" s="16">
        <v>0</v>
      </c>
      <c r="Q207" s="16">
        <v>0</v>
      </c>
    </row>
    <row r="208" spans="1:17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G208" s="17" t="s">
        <v>36</v>
      </c>
      <c r="H208" s="78">
        <v>0</v>
      </c>
      <c r="I208" s="78">
        <v>0</v>
      </c>
      <c r="J208" s="78">
        <v>0</v>
      </c>
      <c r="K208" s="78">
        <v>0</v>
      </c>
      <c r="M208" s="17" t="s">
        <v>36</v>
      </c>
      <c r="N208" s="112">
        <v>0</v>
      </c>
      <c r="O208" s="112">
        <v>0</v>
      </c>
      <c r="P208" s="112">
        <v>0</v>
      </c>
      <c r="Q208" s="112">
        <v>0</v>
      </c>
    </row>
    <row r="209" spans="1:17" x14ac:dyDescent="0.3">
      <c r="A209" s="17" t="s">
        <v>37</v>
      </c>
      <c r="B209" s="18">
        <v>1</v>
      </c>
      <c r="C209" s="18">
        <v>0</v>
      </c>
      <c r="D209" s="18">
        <v>0</v>
      </c>
      <c r="E209" s="18">
        <v>1</v>
      </c>
      <c r="G209" s="17" t="s">
        <v>37</v>
      </c>
      <c r="H209" s="78">
        <v>0</v>
      </c>
      <c r="I209" s="78">
        <v>0</v>
      </c>
      <c r="J209" s="78">
        <v>0</v>
      </c>
      <c r="K209" s="78">
        <v>0</v>
      </c>
      <c r="M209" s="17" t="s">
        <v>37</v>
      </c>
      <c r="N209" s="112">
        <v>0</v>
      </c>
      <c r="O209" s="112">
        <v>0</v>
      </c>
      <c r="P209" s="112">
        <v>0</v>
      </c>
      <c r="Q209" s="112">
        <v>0</v>
      </c>
    </row>
    <row r="210" spans="1:17" x14ac:dyDescent="0.3">
      <c r="A210" s="17" t="s">
        <v>38</v>
      </c>
      <c r="B210" s="167" t="s">
        <v>339</v>
      </c>
      <c r="C210" s="168"/>
      <c r="D210" s="168"/>
      <c r="E210" s="168"/>
      <c r="G210" s="17" t="s">
        <v>38</v>
      </c>
      <c r="H210" s="167" t="s">
        <v>339</v>
      </c>
      <c r="I210" s="168"/>
      <c r="J210" s="168"/>
      <c r="K210" s="168"/>
      <c r="M210" s="17" t="s">
        <v>38</v>
      </c>
      <c r="N210" s="167" t="s">
        <v>339</v>
      </c>
      <c r="O210" s="168"/>
      <c r="P210" s="168"/>
      <c r="Q210" s="168"/>
    </row>
    <row r="211" spans="1:17" ht="19.8" x14ac:dyDescent="0.3">
      <c r="A211" s="170">
        <v>46100</v>
      </c>
      <c r="B211" s="168"/>
      <c r="C211" s="168"/>
      <c r="D211" s="168"/>
      <c r="E211" s="168"/>
      <c r="G211" s="170">
        <v>46125</v>
      </c>
      <c r="H211" s="168"/>
      <c r="I211" s="168"/>
      <c r="J211" s="168"/>
      <c r="K211" s="168"/>
      <c r="M211" s="170">
        <v>46156</v>
      </c>
      <c r="N211" s="168"/>
      <c r="O211" s="168"/>
      <c r="P211" s="168"/>
      <c r="Q211" s="168"/>
    </row>
    <row r="212" spans="1:17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G212" s="1" t="s">
        <v>0</v>
      </c>
      <c r="H212" s="1" t="s">
        <v>1</v>
      </c>
      <c r="I212" s="1" t="s">
        <v>2</v>
      </c>
      <c r="J212" s="1" t="s">
        <v>3</v>
      </c>
      <c r="K212" s="1" t="s">
        <v>40</v>
      </c>
      <c r="M212" s="1" t="s">
        <v>0</v>
      </c>
      <c r="N212" s="1" t="s">
        <v>1</v>
      </c>
      <c r="O212" s="1" t="s">
        <v>2</v>
      </c>
      <c r="P212" s="1" t="s">
        <v>3</v>
      </c>
      <c r="Q212" s="1" t="s">
        <v>40</v>
      </c>
    </row>
    <row r="213" spans="1:17" x14ac:dyDescent="0.3">
      <c r="A213" s="2" t="s">
        <v>5</v>
      </c>
      <c r="B213" s="3">
        <v>1519</v>
      </c>
      <c r="C213" s="3">
        <v>618</v>
      </c>
      <c r="D213" s="3">
        <v>467</v>
      </c>
      <c r="E213" s="3">
        <v>434</v>
      </c>
      <c r="G213" s="2" t="s">
        <v>5</v>
      </c>
      <c r="H213" s="3">
        <v>2651</v>
      </c>
      <c r="I213" s="3">
        <v>1082</v>
      </c>
      <c r="J213" s="3">
        <v>934</v>
      </c>
      <c r="K213" s="3">
        <v>635</v>
      </c>
      <c r="M213" s="2" t="s">
        <v>5</v>
      </c>
      <c r="N213" s="3">
        <v>3803</v>
      </c>
      <c r="O213" s="3">
        <v>1567</v>
      </c>
      <c r="P213" s="3">
        <v>1312</v>
      </c>
      <c r="Q213" s="3">
        <v>924</v>
      </c>
    </row>
    <row r="214" spans="1:17" x14ac:dyDescent="0.3">
      <c r="A214" s="2" t="s">
        <v>6</v>
      </c>
      <c r="B214" s="3">
        <v>174</v>
      </c>
      <c r="C214" s="5">
        <v>81</v>
      </c>
      <c r="D214" s="4">
        <v>37</v>
      </c>
      <c r="E214" s="6">
        <v>56</v>
      </c>
      <c r="G214" s="2" t="s">
        <v>6</v>
      </c>
      <c r="H214" s="3">
        <v>530</v>
      </c>
      <c r="I214" s="5">
        <v>258</v>
      </c>
      <c r="J214" s="6">
        <v>211</v>
      </c>
      <c r="K214" s="4">
        <v>61</v>
      </c>
      <c r="M214" s="2" t="s">
        <v>6</v>
      </c>
      <c r="N214" s="3">
        <v>448</v>
      </c>
      <c r="O214" s="5">
        <v>230</v>
      </c>
      <c r="P214" s="6">
        <v>117</v>
      </c>
      <c r="Q214" s="4">
        <v>101</v>
      </c>
    </row>
    <row r="215" spans="1:17" x14ac:dyDescent="0.3">
      <c r="A215" s="2" t="s">
        <v>7</v>
      </c>
      <c r="B215" s="3" t="s">
        <v>725</v>
      </c>
      <c r="C215" s="5" t="s">
        <v>519</v>
      </c>
      <c r="D215" s="4" t="s">
        <v>726</v>
      </c>
      <c r="E215" s="6" t="s">
        <v>727</v>
      </c>
      <c r="G215" s="2" t="s">
        <v>7</v>
      </c>
      <c r="H215" s="3" t="s">
        <v>1434</v>
      </c>
      <c r="I215" s="5" t="s">
        <v>1435</v>
      </c>
      <c r="J215" s="6" t="s">
        <v>1436</v>
      </c>
      <c r="K215" s="4" t="s">
        <v>587</v>
      </c>
      <c r="M215" s="2" t="s">
        <v>7</v>
      </c>
      <c r="N215" s="3" t="s">
        <v>1898</v>
      </c>
      <c r="O215" s="5" t="s">
        <v>1511</v>
      </c>
      <c r="P215" s="4" t="s">
        <v>1022</v>
      </c>
      <c r="Q215" s="6" t="s">
        <v>864</v>
      </c>
    </row>
    <row r="216" spans="1:17" x14ac:dyDescent="0.3">
      <c r="A216" s="2" t="s">
        <v>12</v>
      </c>
      <c r="B216" s="3" t="s">
        <v>172</v>
      </c>
      <c r="C216" s="5" t="s">
        <v>728</v>
      </c>
      <c r="D216" s="4" t="s">
        <v>729</v>
      </c>
      <c r="E216" s="6" t="s">
        <v>446</v>
      </c>
      <c r="G216" s="2" t="s">
        <v>12</v>
      </c>
      <c r="H216" s="3" t="s">
        <v>1008</v>
      </c>
      <c r="I216" s="6" t="s">
        <v>1437</v>
      </c>
      <c r="J216" s="5" t="s">
        <v>1438</v>
      </c>
      <c r="K216" s="3" t="s">
        <v>25</v>
      </c>
      <c r="M216" s="2" t="s">
        <v>12</v>
      </c>
      <c r="N216" s="3" t="s">
        <v>98</v>
      </c>
      <c r="O216" s="5" t="s">
        <v>1008</v>
      </c>
      <c r="P216" s="4" t="s">
        <v>52</v>
      </c>
      <c r="Q216" s="6" t="s">
        <v>1158</v>
      </c>
    </row>
    <row r="217" spans="1:17" x14ac:dyDescent="0.3">
      <c r="A217" s="2" t="s">
        <v>17</v>
      </c>
      <c r="B217" s="3" t="s">
        <v>730</v>
      </c>
      <c r="C217" s="5" t="s">
        <v>629</v>
      </c>
      <c r="D217" s="6" t="s">
        <v>604</v>
      </c>
      <c r="E217" s="4" t="s">
        <v>603</v>
      </c>
      <c r="G217" s="2" t="s">
        <v>17</v>
      </c>
      <c r="H217" s="3" t="s">
        <v>1439</v>
      </c>
      <c r="I217" s="6" t="s">
        <v>1440</v>
      </c>
      <c r="J217" s="4" t="s">
        <v>1126</v>
      </c>
      <c r="K217" s="5" t="s">
        <v>1402</v>
      </c>
      <c r="M217" s="2" t="s">
        <v>17</v>
      </c>
      <c r="N217" s="3" t="s">
        <v>414</v>
      </c>
      <c r="O217" s="5" t="s">
        <v>539</v>
      </c>
      <c r="P217" s="6" t="s">
        <v>539</v>
      </c>
      <c r="Q217" s="4" t="s">
        <v>1618</v>
      </c>
    </row>
    <row r="218" spans="1:17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G218" s="2" t="s">
        <v>22</v>
      </c>
      <c r="H218" s="3" t="s">
        <v>25</v>
      </c>
      <c r="I218" s="3" t="s">
        <v>25</v>
      </c>
      <c r="J218" s="3" t="s">
        <v>25</v>
      </c>
      <c r="K218" s="3" t="s">
        <v>25</v>
      </c>
      <c r="M218" s="2" t="s">
        <v>22</v>
      </c>
      <c r="N218" s="3" t="s">
        <v>309</v>
      </c>
      <c r="O218" s="4" t="s">
        <v>268</v>
      </c>
      <c r="P218" s="6" t="s">
        <v>309</v>
      </c>
      <c r="Q218" s="5" t="s">
        <v>49</v>
      </c>
    </row>
    <row r="219" spans="1:17" x14ac:dyDescent="0.3">
      <c r="A219" s="7" t="s">
        <v>26</v>
      </c>
      <c r="B219" s="8">
        <v>111</v>
      </c>
      <c r="C219" s="8">
        <v>55</v>
      </c>
      <c r="D219" s="8">
        <v>21</v>
      </c>
      <c r="E219" s="8">
        <v>35</v>
      </c>
      <c r="G219" s="7" t="s">
        <v>26</v>
      </c>
      <c r="H219" s="8">
        <v>296</v>
      </c>
      <c r="I219" s="8">
        <v>156</v>
      </c>
      <c r="J219" s="8">
        <v>140</v>
      </c>
      <c r="K219" s="8">
        <v>0</v>
      </c>
      <c r="M219" s="7" t="s">
        <v>26</v>
      </c>
      <c r="N219" s="8">
        <v>317</v>
      </c>
      <c r="O219" s="8">
        <v>175</v>
      </c>
      <c r="P219" s="8">
        <v>70</v>
      </c>
      <c r="Q219" s="8">
        <v>72</v>
      </c>
    </row>
    <row r="220" spans="1:17" x14ac:dyDescent="0.3">
      <c r="A220" s="9" t="s">
        <v>27</v>
      </c>
      <c r="B220" s="10">
        <v>27</v>
      </c>
      <c r="C220" s="10">
        <v>3</v>
      </c>
      <c r="D220" s="10">
        <v>13</v>
      </c>
      <c r="E220" s="10">
        <v>11</v>
      </c>
      <c r="G220" s="9" t="s">
        <v>27</v>
      </c>
      <c r="H220" s="10">
        <v>209</v>
      </c>
      <c r="I220" s="10">
        <v>98</v>
      </c>
      <c r="J220" s="10">
        <v>111</v>
      </c>
      <c r="K220" s="10">
        <v>0</v>
      </c>
      <c r="M220" s="9" t="s">
        <v>27</v>
      </c>
      <c r="N220" s="10">
        <v>195</v>
      </c>
      <c r="O220" s="10">
        <v>84</v>
      </c>
      <c r="P220" s="10">
        <v>61</v>
      </c>
      <c r="Q220" s="10">
        <v>50</v>
      </c>
    </row>
    <row r="221" spans="1:17" x14ac:dyDescent="0.3">
      <c r="A221" s="9" t="s">
        <v>28</v>
      </c>
      <c r="B221" s="10">
        <v>2</v>
      </c>
      <c r="C221" s="10">
        <v>0</v>
      </c>
      <c r="D221" s="10">
        <v>1</v>
      </c>
      <c r="E221" s="10">
        <v>1</v>
      </c>
      <c r="G221" s="9" t="s">
        <v>28</v>
      </c>
      <c r="H221" s="10">
        <v>1</v>
      </c>
      <c r="I221" s="10">
        <v>0</v>
      </c>
      <c r="J221" s="10">
        <v>1</v>
      </c>
      <c r="K221" s="10">
        <v>0</v>
      </c>
      <c r="M221" s="9" t="s">
        <v>28</v>
      </c>
      <c r="N221" s="10">
        <v>8</v>
      </c>
      <c r="O221" s="10">
        <v>3</v>
      </c>
      <c r="P221" s="10">
        <v>0</v>
      </c>
      <c r="Q221" s="10">
        <v>5</v>
      </c>
    </row>
    <row r="222" spans="1:17" x14ac:dyDescent="0.3">
      <c r="A222" s="9" t="s">
        <v>29</v>
      </c>
      <c r="B222" s="10">
        <v>60</v>
      </c>
      <c r="C222" s="10">
        <v>48</v>
      </c>
      <c r="D222" s="10">
        <v>0</v>
      </c>
      <c r="E222" s="10">
        <v>12</v>
      </c>
      <c r="G222" s="9" t="s">
        <v>29</v>
      </c>
      <c r="H222" s="10">
        <v>33</v>
      </c>
      <c r="I222" s="10">
        <v>33</v>
      </c>
      <c r="J222" s="10">
        <v>0</v>
      </c>
      <c r="K222" s="10">
        <v>0</v>
      </c>
      <c r="M222" s="9" t="s">
        <v>29</v>
      </c>
      <c r="N222" s="10">
        <v>58</v>
      </c>
      <c r="O222" s="10">
        <v>58</v>
      </c>
      <c r="P222" s="10">
        <v>0</v>
      </c>
      <c r="Q222" s="10">
        <v>0</v>
      </c>
    </row>
    <row r="223" spans="1:17" x14ac:dyDescent="0.3">
      <c r="A223" s="9" t="s">
        <v>30</v>
      </c>
      <c r="B223" s="10">
        <v>22</v>
      </c>
      <c r="C223" s="10">
        <v>4</v>
      </c>
      <c r="D223" s="10">
        <v>7</v>
      </c>
      <c r="E223" s="10">
        <v>11</v>
      </c>
      <c r="G223" s="9" t="s">
        <v>30</v>
      </c>
      <c r="H223" s="10">
        <v>53</v>
      </c>
      <c r="I223" s="10">
        <v>25</v>
      </c>
      <c r="J223" s="10">
        <v>28</v>
      </c>
      <c r="K223" s="10">
        <v>0</v>
      </c>
      <c r="M223" s="9" t="s">
        <v>30</v>
      </c>
      <c r="N223" s="10">
        <v>56</v>
      </c>
      <c r="O223" s="10">
        <v>30</v>
      </c>
      <c r="P223" s="10">
        <v>9</v>
      </c>
      <c r="Q223" s="10">
        <v>17</v>
      </c>
    </row>
    <row r="224" spans="1:17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G224" s="9" t="s">
        <v>31</v>
      </c>
      <c r="H224" s="10">
        <v>0</v>
      </c>
      <c r="I224" s="10">
        <v>0</v>
      </c>
      <c r="J224" s="10">
        <v>0</v>
      </c>
      <c r="K224" s="10">
        <v>0</v>
      </c>
      <c r="M224" s="9" t="s">
        <v>31</v>
      </c>
      <c r="N224" s="10">
        <v>0</v>
      </c>
      <c r="O224" s="10">
        <v>0</v>
      </c>
      <c r="P224" s="10">
        <v>0</v>
      </c>
      <c r="Q224" s="10">
        <v>0</v>
      </c>
    </row>
    <row r="225" spans="1:17" x14ac:dyDescent="0.3">
      <c r="A225" s="11" t="s">
        <v>32</v>
      </c>
      <c r="B225" s="12">
        <v>90</v>
      </c>
      <c r="C225" s="12">
        <v>40</v>
      </c>
      <c r="D225" s="12">
        <v>29</v>
      </c>
      <c r="E225" s="12">
        <v>21</v>
      </c>
      <c r="G225" s="11" t="s">
        <v>32</v>
      </c>
      <c r="H225" s="12">
        <v>232</v>
      </c>
      <c r="I225" s="12">
        <v>101</v>
      </c>
      <c r="J225" s="12">
        <v>71</v>
      </c>
      <c r="K225" s="12">
        <v>60</v>
      </c>
      <c r="M225" s="11" t="s">
        <v>32</v>
      </c>
      <c r="N225" s="12">
        <v>130</v>
      </c>
      <c r="O225" s="12">
        <v>55</v>
      </c>
      <c r="P225" s="12">
        <v>46</v>
      </c>
      <c r="Q225" s="12">
        <v>29</v>
      </c>
    </row>
    <row r="226" spans="1:17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G226" s="13" t="s">
        <v>33</v>
      </c>
      <c r="H226" s="14">
        <v>0</v>
      </c>
      <c r="I226" s="14">
        <v>0</v>
      </c>
      <c r="J226" s="14">
        <v>0</v>
      </c>
      <c r="K226" s="14">
        <v>0</v>
      </c>
      <c r="M226" s="13" t="s">
        <v>33</v>
      </c>
      <c r="N226" s="14">
        <v>0</v>
      </c>
      <c r="O226" s="14">
        <v>0</v>
      </c>
      <c r="P226" s="14">
        <v>0</v>
      </c>
      <c r="Q226" s="14">
        <v>0</v>
      </c>
    </row>
    <row r="227" spans="1:17" x14ac:dyDescent="0.3">
      <c r="A227" s="13" t="s">
        <v>34</v>
      </c>
      <c r="B227" s="14">
        <v>90</v>
      </c>
      <c r="C227" s="14">
        <v>40</v>
      </c>
      <c r="D227" s="14">
        <v>29</v>
      </c>
      <c r="E227" s="14">
        <v>21</v>
      </c>
      <c r="G227" s="13" t="s">
        <v>34</v>
      </c>
      <c r="H227" s="14">
        <v>232</v>
      </c>
      <c r="I227" s="14">
        <v>101</v>
      </c>
      <c r="J227" s="14">
        <v>71</v>
      </c>
      <c r="K227" s="14">
        <v>60</v>
      </c>
      <c r="M227" s="13" t="s">
        <v>34</v>
      </c>
      <c r="N227" s="14">
        <v>130</v>
      </c>
      <c r="O227" s="14">
        <v>55</v>
      </c>
      <c r="P227" s="14">
        <v>46</v>
      </c>
      <c r="Q227" s="14">
        <v>29</v>
      </c>
    </row>
    <row r="228" spans="1:17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G228" s="15" t="s">
        <v>35</v>
      </c>
      <c r="H228" s="16">
        <v>0</v>
      </c>
      <c r="I228" s="16">
        <v>0</v>
      </c>
      <c r="J228" s="16">
        <v>0</v>
      </c>
      <c r="K228" s="16">
        <v>0</v>
      </c>
      <c r="M228" s="15" t="s">
        <v>35</v>
      </c>
      <c r="N228" s="16">
        <v>3</v>
      </c>
      <c r="O228" s="16">
        <v>1</v>
      </c>
      <c r="P228" s="16">
        <v>1</v>
      </c>
      <c r="Q228" s="16">
        <v>1</v>
      </c>
    </row>
    <row r="229" spans="1:17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G229" s="17" t="s">
        <v>36</v>
      </c>
      <c r="H229" s="78">
        <v>0</v>
      </c>
      <c r="I229" s="78">
        <v>0</v>
      </c>
      <c r="J229" s="78">
        <v>0</v>
      </c>
      <c r="K229" s="78">
        <v>0</v>
      </c>
      <c r="M229" s="17" t="s">
        <v>36</v>
      </c>
      <c r="N229" s="130">
        <v>1</v>
      </c>
      <c r="O229" s="130">
        <v>1</v>
      </c>
      <c r="P229" s="130">
        <v>0</v>
      </c>
      <c r="Q229" s="130">
        <v>0</v>
      </c>
    </row>
    <row r="230" spans="1:17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G230" s="17" t="s">
        <v>37</v>
      </c>
      <c r="H230" s="78">
        <v>0</v>
      </c>
      <c r="I230" s="78">
        <v>0</v>
      </c>
      <c r="J230" s="78">
        <v>0</v>
      </c>
      <c r="K230" s="78">
        <v>0</v>
      </c>
      <c r="M230" s="17" t="s">
        <v>37</v>
      </c>
      <c r="N230" s="130">
        <v>3</v>
      </c>
      <c r="O230" s="130">
        <v>1</v>
      </c>
      <c r="P230" s="130">
        <v>1</v>
      </c>
      <c r="Q230" s="130">
        <v>1</v>
      </c>
    </row>
    <row r="231" spans="1:17" x14ac:dyDescent="0.3">
      <c r="A231" s="17" t="s">
        <v>38</v>
      </c>
      <c r="B231" s="167" t="s">
        <v>339</v>
      </c>
      <c r="C231" s="168"/>
      <c r="D231" s="168"/>
      <c r="E231" s="168"/>
      <c r="G231" s="17" t="s">
        <v>38</v>
      </c>
      <c r="H231" s="167" t="s">
        <v>339</v>
      </c>
      <c r="I231" s="168"/>
      <c r="J231" s="168"/>
      <c r="K231" s="168"/>
      <c r="M231" s="17" t="s">
        <v>38</v>
      </c>
      <c r="N231" s="167" t="s">
        <v>339</v>
      </c>
      <c r="O231" s="168"/>
      <c r="P231" s="168"/>
      <c r="Q231" s="168"/>
    </row>
    <row r="232" spans="1:17" ht="19.8" x14ac:dyDescent="0.3">
      <c r="A232" s="170">
        <v>46101</v>
      </c>
      <c r="B232" s="168"/>
      <c r="C232" s="168"/>
      <c r="D232" s="168"/>
      <c r="E232" s="168"/>
      <c r="G232" s="170">
        <v>46126</v>
      </c>
      <c r="H232" s="168"/>
      <c r="I232" s="168"/>
      <c r="J232" s="168"/>
      <c r="K232" s="168"/>
      <c r="M232" s="170">
        <v>46157</v>
      </c>
      <c r="N232" s="168"/>
      <c r="O232" s="168"/>
      <c r="P232" s="168"/>
      <c r="Q232" s="168"/>
    </row>
    <row r="233" spans="1:17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G233" s="1" t="s">
        <v>0</v>
      </c>
      <c r="H233" s="1" t="s">
        <v>1</v>
      </c>
      <c r="I233" s="1" t="s">
        <v>2</v>
      </c>
      <c r="J233" s="1" t="s">
        <v>3</v>
      </c>
      <c r="K233" s="1" t="s">
        <v>40</v>
      </c>
      <c r="M233" s="1" t="s">
        <v>0</v>
      </c>
      <c r="N233" s="1" t="s">
        <v>1</v>
      </c>
      <c r="O233" s="1" t="s">
        <v>2</v>
      </c>
      <c r="P233" s="1" t="s">
        <v>3</v>
      </c>
      <c r="Q233" s="1" t="s">
        <v>40</v>
      </c>
    </row>
    <row r="234" spans="1:17" x14ac:dyDescent="0.3">
      <c r="A234" s="2" t="s">
        <v>5</v>
      </c>
      <c r="B234" s="3">
        <v>1633</v>
      </c>
      <c r="C234" s="3">
        <v>687</v>
      </c>
      <c r="D234" s="3">
        <v>582</v>
      </c>
      <c r="E234" s="3">
        <v>364</v>
      </c>
      <c r="G234" s="2" t="s">
        <v>5</v>
      </c>
      <c r="H234" s="3">
        <v>3698</v>
      </c>
      <c r="I234" s="3">
        <v>1596</v>
      </c>
      <c r="J234" s="3">
        <v>1554</v>
      </c>
      <c r="K234" s="3">
        <v>548</v>
      </c>
      <c r="M234" s="2" t="s">
        <v>5</v>
      </c>
      <c r="N234" s="3">
        <v>3391</v>
      </c>
      <c r="O234" s="3">
        <v>1359</v>
      </c>
      <c r="P234" s="3">
        <v>1141</v>
      </c>
      <c r="Q234" s="3">
        <v>891</v>
      </c>
    </row>
    <row r="235" spans="1:17" x14ac:dyDescent="0.3">
      <c r="A235" s="2" t="s">
        <v>6</v>
      </c>
      <c r="B235" s="3">
        <v>220</v>
      </c>
      <c r="C235" s="5">
        <v>84</v>
      </c>
      <c r="D235" s="6">
        <v>77</v>
      </c>
      <c r="E235" s="4">
        <v>59</v>
      </c>
      <c r="G235" s="2" t="s">
        <v>6</v>
      </c>
      <c r="H235" s="3">
        <v>610</v>
      </c>
      <c r="I235" s="5">
        <v>309</v>
      </c>
      <c r="J235" s="6">
        <v>261</v>
      </c>
      <c r="K235" s="4">
        <v>40</v>
      </c>
      <c r="M235" s="2" t="s">
        <v>6</v>
      </c>
      <c r="N235" s="3">
        <v>511</v>
      </c>
      <c r="O235" s="5">
        <v>262</v>
      </c>
      <c r="P235" s="4">
        <v>106</v>
      </c>
      <c r="Q235" s="6">
        <v>143</v>
      </c>
    </row>
    <row r="236" spans="1:17" x14ac:dyDescent="0.3">
      <c r="A236" s="2" t="s">
        <v>7</v>
      </c>
      <c r="B236" s="3" t="s">
        <v>761</v>
      </c>
      <c r="C236" s="4" t="s">
        <v>221</v>
      </c>
      <c r="D236" s="6" t="s">
        <v>762</v>
      </c>
      <c r="E236" s="5" t="s">
        <v>763</v>
      </c>
      <c r="G236" s="2" t="s">
        <v>7</v>
      </c>
      <c r="H236" s="3" t="s">
        <v>1456</v>
      </c>
      <c r="I236" s="5" t="s">
        <v>1457</v>
      </c>
      <c r="J236" s="6" t="s">
        <v>713</v>
      </c>
      <c r="K236" s="4" t="s">
        <v>92</v>
      </c>
      <c r="M236" s="2" t="s">
        <v>7</v>
      </c>
      <c r="N236" s="3" t="s">
        <v>1295</v>
      </c>
      <c r="O236" s="5" t="s">
        <v>1909</v>
      </c>
      <c r="P236" s="4" t="s">
        <v>530</v>
      </c>
      <c r="Q236" s="6" t="s">
        <v>1910</v>
      </c>
    </row>
    <row r="237" spans="1:17" x14ac:dyDescent="0.3">
      <c r="A237" s="2" t="s">
        <v>12</v>
      </c>
      <c r="B237" s="3" t="s">
        <v>308</v>
      </c>
      <c r="C237" s="6" t="s">
        <v>518</v>
      </c>
      <c r="D237" s="4" t="s">
        <v>764</v>
      </c>
      <c r="E237" s="5" t="s">
        <v>412</v>
      </c>
      <c r="G237" s="2" t="s">
        <v>12</v>
      </c>
      <c r="H237" s="3" t="s">
        <v>827</v>
      </c>
      <c r="I237" s="5" t="s">
        <v>1233</v>
      </c>
      <c r="J237" s="6" t="s">
        <v>725</v>
      </c>
      <c r="K237" s="4" t="s">
        <v>238</v>
      </c>
      <c r="M237" s="2" t="s">
        <v>12</v>
      </c>
      <c r="N237" s="3" t="s">
        <v>1652</v>
      </c>
      <c r="O237" s="5" t="s">
        <v>1911</v>
      </c>
      <c r="P237" s="4" t="s">
        <v>55</v>
      </c>
      <c r="Q237" s="6" t="s">
        <v>1912</v>
      </c>
    </row>
    <row r="238" spans="1:17" x14ac:dyDescent="0.3">
      <c r="A238" s="2" t="s">
        <v>17</v>
      </c>
      <c r="B238" s="3" t="s">
        <v>765</v>
      </c>
      <c r="C238" s="4" t="s">
        <v>766</v>
      </c>
      <c r="D238" s="5" t="s">
        <v>320</v>
      </c>
      <c r="E238" s="6" t="s">
        <v>767</v>
      </c>
      <c r="G238" s="2" t="s">
        <v>17</v>
      </c>
      <c r="H238" s="3" t="s">
        <v>1458</v>
      </c>
      <c r="I238" s="5" t="s">
        <v>1013</v>
      </c>
      <c r="J238" s="4" t="s">
        <v>52</v>
      </c>
      <c r="K238" s="6" t="s">
        <v>1459</v>
      </c>
      <c r="M238" s="2" t="s">
        <v>17</v>
      </c>
      <c r="N238" s="3" t="s">
        <v>1019</v>
      </c>
      <c r="O238" s="6" t="s">
        <v>1334</v>
      </c>
      <c r="P238" s="4" t="s">
        <v>581</v>
      </c>
      <c r="Q238" s="5" t="s">
        <v>479</v>
      </c>
    </row>
    <row r="239" spans="1:17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G239" s="2" t="s">
        <v>22</v>
      </c>
      <c r="H239" s="3" t="s">
        <v>552</v>
      </c>
      <c r="I239" s="3" t="s">
        <v>25</v>
      </c>
      <c r="J239" s="5" t="s">
        <v>268</v>
      </c>
      <c r="K239" s="3" t="s">
        <v>25</v>
      </c>
      <c r="M239" s="2" t="s">
        <v>22</v>
      </c>
      <c r="N239" s="3" t="s">
        <v>25</v>
      </c>
      <c r="O239" s="3" t="s">
        <v>25</v>
      </c>
      <c r="P239" s="3" t="s">
        <v>25</v>
      </c>
      <c r="Q239" s="3" t="s">
        <v>25</v>
      </c>
    </row>
    <row r="240" spans="1:17" x14ac:dyDescent="0.3">
      <c r="A240" s="7" t="s">
        <v>26</v>
      </c>
      <c r="B240" s="8">
        <v>117</v>
      </c>
      <c r="C240" s="8">
        <v>50</v>
      </c>
      <c r="D240" s="8">
        <v>34</v>
      </c>
      <c r="E240" s="8">
        <v>33</v>
      </c>
      <c r="G240" s="7" t="s">
        <v>26</v>
      </c>
      <c r="H240" s="8">
        <v>399</v>
      </c>
      <c r="I240" s="8">
        <v>212</v>
      </c>
      <c r="J240" s="8">
        <v>178</v>
      </c>
      <c r="K240" s="8">
        <v>9</v>
      </c>
      <c r="M240" s="7" t="s">
        <v>26</v>
      </c>
      <c r="N240" s="8">
        <v>434</v>
      </c>
      <c r="O240" s="8">
        <v>234</v>
      </c>
      <c r="P240" s="8">
        <v>83</v>
      </c>
      <c r="Q240" s="8">
        <v>117</v>
      </c>
    </row>
    <row r="241" spans="1:17" x14ac:dyDescent="0.3">
      <c r="A241" s="9" t="s">
        <v>27</v>
      </c>
      <c r="B241" s="10">
        <v>49</v>
      </c>
      <c r="C241" s="10">
        <v>20</v>
      </c>
      <c r="D241" s="10">
        <v>22</v>
      </c>
      <c r="E241" s="10">
        <v>7</v>
      </c>
      <c r="G241" s="9" t="s">
        <v>27</v>
      </c>
      <c r="H241" s="10">
        <v>264</v>
      </c>
      <c r="I241" s="10">
        <v>110</v>
      </c>
      <c r="J241" s="10">
        <v>148</v>
      </c>
      <c r="K241" s="10">
        <v>6</v>
      </c>
      <c r="M241" s="9" t="s">
        <v>27</v>
      </c>
      <c r="N241" s="10">
        <v>255</v>
      </c>
      <c r="O241" s="10">
        <v>116</v>
      </c>
      <c r="P241" s="10">
        <v>63</v>
      </c>
      <c r="Q241" s="10">
        <v>76</v>
      </c>
    </row>
    <row r="242" spans="1:17" x14ac:dyDescent="0.3">
      <c r="A242" s="9" t="s">
        <v>28</v>
      </c>
      <c r="B242" s="10">
        <v>2</v>
      </c>
      <c r="C242" s="10">
        <v>1</v>
      </c>
      <c r="D242" s="10">
        <v>0</v>
      </c>
      <c r="E242" s="10">
        <v>1</v>
      </c>
      <c r="G242" s="9" t="s">
        <v>28</v>
      </c>
      <c r="H242" s="10">
        <v>10</v>
      </c>
      <c r="I242" s="10">
        <v>7</v>
      </c>
      <c r="J242" s="10">
        <v>2</v>
      </c>
      <c r="K242" s="10">
        <v>1</v>
      </c>
      <c r="M242" s="9" t="s">
        <v>28</v>
      </c>
      <c r="N242" s="10">
        <v>14</v>
      </c>
      <c r="O242" s="10">
        <v>4</v>
      </c>
      <c r="P242" s="10">
        <v>2</v>
      </c>
      <c r="Q242" s="10">
        <v>8</v>
      </c>
    </row>
    <row r="243" spans="1:17" x14ac:dyDescent="0.3">
      <c r="A243" s="9" t="s">
        <v>29</v>
      </c>
      <c r="B243" s="10">
        <v>25</v>
      </c>
      <c r="C243" s="10">
        <v>20</v>
      </c>
      <c r="D243" s="10">
        <v>0</v>
      </c>
      <c r="E243" s="10">
        <v>5</v>
      </c>
      <c r="G243" s="9" t="s">
        <v>29</v>
      </c>
      <c r="H243" s="10">
        <v>48</v>
      </c>
      <c r="I243" s="10">
        <v>48</v>
      </c>
      <c r="J243" s="10">
        <v>0</v>
      </c>
      <c r="K243" s="10">
        <v>0</v>
      </c>
      <c r="M243" s="9" t="s">
        <v>29</v>
      </c>
      <c r="N243" s="10">
        <v>66</v>
      </c>
      <c r="O243" s="10">
        <v>66</v>
      </c>
      <c r="P243" s="10">
        <v>0</v>
      </c>
      <c r="Q243" s="10">
        <v>0</v>
      </c>
    </row>
    <row r="244" spans="1:17" x14ac:dyDescent="0.3">
      <c r="A244" s="9" t="s">
        <v>30</v>
      </c>
      <c r="B244" s="10">
        <v>41</v>
      </c>
      <c r="C244" s="10">
        <v>9</v>
      </c>
      <c r="D244" s="10">
        <v>12</v>
      </c>
      <c r="E244" s="10">
        <v>20</v>
      </c>
      <c r="G244" s="9" t="s">
        <v>30</v>
      </c>
      <c r="H244" s="10">
        <v>77</v>
      </c>
      <c r="I244" s="10">
        <v>47</v>
      </c>
      <c r="J244" s="10">
        <v>28</v>
      </c>
      <c r="K244" s="10">
        <v>2</v>
      </c>
      <c r="M244" s="9" t="s">
        <v>30</v>
      </c>
      <c r="N244" s="10">
        <v>99</v>
      </c>
      <c r="O244" s="10">
        <v>48</v>
      </c>
      <c r="P244" s="10">
        <v>18</v>
      </c>
      <c r="Q244" s="10">
        <v>33</v>
      </c>
    </row>
    <row r="245" spans="1:17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G245" s="9" t="s">
        <v>31</v>
      </c>
      <c r="H245" s="10">
        <v>0</v>
      </c>
      <c r="I245" s="10">
        <v>0</v>
      </c>
      <c r="J245" s="10">
        <v>0</v>
      </c>
      <c r="K245" s="10">
        <v>0</v>
      </c>
      <c r="M245" s="9" t="s">
        <v>31</v>
      </c>
      <c r="N245" s="10">
        <v>0</v>
      </c>
      <c r="O245" s="10">
        <v>0</v>
      </c>
      <c r="P245" s="10">
        <v>0</v>
      </c>
      <c r="Q245" s="10">
        <v>0</v>
      </c>
    </row>
    <row r="246" spans="1:17" x14ac:dyDescent="0.3">
      <c r="A246" s="11" t="s">
        <v>32</v>
      </c>
      <c r="B246" s="12">
        <v>105</v>
      </c>
      <c r="C246" s="12">
        <v>35</v>
      </c>
      <c r="D246" s="12">
        <v>44</v>
      </c>
      <c r="E246" s="12">
        <v>26</v>
      </c>
      <c r="G246" s="11" t="s">
        <v>32</v>
      </c>
      <c r="H246" s="12">
        <v>210</v>
      </c>
      <c r="I246" s="12">
        <v>97</v>
      </c>
      <c r="J246" s="12">
        <v>83</v>
      </c>
      <c r="K246" s="12">
        <v>30</v>
      </c>
      <c r="M246" s="11" t="s">
        <v>32</v>
      </c>
      <c r="N246" s="12">
        <v>76</v>
      </c>
      <c r="O246" s="12">
        <v>28</v>
      </c>
      <c r="P246" s="12">
        <v>22</v>
      </c>
      <c r="Q246" s="12">
        <v>26</v>
      </c>
    </row>
    <row r="247" spans="1:17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G247" s="13" t="s">
        <v>33</v>
      </c>
      <c r="H247" s="14">
        <v>0</v>
      </c>
      <c r="I247" s="14">
        <v>0</v>
      </c>
      <c r="J247" s="14">
        <v>0</v>
      </c>
      <c r="K247" s="14">
        <v>0</v>
      </c>
      <c r="M247" s="13" t="s">
        <v>33</v>
      </c>
      <c r="N247" s="14">
        <v>0</v>
      </c>
      <c r="O247" s="14">
        <v>0</v>
      </c>
      <c r="P247" s="14">
        <v>0</v>
      </c>
      <c r="Q247" s="14">
        <v>0</v>
      </c>
    </row>
    <row r="248" spans="1:17" x14ac:dyDescent="0.3">
      <c r="A248" s="13" t="s">
        <v>34</v>
      </c>
      <c r="B248" s="14">
        <v>105</v>
      </c>
      <c r="C248" s="14">
        <v>35</v>
      </c>
      <c r="D248" s="14">
        <v>44</v>
      </c>
      <c r="E248" s="14">
        <v>26</v>
      </c>
      <c r="G248" s="13" t="s">
        <v>34</v>
      </c>
      <c r="H248" s="14">
        <v>210</v>
      </c>
      <c r="I248" s="14">
        <v>97</v>
      </c>
      <c r="J248" s="14">
        <v>83</v>
      </c>
      <c r="K248" s="14">
        <v>30</v>
      </c>
      <c r="M248" s="13" t="s">
        <v>34</v>
      </c>
      <c r="N248" s="14">
        <v>76</v>
      </c>
      <c r="O248" s="14">
        <v>28</v>
      </c>
      <c r="P248" s="14">
        <v>22</v>
      </c>
      <c r="Q248" s="14">
        <v>26</v>
      </c>
    </row>
    <row r="249" spans="1:17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G249" s="15" t="s">
        <v>35</v>
      </c>
      <c r="H249" s="16">
        <v>1</v>
      </c>
      <c r="I249" s="16">
        <v>0</v>
      </c>
      <c r="J249" s="16">
        <v>1</v>
      </c>
      <c r="K249" s="16">
        <v>0</v>
      </c>
      <c r="M249" s="15" t="s">
        <v>35</v>
      </c>
      <c r="N249" s="16">
        <v>0</v>
      </c>
      <c r="O249" s="16">
        <v>0</v>
      </c>
      <c r="P249" s="16">
        <v>0</v>
      </c>
      <c r="Q249" s="16">
        <v>0</v>
      </c>
    </row>
    <row r="250" spans="1:17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G250" s="17" t="s">
        <v>36</v>
      </c>
      <c r="H250" s="78">
        <v>1</v>
      </c>
      <c r="I250" s="78">
        <v>0</v>
      </c>
      <c r="J250" s="78">
        <v>1</v>
      </c>
      <c r="K250" s="78">
        <v>0</v>
      </c>
      <c r="M250" s="17" t="s">
        <v>36</v>
      </c>
      <c r="N250" s="130">
        <v>0</v>
      </c>
      <c r="O250" s="130">
        <v>0</v>
      </c>
      <c r="P250" s="130">
        <v>0</v>
      </c>
      <c r="Q250" s="130">
        <v>0</v>
      </c>
    </row>
    <row r="251" spans="1:17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G251" s="17" t="s">
        <v>37</v>
      </c>
      <c r="H251" s="78">
        <v>1</v>
      </c>
      <c r="I251" s="78">
        <v>0</v>
      </c>
      <c r="J251" s="78">
        <v>1</v>
      </c>
      <c r="K251" s="78">
        <v>0</v>
      </c>
      <c r="M251" s="17" t="s">
        <v>37</v>
      </c>
      <c r="N251" s="130">
        <v>0</v>
      </c>
      <c r="O251" s="130">
        <v>0</v>
      </c>
      <c r="P251" s="130">
        <v>0</v>
      </c>
      <c r="Q251" s="130">
        <v>0</v>
      </c>
    </row>
    <row r="252" spans="1:17" x14ac:dyDescent="0.3">
      <c r="A252" s="17" t="s">
        <v>38</v>
      </c>
      <c r="B252" s="167" t="s">
        <v>339</v>
      </c>
      <c r="C252" s="168"/>
      <c r="D252" s="168"/>
      <c r="E252" s="168"/>
      <c r="G252" s="17" t="s">
        <v>38</v>
      </c>
      <c r="H252" s="167" t="s">
        <v>339</v>
      </c>
      <c r="I252" s="168"/>
      <c r="J252" s="168"/>
      <c r="K252" s="168"/>
      <c r="M252" s="17" t="s">
        <v>38</v>
      </c>
      <c r="N252" s="167" t="s">
        <v>339</v>
      </c>
      <c r="O252" s="168"/>
      <c r="P252" s="168"/>
      <c r="Q252" s="168"/>
    </row>
    <row r="253" spans="1:17" ht="19.8" x14ac:dyDescent="0.3">
      <c r="A253" s="170">
        <v>46102</v>
      </c>
      <c r="B253" s="168"/>
      <c r="C253" s="168"/>
      <c r="D253" s="168"/>
      <c r="E253" s="168"/>
      <c r="G253" s="170">
        <v>46127</v>
      </c>
      <c r="H253" s="168"/>
      <c r="I253" s="168"/>
      <c r="J253" s="168"/>
      <c r="K253" s="168"/>
      <c r="M253" s="170">
        <v>46158</v>
      </c>
      <c r="N253" s="168"/>
      <c r="O253" s="168"/>
      <c r="P253" s="168"/>
      <c r="Q253" s="168"/>
    </row>
    <row r="254" spans="1:17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G254" s="1" t="s">
        <v>0</v>
      </c>
      <c r="H254" s="1" t="s">
        <v>1</v>
      </c>
      <c r="I254" s="1" t="s">
        <v>2</v>
      </c>
      <c r="J254" s="1" t="s">
        <v>3</v>
      </c>
      <c r="K254" s="1" t="s">
        <v>40</v>
      </c>
      <c r="M254" s="1" t="s">
        <v>0</v>
      </c>
      <c r="N254" s="1" t="s">
        <v>1</v>
      </c>
      <c r="O254" s="1" t="s">
        <v>2</v>
      </c>
      <c r="P254" s="1" t="s">
        <v>3</v>
      </c>
      <c r="Q254" s="1" t="s">
        <v>40</v>
      </c>
    </row>
    <row r="255" spans="1:17" x14ac:dyDescent="0.3">
      <c r="A255" s="2" t="s">
        <v>5</v>
      </c>
      <c r="B255" s="3">
        <v>1415</v>
      </c>
      <c r="C255" s="3">
        <v>552</v>
      </c>
      <c r="D255" s="3">
        <v>447</v>
      </c>
      <c r="E255" s="3">
        <v>416</v>
      </c>
      <c r="G255" s="2" t="s">
        <v>5</v>
      </c>
      <c r="H255" s="3">
        <v>3106</v>
      </c>
      <c r="I255" s="3">
        <v>1311</v>
      </c>
      <c r="J255" s="3">
        <v>1105</v>
      </c>
      <c r="K255" s="3">
        <v>690</v>
      </c>
      <c r="M255" s="2" t="s">
        <v>5</v>
      </c>
      <c r="N255" s="3">
        <v>3094</v>
      </c>
      <c r="O255" s="3">
        <v>1265</v>
      </c>
      <c r="P255" s="3">
        <v>1053</v>
      </c>
      <c r="Q255" s="3">
        <v>776</v>
      </c>
    </row>
    <row r="256" spans="1:17" x14ac:dyDescent="0.3">
      <c r="A256" s="2" t="s">
        <v>6</v>
      </c>
      <c r="B256" s="3">
        <v>140</v>
      </c>
      <c r="C256" s="5">
        <v>55</v>
      </c>
      <c r="D256" s="4">
        <v>42</v>
      </c>
      <c r="E256" s="6">
        <v>43</v>
      </c>
      <c r="G256" s="2" t="s">
        <v>6</v>
      </c>
      <c r="H256" s="3">
        <v>337</v>
      </c>
      <c r="I256" s="5">
        <v>168</v>
      </c>
      <c r="J256" s="6">
        <v>96</v>
      </c>
      <c r="K256" s="4">
        <v>73</v>
      </c>
      <c r="M256" s="2" t="s">
        <v>6</v>
      </c>
      <c r="N256" s="3">
        <v>412</v>
      </c>
      <c r="O256" s="5">
        <v>219</v>
      </c>
      <c r="P256" s="4">
        <v>92</v>
      </c>
      <c r="Q256" s="6">
        <v>101</v>
      </c>
    </row>
    <row r="257" spans="1:17" x14ac:dyDescent="0.3">
      <c r="A257" s="2" t="s">
        <v>7</v>
      </c>
      <c r="B257" s="3" t="s">
        <v>807</v>
      </c>
      <c r="C257" s="6" t="s">
        <v>163</v>
      </c>
      <c r="D257" s="4" t="s">
        <v>222</v>
      </c>
      <c r="E257" s="5" t="s">
        <v>808</v>
      </c>
      <c r="G257" s="2" t="s">
        <v>7</v>
      </c>
      <c r="H257" s="3" t="s">
        <v>1491</v>
      </c>
      <c r="I257" s="5" t="s">
        <v>1492</v>
      </c>
      <c r="J257" s="4" t="s">
        <v>228</v>
      </c>
      <c r="K257" s="6" t="s">
        <v>1367</v>
      </c>
      <c r="M257" s="2" t="s">
        <v>7</v>
      </c>
      <c r="N257" s="3" t="s">
        <v>1633</v>
      </c>
      <c r="O257" s="5" t="s">
        <v>1303</v>
      </c>
      <c r="P257" s="4" t="s">
        <v>494</v>
      </c>
      <c r="Q257" s="6" t="s">
        <v>1917</v>
      </c>
    </row>
    <row r="258" spans="1:17" x14ac:dyDescent="0.3">
      <c r="A258" s="2" t="s">
        <v>12</v>
      </c>
      <c r="B258" s="3" t="s">
        <v>144</v>
      </c>
      <c r="C258" s="4" t="s">
        <v>809</v>
      </c>
      <c r="D258" s="6" t="s">
        <v>368</v>
      </c>
      <c r="E258" s="5" t="s">
        <v>810</v>
      </c>
      <c r="G258" s="2" t="s">
        <v>12</v>
      </c>
      <c r="H258" s="3" t="s">
        <v>82</v>
      </c>
      <c r="I258" s="5" t="s">
        <v>1493</v>
      </c>
      <c r="J258" s="4" t="s">
        <v>124</v>
      </c>
      <c r="K258" s="6" t="s">
        <v>1494</v>
      </c>
      <c r="M258" s="2" t="s">
        <v>12</v>
      </c>
      <c r="N258" s="3" t="s">
        <v>1336</v>
      </c>
      <c r="O258" s="5" t="s">
        <v>1062</v>
      </c>
      <c r="P258" s="4" t="s">
        <v>1309</v>
      </c>
      <c r="Q258" s="6" t="s">
        <v>739</v>
      </c>
    </row>
    <row r="259" spans="1:17" x14ac:dyDescent="0.3">
      <c r="A259" s="2" t="s">
        <v>17</v>
      </c>
      <c r="B259" s="3" t="s">
        <v>213</v>
      </c>
      <c r="C259" s="5" t="s">
        <v>811</v>
      </c>
      <c r="D259" s="4" t="s">
        <v>612</v>
      </c>
      <c r="E259" s="6" t="s">
        <v>812</v>
      </c>
      <c r="G259" s="2" t="s">
        <v>17</v>
      </c>
      <c r="H259" s="3" t="s">
        <v>365</v>
      </c>
      <c r="I259" s="6" t="s">
        <v>443</v>
      </c>
      <c r="J259" s="5" t="s">
        <v>499</v>
      </c>
      <c r="K259" s="4" t="s">
        <v>1282</v>
      </c>
      <c r="M259" s="2" t="s">
        <v>17</v>
      </c>
      <c r="N259" s="3" t="s">
        <v>1254</v>
      </c>
      <c r="O259" s="5" t="s">
        <v>886</v>
      </c>
      <c r="P259" s="4" t="s">
        <v>429</v>
      </c>
      <c r="Q259" s="6" t="s">
        <v>1703</v>
      </c>
    </row>
    <row r="260" spans="1:17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G260" s="2" t="s">
        <v>22</v>
      </c>
      <c r="H260" s="3" t="s">
        <v>25</v>
      </c>
      <c r="I260" s="3" t="s">
        <v>25</v>
      </c>
      <c r="J260" s="3" t="s">
        <v>25</v>
      </c>
      <c r="K260" s="3" t="s">
        <v>25</v>
      </c>
      <c r="M260" s="2" t="s">
        <v>22</v>
      </c>
      <c r="N260" s="3" t="s">
        <v>25</v>
      </c>
      <c r="O260" s="3" t="s">
        <v>25</v>
      </c>
      <c r="P260" s="3" t="s">
        <v>25</v>
      </c>
      <c r="Q260" s="3" t="s">
        <v>25</v>
      </c>
    </row>
    <row r="261" spans="1:17" x14ac:dyDescent="0.3">
      <c r="A261" s="7" t="s">
        <v>26</v>
      </c>
      <c r="B261" s="8">
        <v>61</v>
      </c>
      <c r="C261" s="8">
        <v>21</v>
      </c>
      <c r="D261" s="8">
        <v>20</v>
      </c>
      <c r="E261" s="8">
        <v>20</v>
      </c>
      <c r="G261" s="7" t="s">
        <v>26</v>
      </c>
      <c r="H261" s="8">
        <v>302</v>
      </c>
      <c r="I261" s="8">
        <v>153</v>
      </c>
      <c r="J261" s="8">
        <v>83</v>
      </c>
      <c r="K261" s="8">
        <v>66</v>
      </c>
      <c r="M261" s="7" t="s">
        <v>26</v>
      </c>
      <c r="N261" s="8">
        <v>304</v>
      </c>
      <c r="O261" s="8">
        <v>173</v>
      </c>
      <c r="P261" s="8">
        <v>58</v>
      </c>
      <c r="Q261" s="8">
        <v>73</v>
      </c>
    </row>
    <row r="262" spans="1:17" x14ac:dyDescent="0.3">
      <c r="A262" s="9" t="s">
        <v>27</v>
      </c>
      <c r="B262" s="10">
        <v>33</v>
      </c>
      <c r="C262" s="10">
        <v>11</v>
      </c>
      <c r="D262" s="10">
        <v>15</v>
      </c>
      <c r="E262" s="10">
        <v>7</v>
      </c>
      <c r="G262" s="9" t="s">
        <v>27</v>
      </c>
      <c r="H262" s="10">
        <v>171</v>
      </c>
      <c r="I262" s="10">
        <v>67</v>
      </c>
      <c r="J262" s="10">
        <v>63</v>
      </c>
      <c r="K262" s="10">
        <v>41</v>
      </c>
      <c r="M262" s="9" t="s">
        <v>27</v>
      </c>
      <c r="N262" s="10">
        <v>197</v>
      </c>
      <c r="O262" s="10">
        <v>82</v>
      </c>
      <c r="P262" s="10">
        <v>50</v>
      </c>
      <c r="Q262" s="10">
        <v>65</v>
      </c>
    </row>
    <row r="263" spans="1:17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G263" s="9" t="s">
        <v>28</v>
      </c>
      <c r="H263" s="10">
        <v>6</v>
      </c>
      <c r="I263" s="10">
        <v>2</v>
      </c>
      <c r="J263" s="10">
        <v>2</v>
      </c>
      <c r="K263" s="10">
        <v>2</v>
      </c>
      <c r="M263" s="9" t="s">
        <v>28</v>
      </c>
      <c r="N263" s="10">
        <v>3</v>
      </c>
      <c r="O263" s="10">
        <v>1</v>
      </c>
      <c r="P263" s="10">
        <v>0</v>
      </c>
      <c r="Q263" s="10">
        <v>2</v>
      </c>
    </row>
    <row r="264" spans="1:17" x14ac:dyDescent="0.3">
      <c r="A264" s="9" t="s">
        <v>29</v>
      </c>
      <c r="B264" s="10">
        <v>9</v>
      </c>
      <c r="C264" s="10">
        <v>3</v>
      </c>
      <c r="D264" s="10">
        <v>0</v>
      </c>
      <c r="E264" s="10">
        <v>6</v>
      </c>
      <c r="G264" s="9" t="s">
        <v>29</v>
      </c>
      <c r="H264" s="10">
        <v>52</v>
      </c>
      <c r="I264" s="10">
        <v>52</v>
      </c>
      <c r="J264" s="10">
        <v>0</v>
      </c>
      <c r="K264" s="10">
        <v>0</v>
      </c>
      <c r="M264" s="9" t="s">
        <v>29</v>
      </c>
      <c r="N264" s="10">
        <v>53</v>
      </c>
      <c r="O264" s="10">
        <v>53</v>
      </c>
      <c r="P264" s="10">
        <v>0</v>
      </c>
      <c r="Q264" s="10">
        <v>0</v>
      </c>
    </row>
    <row r="265" spans="1:17" x14ac:dyDescent="0.3">
      <c r="A265" s="9" t="s">
        <v>30</v>
      </c>
      <c r="B265" s="10">
        <v>19</v>
      </c>
      <c r="C265" s="10">
        <v>7</v>
      </c>
      <c r="D265" s="10">
        <v>5</v>
      </c>
      <c r="E265" s="10">
        <v>7</v>
      </c>
      <c r="G265" s="9" t="s">
        <v>30</v>
      </c>
      <c r="H265" s="10">
        <v>73</v>
      </c>
      <c r="I265" s="10">
        <v>32</v>
      </c>
      <c r="J265" s="10">
        <v>18</v>
      </c>
      <c r="K265" s="10">
        <v>23</v>
      </c>
      <c r="M265" s="9" t="s">
        <v>30</v>
      </c>
      <c r="N265" s="10">
        <v>51</v>
      </c>
      <c r="O265" s="10">
        <v>37</v>
      </c>
      <c r="P265" s="10">
        <v>8</v>
      </c>
      <c r="Q265" s="10">
        <v>6</v>
      </c>
    </row>
    <row r="266" spans="1:17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G266" s="9" t="s">
        <v>31</v>
      </c>
      <c r="H266" s="10">
        <v>0</v>
      </c>
      <c r="I266" s="10">
        <v>0</v>
      </c>
      <c r="J266" s="10">
        <v>0</v>
      </c>
      <c r="K266" s="10">
        <v>0</v>
      </c>
      <c r="M266" s="9" t="s">
        <v>31</v>
      </c>
      <c r="N266" s="10">
        <v>0</v>
      </c>
      <c r="O266" s="10">
        <v>0</v>
      </c>
      <c r="P266" s="10">
        <v>0</v>
      </c>
      <c r="Q266" s="10">
        <v>0</v>
      </c>
    </row>
    <row r="267" spans="1:17" x14ac:dyDescent="0.3">
      <c r="A267" s="11" t="s">
        <v>32</v>
      </c>
      <c r="B267" s="12">
        <v>79</v>
      </c>
      <c r="C267" s="12">
        <v>34</v>
      </c>
      <c r="D267" s="12">
        <v>22</v>
      </c>
      <c r="E267" s="12">
        <v>23</v>
      </c>
      <c r="G267" s="11" t="s">
        <v>32</v>
      </c>
      <c r="H267" s="12">
        <v>34</v>
      </c>
      <c r="I267" s="12">
        <v>14</v>
      </c>
      <c r="J267" s="12">
        <v>13</v>
      </c>
      <c r="K267" s="12">
        <v>7</v>
      </c>
      <c r="M267" s="11" t="s">
        <v>32</v>
      </c>
      <c r="N267" s="12">
        <v>108</v>
      </c>
      <c r="O267" s="12">
        <v>46</v>
      </c>
      <c r="P267" s="12">
        <v>34</v>
      </c>
      <c r="Q267" s="12">
        <v>28</v>
      </c>
    </row>
    <row r="268" spans="1:17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G268" s="13" t="s">
        <v>33</v>
      </c>
      <c r="H268" s="14">
        <v>1</v>
      </c>
      <c r="I268" s="14">
        <v>0</v>
      </c>
      <c r="J268" s="14">
        <v>1</v>
      </c>
      <c r="K268" s="14">
        <v>0</v>
      </c>
      <c r="M268" s="13" t="s">
        <v>33</v>
      </c>
      <c r="N268" s="14">
        <v>0</v>
      </c>
      <c r="O268" s="14">
        <v>0</v>
      </c>
      <c r="P268" s="14">
        <v>0</v>
      </c>
      <c r="Q268" s="14">
        <v>0</v>
      </c>
    </row>
    <row r="269" spans="1:17" x14ac:dyDescent="0.3">
      <c r="A269" s="13" t="s">
        <v>34</v>
      </c>
      <c r="B269" s="14">
        <v>79</v>
      </c>
      <c r="C269" s="14">
        <v>34</v>
      </c>
      <c r="D269" s="14">
        <v>22</v>
      </c>
      <c r="E269" s="14">
        <v>23</v>
      </c>
      <c r="G269" s="13" t="s">
        <v>34</v>
      </c>
      <c r="H269" s="14">
        <v>33</v>
      </c>
      <c r="I269" s="14">
        <v>14</v>
      </c>
      <c r="J269" s="14">
        <v>12</v>
      </c>
      <c r="K269" s="14">
        <v>7</v>
      </c>
      <c r="M269" s="13" t="s">
        <v>34</v>
      </c>
      <c r="N269" s="14">
        <v>108</v>
      </c>
      <c r="O269" s="14">
        <v>46</v>
      </c>
      <c r="P269" s="14">
        <v>34</v>
      </c>
      <c r="Q269" s="14">
        <v>28</v>
      </c>
    </row>
    <row r="270" spans="1:17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G270" s="15" t="s">
        <v>35</v>
      </c>
      <c r="H270" s="16">
        <v>0</v>
      </c>
      <c r="I270" s="16">
        <v>0</v>
      </c>
      <c r="J270" s="16">
        <v>0</v>
      </c>
      <c r="K270" s="16">
        <v>0</v>
      </c>
      <c r="M270" s="15" t="s">
        <v>35</v>
      </c>
      <c r="N270" s="16">
        <v>0</v>
      </c>
      <c r="O270" s="16">
        <v>0</v>
      </c>
      <c r="P270" s="16">
        <v>0</v>
      </c>
      <c r="Q270" s="16">
        <v>0</v>
      </c>
    </row>
    <row r="271" spans="1:17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G271" s="17" t="s">
        <v>36</v>
      </c>
      <c r="H271" s="78">
        <v>0</v>
      </c>
      <c r="I271" s="78">
        <v>0</v>
      </c>
      <c r="J271" s="78">
        <v>0</v>
      </c>
      <c r="K271" s="78">
        <v>0</v>
      </c>
      <c r="M271" s="17" t="s">
        <v>36</v>
      </c>
      <c r="N271" s="130">
        <v>0</v>
      </c>
      <c r="O271" s="130">
        <v>0</v>
      </c>
      <c r="P271" s="130">
        <v>0</v>
      </c>
      <c r="Q271" s="130">
        <v>0</v>
      </c>
    </row>
    <row r="272" spans="1:17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G272" s="17" t="s">
        <v>37</v>
      </c>
      <c r="H272" s="78">
        <v>0</v>
      </c>
      <c r="I272" s="78">
        <v>0</v>
      </c>
      <c r="J272" s="78">
        <v>0</v>
      </c>
      <c r="K272" s="78">
        <v>0</v>
      </c>
      <c r="M272" s="17" t="s">
        <v>37</v>
      </c>
      <c r="N272" s="130">
        <v>0</v>
      </c>
      <c r="O272" s="130">
        <v>0</v>
      </c>
      <c r="P272" s="130">
        <v>0</v>
      </c>
      <c r="Q272" s="130">
        <v>0</v>
      </c>
    </row>
    <row r="273" spans="1:17" x14ac:dyDescent="0.3">
      <c r="A273" s="17" t="s">
        <v>38</v>
      </c>
      <c r="B273" s="167" t="s">
        <v>339</v>
      </c>
      <c r="C273" s="168"/>
      <c r="D273" s="168"/>
      <c r="E273" s="168"/>
      <c r="G273" s="17" t="s">
        <v>38</v>
      </c>
      <c r="H273" s="167" t="s">
        <v>339</v>
      </c>
      <c r="I273" s="168"/>
      <c r="J273" s="168"/>
      <c r="K273" s="168"/>
      <c r="M273" s="17" t="s">
        <v>38</v>
      </c>
      <c r="N273" s="167" t="s">
        <v>339</v>
      </c>
      <c r="O273" s="168"/>
      <c r="P273" s="168"/>
      <c r="Q273" s="168"/>
    </row>
    <row r="274" spans="1:17" ht="19.8" x14ac:dyDescent="0.3">
      <c r="A274" s="170">
        <v>46104</v>
      </c>
      <c r="B274" s="168"/>
      <c r="C274" s="168"/>
      <c r="D274" s="168"/>
      <c r="E274" s="168"/>
      <c r="G274" s="171">
        <v>46128</v>
      </c>
      <c r="H274" s="174"/>
      <c r="I274" s="174"/>
      <c r="J274" s="174"/>
      <c r="K274" s="174"/>
      <c r="M274" s="170">
        <v>46160</v>
      </c>
      <c r="N274" s="168"/>
      <c r="O274" s="168"/>
      <c r="P274" s="168"/>
      <c r="Q274" s="168"/>
    </row>
    <row r="275" spans="1:17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G275" s="1" t="s">
        <v>0</v>
      </c>
      <c r="H275" s="1" t="s">
        <v>1</v>
      </c>
      <c r="I275" s="1" t="s">
        <v>2</v>
      </c>
      <c r="J275" s="1" t="s">
        <v>3</v>
      </c>
      <c r="K275" s="1" t="s">
        <v>40</v>
      </c>
      <c r="M275" s="1" t="s">
        <v>0</v>
      </c>
      <c r="N275" s="1" t="s">
        <v>1</v>
      </c>
      <c r="O275" s="1" t="s">
        <v>2</v>
      </c>
      <c r="P275" s="1" t="s">
        <v>3</v>
      </c>
      <c r="Q275" s="1" t="s">
        <v>40</v>
      </c>
    </row>
    <row r="276" spans="1:17" x14ac:dyDescent="0.3">
      <c r="A276" s="2" t="s">
        <v>5</v>
      </c>
      <c r="B276" s="3">
        <v>1925</v>
      </c>
      <c r="C276" s="3">
        <v>786</v>
      </c>
      <c r="D276" s="3">
        <v>589</v>
      </c>
      <c r="E276" s="3">
        <v>550</v>
      </c>
      <c r="G276" s="2" t="s">
        <v>5</v>
      </c>
      <c r="H276" s="3">
        <v>2592</v>
      </c>
      <c r="I276" s="3">
        <v>1424</v>
      </c>
      <c r="J276" s="3">
        <v>1168</v>
      </c>
      <c r="K276" s="3">
        <v>1029</v>
      </c>
      <c r="M276" s="2" t="s">
        <v>5</v>
      </c>
      <c r="N276" s="3">
        <v>5</v>
      </c>
      <c r="O276" s="3">
        <v>2</v>
      </c>
      <c r="P276" s="3">
        <v>1</v>
      </c>
      <c r="Q276" s="3">
        <v>2</v>
      </c>
    </row>
    <row r="277" spans="1:17" x14ac:dyDescent="0.3">
      <c r="A277" s="2" t="s">
        <v>6</v>
      </c>
      <c r="B277" s="3">
        <v>289</v>
      </c>
      <c r="C277" s="5">
        <v>123</v>
      </c>
      <c r="D277" s="6">
        <v>87</v>
      </c>
      <c r="E277" s="4">
        <v>79</v>
      </c>
      <c r="G277" s="2" t="s">
        <v>6</v>
      </c>
      <c r="H277" s="3">
        <v>308</v>
      </c>
      <c r="I277" s="5">
        <v>209</v>
      </c>
      <c r="J277" s="6">
        <v>99</v>
      </c>
      <c r="K277" s="5">
        <v>133</v>
      </c>
      <c r="M277" s="2" t="s">
        <v>6</v>
      </c>
      <c r="N277" s="3">
        <v>0</v>
      </c>
      <c r="O277" s="5">
        <v>0</v>
      </c>
      <c r="P277" s="6">
        <v>0</v>
      </c>
      <c r="Q277" s="5">
        <v>0</v>
      </c>
    </row>
    <row r="278" spans="1:17" x14ac:dyDescent="0.3">
      <c r="A278" s="2" t="s">
        <v>7</v>
      </c>
      <c r="B278" s="3" t="s">
        <v>838</v>
      </c>
      <c r="C278" s="5" t="s">
        <v>839</v>
      </c>
      <c r="D278" s="6" t="s">
        <v>840</v>
      </c>
      <c r="E278" s="4" t="s">
        <v>841</v>
      </c>
      <c r="G278" s="2" t="s">
        <v>7</v>
      </c>
      <c r="H278" s="3" t="s">
        <v>244</v>
      </c>
      <c r="I278" s="5" t="s">
        <v>1511</v>
      </c>
      <c r="J278" s="6" t="s">
        <v>217</v>
      </c>
      <c r="K278" s="5" t="s">
        <v>562</v>
      </c>
      <c r="M278" s="2" t="s">
        <v>7</v>
      </c>
      <c r="N278" s="3">
        <v>0</v>
      </c>
      <c r="O278" s="5">
        <v>0</v>
      </c>
      <c r="P278" s="5">
        <v>0</v>
      </c>
      <c r="Q278" s="5">
        <v>0</v>
      </c>
    </row>
    <row r="279" spans="1:17" x14ac:dyDescent="0.3">
      <c r="A279" s="2" t="s">
        <v>12</v>
      </c>
      <c r="B279" s="3" t="s">
        <v>834</v>
      </c>
      <c r="C279" s="5" t="s">
        <v>504</v>
      </c>
      <c r="D279" s="4" t="s">
        <v>842</v>
      </c>
      <c r="E279" s="6" t="s">
        <v>766</v>
      </c>
      <c r="G279" s="2" t="s">
        <v>12</v>
      </c>
      <c r="H279" s="3" t="s">
        <v>739</v>
      </c>
      <c r="I279" s="5" t="s">
        <v>1115</v>
      </c>
      <c r="J279" s="6" t="s">
        <v>380</v>
      </c>
      <c r="K279" s="5" t="s">
        <v>171</v>
      </c>
      <c r="M279" s="2" t="s">
        <v>12</v>
      </c>
      <c r="N279" s="3" t="s">
        <v>25</v>
      </c>
      <c r="O279" s="3" t="s">
        <v>25</v>
      </c>
      <c r="P279" s="3" t="s">
        <v>25</v>
      </c>
      <c r="Q279" s="3" t="s">
        <v>25</v>
      </c>
    </row>
    <row r="280" spans="1:17" x14ac:dyDescent="0.3">
      <c r="A280" s="2" t="s">
        <v>17</v>
      </c>
      <c r="B280" s="3" t="s">
        <v>843</v>
      </c>
      <c r="C280" s="5" t="s">
        <v>844</v>
      </c>
      <c r="D280" s="6" t="s">
        <v>845</v>
      </c>
      <c r="E280" s="4" t="s">
        <v>846</v>
      </c>
      <c r="G280" s="2" t="s">
        <v>17</v>
      </c>
      <c r="H280" s="3" t="s">
        <v>116</v>
      </c>
      <c r="I280" s="5" t="s">
        <v>637</v>
      </c>
      <c r="J280" s="6" t="s">
        <v>974</v>
      </c>
      <c r="K280" s="5" t="s">
        <v>1467</v>
      </c>
      <c r="M280" s="2" t="s">
        <v>17</v>
      </c>
      <c r="N280" s="3">
        <v>0</v>
      </c>
      <c r="O280" s="5">
        <v>0</v>
      </c>
      <c r="P280" s="5">
        <v>0</v>
      </c>
      <c r="Q280" s="5">
        <v>0</v>
      </c>
    </row>
    <row r="281" spans="1:17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G281" s="2" t="s">
        <v>22</v>
      </c>
      <c r="H281" s="3" t="s">
        <v>25</v>
      </c>
      <c r="I281" s="3" t="s">
        <v>25</v>
      </c>
      <c r="J281" s="3" t="s">
        <v>25</v>
      </c>
      <c r="K281" s="5" t="s">
        <v>227</v>
      </c>
      <c r="M281" s="2" t="s">
        <v>22</v>
      </c>
      <c r="N281" s="3">
        <v>0</v>
      </c>
      <c r="O281" s="5">
        <v>0</v>
      </c>
      <c r="P281" s="5">
        <v>0</v>
      </c>
      <c r="Q281" s="5">
        <v>0</v>
      </c>
    </row>
    <row r="282" spans="1:17" x14ac:dyDescent="0.3">
      <c r="A282" s="7" t="s">
        <v>26</v>
      </c>
      <c r="B282" s="8">
        <v>97</v>
      </c>
      <c r="C282" s="8">
        <v>41</v>
      </c>
      <c r="D282" s="8">
        <v>28</v>
      </c>
      <c r="E282" s="8">
        <v>28</v>
      </c>
      <c r="G282" s="7" t="s">
        <v>26</v>
      </c>
      <c r="H282" s="8">
        <v>244</v>
      </c>
      <c r="I282" s="8">
        <v>171</v>
      </c>
      <c r="J282" s="8">
        <v>73</v>
      </c>
      <c r="K282" s="8">
        <v>101</v>
      </c>
      <c r="M282" s="7" t="s">
        <v>26</v>
      </c>
      <c r="N282" s="8">
        <v>0</v>
      </c>
      <c r="O282" s="8">
        <v>0</v>
      </c>
      <c r="P282" s="8">
        <v>0</v>
      </c>
      <c r="Q282" s="8">
        <v>0</v>
      </c>
    </row>
    <row r="283" spans="1:17" x14ac:dyDescent="0.3">
      <c r="A283" s="9" t="s">
        <v>27</v>
      </c>
      <c r="B283" s="10">
        <v>39</v>
      </c>
      <c r="C283" s="10">
        <v>14</v>
      </c>
      <c r="D283" s="10">
        <v>15</v>
      </c>
      <c r="E283" s="10">
        <v>10</v>
      </c>
      <c r="G283" s="9" t="s">
        <v>27</v>
      </c>
      <c r="H283" s="10">
        <v>117</v>
      </c>
      <c r="I283" s="10">
        <v>59</v>
      </c>
      <c r="J283" s="10">
        <v>58</v>
      </c>
      <c r="K283" s="10">
        <v>49</v>
      </c>
      <c r="M283" s="9" t="s">
        <v>27</v>
      </c>
      <c r="N283" s="10">
        <v>0</v>
      </c>
      <c r="O283" s="10">
        <v>0</v>
      </c>
      <c r="P283" s="10">
        <v>0</v>
      </c>
      <c r="Q283" s="10">
        <v>0</v>
      </c>
    </row>
    <row r="284" spans="1:17" x14ac:dyDescent="0.3">
      <c r="A284" s="9" t="s">
        <v>28</v>
      </c>
      <c r="B284" s="10">
        <v>2</v>
      </c>
      <c r="C284" s="10">
        <v>0</v>
      </c>
      <c r="D284" s="10">
        <v>1</v>
      </c>
      <c r="E284" s="10">
        <v>1</v>
      </c>
      <c r="G284" s="9" t="s">
        <v>28</v>
      </c>
      <c r="H284" s="10">
        <v>2</v>
      </c>
      <c r="I284" s="10">
        <v>2</v>
      </c>
      <c r="J284" s="10">
        <v>0</v>
      </c>
      <c r="K284" s="10">
        <v>6</v>
      </c>
      <c r="M284" s="9" t="s">
        <v>28</v>
      </c>
      <c r="N284" s="10">
        <v>0</v>
      </c>
      <c r="O284" s="10">
        <v>0</v>
      </c>
      <c r="P284" s="10">
        <v>0</v>
      </c>
      <c r="Q284" s="10">
        <v>0</v>
      </c>
    </row>
    <row r="285" spans="1:17" x14ac:dyDescent="0.3">
      <c r="A285" s="9" t="s">
        <v>29</v>
      </c>
      <c r="B285" s="10">
        <v>14</v>
      </c>
      <c r="C285" s="10">
        <v>7</v>
      </c>
      <c r="D285" s="10">
        <v>0</v>
      </c>
      <c r="E285" s="10">
        <v>7</v>
      </c>
      <c r="G285" s="9" t="s">
        <v>29</v>
      </c>
      <c r="H285" s="10">
        <v>67</v>
      </c>
      <c r="I285" s="10">
        <v>67</v>
      </c>
      <c r="J285" s="10">
        <v>0</v>
      </c>
      <c r="K285" s="10">
        <v>0</v>
      </c>
      <c r="M285" s="9" t="s">
        <v>29</v>
      </c>
      <c r="N285" s="10">
        <v>0</v>
      </c>
      <c r="O285" s="10">
        <v>0</v>
      </c>
      <c r="P285" s="10">
        <v>0</v>
      </c>
      <c r="Q285" s="10">
        <v>0</v>
      </c>
    </row>
    <row r="286" spans="1:17" x14ac:dyDescent="0.3">
      <c r="A286" s="9" t="s">
        <v>30</v>
      </c>
      <c r="B286" s="10">
        <v>42</v>
      </c>
      <c r="C286" s="10">
        <v>20</v>
      </c>
      <c r="D286" s="10">
        <v>12</v>
      </c>
      <c r="E286" s="10">
        <v>10</v>
      </c>
      <c r="G286" s="9" t="s">
        <v>30</v>
      </c>
      <c r="H286" s="10">
        <v>58</v>
      </c>
      <c r="I286" s="10">
        <v>43</v>
      </c>
      <c r="J286" s="10">
        <v>15</v>
      </c>
      <c r="K286" s="10">
        <v>46</v>
      </c>
      <c r="M286" s="9" t="s">
        <v>30</v>
      </c>
      <c r="N286" s="10">
        <v>0</v>
      </c>
      <c r="O286" s="10">
        <v>0</v>
      </c>
      <c r="P286" s="10">
        <v>0</v>
      </c>
      <c r="Q286" s="10">
        <v>0</v>
      </c>
    </row>
    <row r="287" spans="1:17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G287" s="9" t="s">
        <v>31</v>
      </c>
      <c r="H287" s="10">
        <v>0</v>
      </c>
      <c r="I287" s="10">
        <v>0</v>
      </c>
      <c r="J287" s="10">
        <v>0</v>
      </c>
      <c r="K287" s="10">
        <v>0</v>
      </c>
      <c r="M287" s="9" t="s">
        <v>31</v>
      </c>
      <c r="N287" s="10">
        <v>0</v>
      </c>
      <c r="O287" s="10">
        <v>0</v>
      </c>
      <c r="P287" s="10">
        <v>0</v>
      </c>
      <c r="Q287" s="10">
        <v>0</v>
      </c>
    </row>
    <row r="288" spans="1:17" x14ac:dyDescent="0.3">
      <c r="A288" s="11" t="s">
        <v>32</v>
      </c>
      <c r="B288" s="12">
        <v>192</v>
      </c>
      <c r="C288" s="12">
        <v>82</v>
      </c>
      <c r="D288" s="12">
        <v>59</v>
      </c>
      <c r="E288" s="12">
        <v>51</v>
      </c>
      <c r="G288" s="11" t="s">
        <v>32</v>
      </c>
      <c r="H288" s="12">
        <v>64</v>
      </c>
      <c r="I288" s="12">
        <v>38</v>
      </c>
      <c r="J288" s="12">
        <v>26</v>
      </c>
      <c r="K288" s="12">
        <v>32</v>
      </c>
      <c r="M288" s="11" t="s">
        <v>32</v>
      </c>
      <c r="N288" s="12">
        <v>0</v>
      </c>
      <c r="O288" s="12">
        <v>0</v>
      </c>
      <c r="P288" s="12">
        <v>0</v>
      </c>
      <c r="Q288" s="12">
        <v>0</v>
      </c>
    </row>
    <row r="289" spans="1:17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G289" s="13" t="s">
        <v>33</v>
      </c>
      <c r="H289" s="14">
        <v>0</v>
      </c>
      <c r="I289" s="14">
        <v>0</v>
      </c>
      <c r="J289" s="14">
        <v>0</v>
      </c>
      <c r="K289" s="14">
        <v>0</v>
      </c>
      <c r="M289" s="13" t="s">
        <v>33</v>
      </c>
      <c r="N289" s="14">
        <v>0</v>
      </c>
      <c r="O289" s="14">
        <v>0</v>
      </c>
      <c r="P289" s="14">
        <v>0</v>
      </c>
      <c r="Q289" s="14">
        <v>0</v>
      </c>
    </row>
    <row r="290" spans="1:17" x14ac:dyDescent="0.3">
      <c r="A290" s="13" t="s">
        <v>34</v>
      </c>
      <c r="B290" s="14">
        <v>192</v>
      </c>
      <c r="C290" s="14">
        <v>82</v>
      </c>
      <c r="D290" s="14">
        <v>59</v>
      </c>
      <c r="E290" s="14">
        <v>51</v>
      </c>
      <c r="G290" s="13" t="s">
        <v>34</v>
      </c>
      <c r="H290" s="14">
        <v>64</v>
      </c>
      <c r="I290" s="14">
        <v>38</v>
      </c>
      <c r="J290" s="14">
        <v>26</v>
      </c>
      <c r="K290" s="14">
        <v>32</v>
      </c>
      <c r="M290" s="13" t="s">
        <v>34</v>
      </c>
      <c r="N290" s="14">
        <v>0</v>
      </c>
      <c r="O290" s="14">
        <v>0</v>
      </c>
      <c r="P290" s="14">
        <v>0</v>
      </c>
      <c r="Q290" s="14">
        <v>0</v>
      </c>
    </row>
    <row r="291" spans="1:17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G291" s="15" t="s">
        <v>35</v>
      </c>
      <c r="H291" s="16">
        <v>0</v>
      </c>
      <c r="I291" s="16">
        <v>0</v>
      </c>
      <c r="J291" s="16">
        <v>0</v>
      </c>
      <c r="K291" s="16">
        <v>3</v>
      </c>
      <c r="M291" s="15" t="s">
        <v>35</v>
      </c>
      <c r="N291" s="16">
        <v>0</v>
      </c>
      <c r="O291" s="16">
        <v>0</v>
      </c>
      <c r="P291" s="16">
        <v>0</v>
      </c>
      <c r="Q291" s="16">
        <v>0</v>
      </c>
    </row>
    <row r="292" spans="1:17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G292" s="17" t="s">
        <v>36</v>
      </c>
      <c r="H292" s="88">
        <v>0</v>
      </c>
      <c r="I292" s="88">
        <v>0</v>
      </c>
      <c r="J292" s="88">
        <v>0</v>
      </c>
      <c r="K292" s="88">
        <v>2</v>
      </c>
      <c r="M292" s="17" t="s">
        <v>36</v>
      </c>
      <c r="N292" s="130">
        <v>0</v>
      </c>
      <c r="O292" s="130">
        <v>0</v>
      </c>
      <c r="P292" s="130">
        <v>0</v>
      </c>
      <c r="Q292" s="130">
        <v>0</v>
      </c>
    </row>
    <row r="293" spans="1:17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G293" s="17" t="s">
        <v>37</v>
      </c>
      <c r="H293" s="88">
        <v>0</v>
      </c>
      <c r="I293" s="88">
        <v>0</v>
      </c>
      <c r="J293" s="88">
        <v>0</v>
      </c>
      <c r="K293" s="88">
        <v>1</v>
      </c>
      <c r="M293" s="17" t="s">
        <v>37</v>
      </c>
      <c r="N293" s="130">
        <v>0</v>
      </c>
      <c r="O293" s="130">
        <v>0</v>
      </c>
      <c r="P293" s="130">
        <v>0</v>
      </c>
      <c r="Q293" s="130">
        <v>0</v>
      </c>
    </row>
    <row r="294" spans="1:17" x14ac:dyDescent="0.3">
      <c r="A294" s="17" t="s">
        <v>38</v>
      </c>
      <c r="B294" s="167" t="s">
        <v>339</v>
      </c>
      <c r="C294" s="168"/>
      <c r="D294" s="168"/>
      <c r="E294" s="168"/>
      <c r="G294" s="17" t="s">
        <v>38</v>
      </c>
      <c r="H294" s="172" t="s">
        <v>339</v>
      </c>
      <c r="I294" s="173"/>
      <c r="J294" s="173"/>
      <c r="K294" s="173"/>
      <c r="M294" s="17" t="s">
        <v>38</v>
      </c>
      <c r="N294" s="167"/>
      <c r="O294" s="168"/>
      <c r="P294" s="168"/>
      <c r="Q294" s="168"/>
    </row>
    <row r="295" spans="1:17" ht="19.8" x14ac:dyDescent="0.3">
      <c r="A295" s="170">
        <v>46105</v>
      </c>
      <c r="B295" s="168"/>
      <c r="C295" s="168"/>
      <c r="D295" s="168"/>
      <c r="E295" s="168"/>
      <c r="G295" s="170">
        <v>46129</v>
      </c>
      <c r="H295" s="168"/>
      <c r="I295" s="168"/>
      <c r="J295" s="168"/>
      <c r="K295" s="168"/>
      <c r="M295" s="170">
        <v>46161</v>
      </c>
      <c r="N295" s="168"/>
      <c r="O295" s="168"/>
      <c r="P295" s="168"/>
      <c r="Q295" s="168"/>
    </row>
    <row r="296" spans="1:17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G296" s="1" t="s">
        <v>0</v>
      </c>
      <c r="H296" s="1" t="s">
        <v>1</v>
      </c>
      <c r="I296" s="1" t="s">
        <v>2</v>
      </c>
      <c r="J296" s="1" t="s">
        <v>3</v>
      </c>
      <c r="K296" s="1" t="s">
        <v>40</v>
      </c>
      <c r="M296" s="1" t="s">
        <v>0</v>
      </c>
      <c r="N296" s="1" t="s">
        <v>1</v>
      </c>
      <c r="O296" s="1" t="s">
        <v>2</v>
      </c>
      <c r="P296" s="1" t="s">
        <v>3</v>
      </c>
      <c r="Q296" s="1" t="s">
        <v>40</v>
      </c>
    </row>
    <row r="297" spans="1:17" x14ac:dyDescent="0.3">
      <c r="A297" s="2" t="s">
        <v>5</v>
      </c>
      <c r="B297" s="3">
        <v>2868</v>
      </c>
      <c r="C297" s="3">
        <v>1433</v>
      </c>
      <c r="D297" s="3">
        <v>556</v>
      </c>
      <c r="E297" s="3">
        <v>879</v>
      </c>
      <c r="G297" s="2" t="s">
        <v>5</v>
      </c>
      <c r="H297" s="3">
        <v>3608</v>
      </c>
      <c r="I297" s="3">
        <v>1488</v>
      </c>
      <c r="J297" s="3">
        <v>1170</v>
      </c>
      <c r="K297" s="3">
        <v>950</v>
      </c>
      <c r="M297" s="2" t="s">
        <v>5</v>
      </c>
      <c r="N297" s="3">
        <v>3087</v>
      </c>
      <c r="O297" s="3">
        <v>1301</v>
      </c>
      <c r="P297" s="3">
        <v>1079</v>
      </c>
      <c r="Q297" s="3">
        <v>707</v>
      </c>
    </row>
    <row r="298" spans="1:17" x14ac:dyDescent="0.3">
      <c r="A298" s="2" t="s">
        <v>6</v>
      </c>
      <c r="B298" s="3">
        <v>358</v>
      </c>
      <c r="C298" s="5">
        <v>168</v>
      </c>
      <c r="D298" s="4">
        <v>72</v>
      </c>
      <c r="E298" s="6">
        <v>118</v>
      </c>
      <c r="G298" s="2" t="s">
        <v>6</v>
      </c>
      <c r="H298" s="3">
        <v>666</v>
      </c>
      <c r="I298" s="5">
        <v>310</v>
      </c>
      <c r="J298" s="6">
        <v>182</v>
      </c>
      <c r="K298" s="4">
        <v>174</v>
      </c>
      <c r="M298" s="2" t="s">
        <v>6</v>
      </c>
      <c r="N298" s="3">
        <v>333</v>
      </c>
      <c r="O298" s="5">
        <v>205</v>
      </c>
      <c r="P298" s="4">
        <v>53</v>
      </c>
      <c r="Q298" s="6">
        <v>75</v>
      </c>
    </row>
    <row r="299" spans="1:17" x14ac:dyDescent="0.3">
      <c r="A299" s="2" t="s">
        <v>7</v>
      </c>
      <c r="B299" s="3" t="s">
        <v>897</v>
      </c>
      <c r="C299" s="4" t="s">
        <v>898</v>
      </c>
      <c r="D299" s="6" t="s">
        <v>899</v>
      </c>
      <c r="E299" s="5" t="s">
        <v>900</v>
      </c>
      <c r="G299" s="2" t="s">
        <v>7</v>
      </c>
      <c r="H299" s="3" t="s">
        <v>1525</v>
      </c>
      <c r="I299" s="5" t="s">
        <v>1526</v>
      </c>
      <c r="J299" s="4" t="s">
        <v>1527</v>
      </c>
      <c r="K299" s="6" t="s">
        <v>1528</v>
      </c>
      <c r="M299" s="2" t="s">
        <v>7</v>
      </c>
      <c r="N299" s="3" t="s">
        <v>827</v>
      </c>
      <c r="O299" s="5" t="s">
        <v>1936</v>
      </c>
      <c r="P299" s="4" t="s">
        <v>1937</v>
      </c>
      <c r="Q299" s="6" t="s">
        <v>1315</v>
      </c>
    </row>
    <row r="300" spans="1:17" x14ac:dyDescent="0.3">
      <c r="A300" s="2" t="s">
        <v>12</v>
      </c>
      <c r="B300" s="3" t="s">
        <v>600</v>
      </c>
      <c r="C300" s="6" t="s">
        <v>901</v>
      </c>
      <c r="D300" s="4" t="s">
        <v>213</v>
      </c>
      <c r="E300" s="5" t="s">
        <v>175</v>
      </c>
      <c r="G300" s="2" t="s">
        <v>12</v>
      </c>
      <c r="H300" s="3" t="s">
        <v>1529</v>
      </c>
      <c r="I300" s="5" t="s">
        <v>1530</v>
      </c>
      <c r="J300" s="4" t="s">
        <v>883</v>
      </c>
      <c r="K300" s="6" t="s">
        <v>907</v>
      </c>
      <c r="M300" s="2" t="s">
        <v>12</v>
      </c>
      <c r="N300" s="3" t="s">
        <v>1269</v>
      </c>
      <c r="O300" s="5" t="s">
        <v>1938</v>
      </c>
      <c r="P300" s="4" t="s">
        <v>1703</v>
      </c>
      <c r="Q300" s="6" t="s">
        <v>785</v>
      </c>
    </row>
    <row r="301" spans="1:17" x14ac:dyDescent="0.3">
      <c r="A301" s="2" t="s">
        <v>17</v>
      </c>
      <c r="B301" s="3" t="s">
        <v>529</v>
      </c>
      <c r="C301" s="6" t="s">
        <v>902</v>
      </c>
      <c r="D301" s="5" t="s">
        <v>903</v>
      </c>
      <c r="E301" s="4" t="s">
        <v>904</v>
      </c>
      <c r="G301" s="2" t="s">
        <v>17</v>
      </c>
      <c r="H301" s="3" t="s">
        <v>1038</v>
      </c>
      <c r="I301" s="5" t="s">
        <v>359</v>
      </c>
      <c r="J301" s="6" t="s">
        <v>61</v>
      </c>
      <c r="K301" s="4" t="s">
        <v>1092</v>
      </c>
      <c r="M301" s="2" t="s">
        <v>17</v>
      </c>
      <c r="N301" s="3" t="s">
        <v>1502</v>
      </c>
      <c r="O301" s="5" t="s">
        <v>196</v>
      </c>
      <c r="P301" s="4" t="s">
        <v>1246</v>
      </c>
      <c r="Q301" s="6" t="s">
        <v>431</v>
      </c>
    </row>
    <row r="302" spans="1:17" x14ac:dyDescent="0.3">
      <c r="A302" s="2" t="s">
        <v>22</v>
      </c>
      <c r="B302" s="3" t="s">
        <v>81</v>
      </c>
      <c r="C302" s="6" t="s">
        <v>310</v>
      </c>
      <c r="D302" s="5" t="s">
        <v>109</v>
      </c>
      <c r="E302" s="3" t="s">
        <v>25</v>
      </c>
      <c r="G302" s="2" t="s">
        <v>22</v>
      </c>
      <c r="H302" s="3" t="s">
        <v>552</v>
      </c>
      <c r="I302" s="3" t="s">
        <v>25</v>
      </c>
      <c r="J302" s="3" t="s">
        <v>25</v>
      </c>
      <c r="K302" s="5" t="s">
        <v>49</v>
      </c>
      <c r="M302" s="2" t="s">
        <v>22</v>
      </c>
      <c r="N302" s="3" t="s">
        <v>81</v>
      </c>
      <c r="O302" s="4" t="s">
        <v>309</v>
      </c>
      <c r="P302" s="6" t="s">
        <v>84</v>
      </c>
      <c r="Q302" s="5" t="s">
        <v>310</v>
      </c>
    </row>
    <row r="303" spans="1:17" x14ac:dyDescent="0.3">
      <c r="A303" s="7" t="s">
        <v>26</v>
      </c>
      <c r="B303" s="8">
        <v>182</v>
      </c>
      <c r="C303" s="8">
        <v>81</v>
      </c>
      <c r="D303" s="8">
        <v>31</v>
      </c>
      <c r="E303" s="8">
        <v>70</v>
      </c>
      <c r="G303" s="7" t="s">
        <v>26</v>
      </c>
      <c r="H303" s="8">
        <v>426</v>
      </c>
      <c r="I303" s="8">
        <v>207</v>
      </c>
      <c r="J303" s="8">
        <v>107</v>
      </c>
      <c r="K303" s="8">
        <v>112</v>
      </c>
      <c r="M303" s="7" t="s">
        <v>26</v>
      </c>
      <c r="N303" s="8">
        <v>282</v>
      </c>
      <c r="O303" s="8">
        <v>179</v>
      </c>
      <c r="P303" s="8">
        <v>39</v>
      </c>
      <c r="Q303" s="8">
        <v>64</v>
      </c>
    </row>
    <row r="304" spans="1:17" x14ac:dyDescent="0.3">
      <c r="A304" s="9" t="s">
        <v>27</v>
      </c>
      <c r="B304" s="10">
        <v>67</v>
      </c>
      <c r="C304" s="10">
        <v>35</v>
      </c>
      <c r="D304" s="10">
        <v>21</v>
      </c>
      <c r="E304" s="10">
        <v>11</v>
      </c>
      <c r="G304" s="9" t="s">
        <v>27</v>
      </c>
      <c r="H304" s="10">
        <v>228</v>
      </c>
      <c r="I304" s="10">
        <v>95</v>
      </c>
      <c r="J304" s="10">
        <v>75</v>
      </c>
      <c r="K304" s="10">
        <v>58</v>
      </c>
      <c r="M304" s="9" t="s">
        <v>27</v>
      </c>
      <c r="N304" s="10">
        <v>148</v>
      </c>
      <c r="O304" s="10">
        <v>75</v>
      </c>
      <c r="P304" s="10">
        <v>27</v>
      </c>
      <c r="Q304" s="10">
        <v>46</v>
      </c>
    </row>
    <row r="305" spans="1:17" x14ac:dyDescent="0.3">
      <c r="A305" s="9" t="s">
        <v>28</v>
      </c>
      <c r="B305" s="10">
        <v>3</v>
      </c>
      <c r="C305" s="10">
        <v>0</v>
      </c>
      <c r="D305" s="10">
        <v>0</v>
      </c>
      <c r="E305" s="10">
        <v>3</v>
      </c>
      <c r="G305" s="9" t="s">
        <v>28</v>
      </c>
      <c r="H305" s="10">
        <v>16</v>
      </c>
      <c r="I305" s="10">
        <v>2</v>
      </c>
      <c r="J305" s="10">
        <v>5</v>
      </c>
      <c r="K305" s="10">
        <v>9</v>
      </c>
      <c r="M305" s="9" t="s">
        <v>28</v>
      </c>
      <c r="N305" s="10">
        <v>1</v>
      </c>
      <c r="O305" s="10">
        <v>0</v>
      </c>
      <c r="P305" s="10">
        <v>1</v>
      </c>
      <c r="Q305" s="10">
        <v>0</v>
      </c>
    </row>
    <row r="306" spans="1:17" x14ac:dyDescent="0.3">
      <c r="A306" s="9" t="s">
        <v>29</v>
      </c>
      <c r="B306" s="10">
        <v>48</v>
      </c>
      <c r="C306" s="10">
        <v>14</v>
      </c>
      <c r="D306" s="10">
        <v>0</v>
      </c>
      <c r="E306" s="10">
        <v>34</v>
      </c>
      <c r="G306" s="9" t="s">
        <v>29</v>
      </c>
      <c r="H306" s="10">
        <v>52</v>
      </c>
      <c r="I306" s="10">
        <v>52</v>
      </c>
      <c r="J306" s="10">
        <v>0</v>
      </c>
      <c r="K306" s="10">
        <v>0</v>
      </c>
      <c r="M306" s="9" t="s">
        <v>29</v>
      </c>
      <c r="N306" s="10">
        <v>80</v>
      </c>
      <c r="O306" s="10">
        <v>80</v>
      </c>
      <c r="P306" s="10">
        <v>0</v>
      </c>
      <c r="Q306" s="10">
        <v>0</v>
      </c>
    </row>
    <row r="307" spans="1:17" x14ac:dyDescent="0.3">
      <c r="A307" s="9" t="s">
        <v>30</v>
      </c>
      <c r="B307" s="10">
        <v>64</v>
      </c>
      <c r="C307" s="10">
        <v>32</v>
      </c>
      <c r="D307" s="10">
        <v>10</v>
      </c>
      <c r="E307" s="10">
        <v>22</v>
      </c>
      <c r="G307" s="9" t="s">
        <v>30</v>
      </c>
      <c r="H307" s="10">
        <v>130</v>
      </c>
      <c r="I307" s="10">
        <v>58</v>
      </c>
      <c r="J307" s="10">
        <v>27</v>
      </c>
      <c r="K307" s="10">
        <v>45</v>
      </c>
      <c r="M307" s="9" t="s">
        <v>30</v>
      </c>
      <c r="N307" s="10">
        <v>53</v>
      </c>
      <c r="O307" s="10">
        <v>24</v>
      </c>
      <c r="P307" s="10">
        <v>11</v>
      </c>
      <c r="Q307" s="10">
        <v>18</v>
      </c>
    </row>
    <row r="308" spans="1:17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G308" s="9" t="s">
        <v>31</v>
      </c>
      <c r="H308" s="10">
        <v>0</v>
      </c>
      <c r="I308" s="10">
        <v>0</v>
      </c>
      <c r="J308" s="10">
        <v>0</v>
      </c>
      <c r="K308" s="10">
        <v>0</v>
      </c>
      <c r="M308" s="9" t="s">
        <v>31</v>
      </c>
      <c r="N308" s="10">
        <v>0</v>
      </c>
      <c r="O308" s="10">
        <v>0</v>
      </c>
      <c r="P308" s="10">
        <v>0</v>
      </c>
      <c r="Q308" s="10">
        <v>0</v>
      </c>
    </row>
    <row r="309" spans="1:17" x14ac:dyDescent="0.3">
      <c r="A309" s="11" t="s">
        <v>32</v>
      </c>
      <c r="B309" s="12">
        <v>175</v>
      </c>
      <c r="C309" s="12">
        <v>87</v>
      </c>
      <c r="D309" s="12">
        <v>41</v>
      </c>
      <c r="E309" s="12">
        <v>47</v>
      </c>
      <c r="G309" s="11" t="s">
        <v>32</v>
      </c>
      <c r="H309" s="12">
        <v>238</v>
      </c>
      <c r="I309" s="12">
        <v>103</v>
      </c>
      <c r="J309" s="12">
        <v>75</v>
      </c>
      <c r="K309" s="12">
        <v>60</v>
      </c>
      <c r="M309" s="11" t="s">
        <v>32</v>
      </c>
      <c r="N309" s="12">
        <v>50</v>
      </c>
      <c r="O309" s="12">
        <v>26</v>
      </c>
      <c r="P309" s="12">
        <v>14</v>
      </c>
      <c r="Q309" s="12">
        <v>10</v>
      </c>
    </row>
    <row r="310" spans="1:17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G310" s="13" t="s">
        <v>33</v>
      </c>
      <c r="H310" s="14">
        <v>0</v>
      </c>
      <c r="I310" s="14">
        <v>0</v>
      </c>
      <c r="J310" s="14">
        <v>0</v>
      </c>
      <c r="K310" s="14">
        <v>0</v>
      </c>
      <c r="M310" s="13" t="s">
        <v>33</v>
      </c>
      <c r="N310" s="14">
        <v>1</v>
      </c>
      <c r="O310" s="14">
        <v>1</v>
      </c>
      <c r="P310" s="14">
        <v>0</v>
      </c>
      <c r="Q310" s="14">
        <v>0</v>
      </c>
    </row>
    <row r="311" spans="1:17" x14ac:dyDescent="0.3">
      <c r="A311" s="13" t="s">
        <v>34</v>
      </c>
      <c r="B311" s="14">
        <v>175</v>
      </c>
      <c r="C311" s="14">
        <v>87</v>
      </c>
      <c r="D311" s="14">
        <v>41</v>
      </c>
      <c r="E311" s="14">
        <v>47</v>
      </c>
      <c r="G311" s="13" t="s">
        <v>34</v>
      </c>
      <c r="H311" s="14">
        <v>238</v>
      </c>
      <c r="I311" s="14">
        <v>103</v>
      </c>
      <c r="J311" s="14">
        <v>75</v>
      </c>
      <c r="K311" s="14">
        <v>60</v>
      </c>
      <c r="M311" s="13" t="s">
        <v>34</v>
      </c>
      <c r="N311" s="14">
        <v>49</v>
      </c>
      <c r="O311" s="14">
        <v>25</v>
      </c>
      <c r="P311" s="14">
        <v>14</v>
      </c>
      <c r="Q311" s="14">
        <v>10</v>
      </c>
    </row>
    <row r="312" spans="1:17" x14ac:dyDescent="0.3">
      <c r="A312" s="15" t="s">
        <v>35</v>
      </c>
      <c r="B312" s="16">
        <v>3</v>
      </c>
      <c r="C312" s="16">
        <v>2</v>
      </c>
      <c r="D312" s="16">
        <v>1</v>
      </c>
      <c r="E312" s="16">
        <v>0</v>
      </c>
      <c r="G312" s="15" t="s">
        <v>35</v>
      </c>
      <c r="H312" s="16">
        <v>1</v>
      </c>
      <c r="I312" s="16">
        <v>0</v>
      </c>
      <c r="J312" s="16">
        <v>0</v>
      </c>
      <c r="K312" s="16">
        <v>1</v>
      </c>
      <c r="M312" s="15" t="s">
        <v>35</v>
      </c>
      <c r="N312" s="16">
        <v>3</v>
      </c>
      <c r="O312" s="16">
        <v>1</v>
      </c>
      <c r="P312" s="16">
        <v>1</v>
      </c>
      <c r="Q312" s="16">
        <v>1</v>
      </c>
    </row>
    <row r="313" spans="1:17" x14ac:dyDescent="0.3">
      <c r="A313" s="17" t="s">
        <v>36</v>
      </c>
      <c r="B313" s="18">
        <v>1</v>
      </c>
      <c r="C313" s="18">
        <v>1</v>
      </c>
      <c r="D313" s="18">
        <v>0</v>
      </c>
      <c r="E313" s="18">
        <v>0</v>
      </c>
      <c r="G313" s="17" t="s">
        <v>36</v>
      </c>
      <c r="H313" s="99">
        <v>1</v>
      </c>
      <c r="I313" s="99">
        <v>0</v>
      </c>
      <c r="J313" s="99">
        <v>0</v>
      </c>
      <c r="K313" s="99">
        <v>1</v>
      </c>
      <c r="M313" s="17" t="s">
        <v>36</v>
      </c>
      <c r="N313" s="130">
        <v>3</v>
      </c>
      <c r="O313" s="130">
        <v>1</v>
      </c>
      <c r="P313" s="130">
        <v>1</v>
      </c>
      <c r="Q313" s="130">
        <v>1</v>
      </c>
    </row>
    <row r="314" spans="1:17" x14ac:dyDescent="0.3">
      <c r="A314" s="17" t="s">
        <v>37</v>
      </c>
      <c r="B314" s="18">
        <v>3</v>
      </c>
      <c r="C314" s="18">
        <v>2</v>
      </c>
      <c r="D314" s="18">
        <v>1</v>
      </c>
      <c r="E314" s="18">
        <v>0</v>
      </c>
      <c r="G314" s="17" t="s">
        <v>37</v>
      </c>
      <c r="H314" s="99">
        <v>1</v>
      </c>
      <c r="I314" s="99">
        <v>0</v>
      </c>
      <c r="J314" s="99">
        <v>0</v>
      </c>
      <c r="K314" s="99">
        <v>1</v>
      </c>
      <c r="M314" s="17" t="s">
        <v>37</v>
      </c>
      <c r="N314" s="130">
        <v>3</v>
      </c>
      <c r="O314" s="130">
        <v>1</v>
      </c>
      <c r="P314" s="130">
        <v>1</v>
      </c>
      <c r="Q314" s="130">
        <v>1</v>
      </c>
    </row>
    <row r="315" spans="1:17" x14ac:dyDescent="0.3">
      <c r="A315" s="17" t="s">
        <v>38</v>
      </c>
      <c r="B315" s="167" t="s">
        <v>339</v>
      </c>
      <c r="C315" s="168"/>
      <c r="D315" s="168"/>
      <c r="E315" s="168"/>
      <c r="G315" s="17" t="s">
        <v>38</v>
      </c>
      <c r="H315" s="167" t="s">
        <v>339</v>
      </c>
      <c r="I315" s="168"/>
      <c r="J315" s="168"/>
      <c r="K315" s="168"/>
      <c r="M315" s="17" t="s">
        <v>38</v>
      </c>
      <c r="N315" s="167" t="s">
        <v>339</v>
      </c>
      <c r="O315" s="168"/>
      <c r="P315" s="168"/>
      <c r="Q315" s="168"/>
    </row>
    <row r="316" spans="1:17" ht="19.8" x14ac:dyDescent="0.3">
      <c r="A316" s="170">
        <v>46106</v>
      </c>
      <c r="B316" s="168"/>
      <c r="C316" s="168"/>
      <c r="D316" s="168"/>
      <c r="E316" s="168"/>
      <c r="G316" s="170">
        <v>46130</v>
      </c>
      <c r="H316" s="168"/>
      <c r="I316" s="168"/>
      <c r="J316" s="168"/>
      <c r="K316" s="168"/>
      <c r="M316" s="170">
        <v>46162</v>
      </c>
      <c r="N316" s="168"/>
      <c r="O316" s="168"/>
      <c r="P316" s="168"/>
      <c r="Q316" s="168"/>
    </row>
    <row r="317" spans="1:17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G317" s="1" t="s">
        <v>0</v>
      </c>
      <c r="H317" s="1" t="s">
        <v>1</v>
      </c>
      <c r="I317" s="1" t="s">
        <v>2</v>
      </c>
      <c r="J317" s="1" t="s">
        <v>3</v>
      </c>
      <c r="K317" s="1" t="s">
        <v>40</v>
      </c>
      <c r="M317" s="1" t="s">
        <v>0</v>
      </c>
      <c r="N317" s="1" t="s">
        <v>1</v>
      </c>
      <c r="O317" s="1" t="s">
        <v>2</v>
      </c>
      <c r="P317" s="1" t="s">
        <v>3</v>
      </c>
      <c r="Q317" s="1" t="s">
        <v>40</v>
      </c>
    </row>
    <row r="318" spans="1:17" x14ac:dyDescent="0.3">
      <c r="A318" s="2" t="s">
        <v>5</v>
      </c>
      <c r="B318" s="3">
        <v>1991</v>
      </c>
      <c r="C318" s="3">
        <v>839</v>
      </c>
      <c r="D318" s="3">
        <v>529</v>
      </c>
      <c r="E318" s="3">
        <v>623</v>
      </c>
      <c r="G318" s="2" t="s">
        <v>5</v>
      </c>
      <c r="H318" s="3">
        <v>3084</v>
      </c>
      <c r="I318" s="3">
        <v>1361</v>
      </c>
      <c r="J318" s="3">
        <v>1306</v>
      </c>
      <c r="K318" s="3">
        <v>417</v>
      </c>
      <c r="M318" s="2" t="s">
        <v>5</v>
      </c>
      <c r="N318" s="3">
        <v>3008</v>
      </c>
      <c r="O318" s="3">
        <v>1347</v>
      </c>
      <c r="P318" s="3">
        <v>1068</v>
      </c>
      <c r="Q318" s="3">
        <v>593</v>
      </c>
    </row>
    <row r="319" spans="1:17" x14ac:dyDescent="0.3">
      <c r="A319" s="2" t="s">
        <v>6</v>
      </c>
      <c r="B319" s="3">
        <v>240</v>
      </c>
      <c r="C319" s="6">
        <v>90</v>
      </c>
      <c r="D319" s="4">
        <v>59</v>
      </c>
      <c r="E319" s="5">
        <v>91</v>
      </c>
      <c r="G319" s="2" t="s">
        <v>6</v>
      </c>
      <c r="H319" s="3">
        <v>587</v>
      </c>
      <c r="I319" s="5">
        <v>294</v>
      </c>
      <c r="J319" s="6">
        <v>219</v>
      </c>
      <c r="K319" s="4">
        <v>74</v>
      </c>
      <c r="M319" s="2" t="s">
        <v>6</v>
      </c>
      <c r="N319" s="3">
        <v>191</v>
      </c>
      <c r="O319" s="5">
        <v>124</v>
      </c>
      <c r="P319" s="4">
        <v>30</v>
      </c>
      <c r="Q319" s="6">
        <v>37</v>
      </c>
    </row>
    <row r="320" spans="1:17" x14ac:dyDescent="0.3">
      <c r="A320" s="2" t="s">
        <v>7</v>
      </c>
      <c r="B320" s="3" t="s">
        <v>906</v>
      </c>
      <c r="C320" s="4" t="s">
        <v>373</v>
      </c>
      <c r="D320" s="6" t="s">
        <v>958</v>
      </c>
      <c r="E320" s="5" t="s">
        <v>752</v>
      </c>
      <c r="G320" s="2" t="s">
        <v>7</v>
      </c>
      <c r="H320" s="3" t="s">
        <v>1543</v>
      </c>
      <c r="I320" s="5" t="s">
        <v>1544</v>
      </c>
      <c r="J320" s="4" t="s">
        <v>1545</v>
      </c>
      <c r="K320" s="6" t="s">
        <v>1471</v>
      </c>
      <c r="M320" s="2" t="s">
        <v>7</v>
      </c>
      <c r="N320" s="3" t="s">
        <v>600</v>
      </c>
      <c r="O320" s="5" t="s">
        <v>110</v>
      </c>
      <c r="P320" s="4" t="s">
        <v>1203</v>
      </c>
      <c r="Q320" s="6" t="s">
        <v>215</v>
      </c>
    </row>
    <row r="321" spans="1:17" x14ac:dyDescent="0.3">
      <c r="A321" s="2" t="s">
        <v>12</v>
      </c>
      <c r="B321" s="3" t="s">
        <v>211</v>
      </c>
      <c r="C321" s="4" t="s">
        <v>801</v>
      </c>
      <c r="D321" s="6" t="s">
        <v>959</v>
      </c>
      <c r="E321" s="5" t="s">
        <v>960</v>
      </c>
      <c r="G321" s="2" t="s">
        <v>12</v>
      </c>
      <c r="H321" s="3" t="s">
        <v>584</v>
      </c>
      <c r="I321" s="5" t="s">
        <v>1546</v>
      </c>
      <c r="J321" s="4" t="s">
        <v>1499</v>
      </c>
      <c r="K321" s="6" t="s">
        <v>1261</v>
      </c>
      <c r="M321" s="2" t="s">
        <v>12</v>
      </c>
      <c r="N321" s="3" t="s">
        <v>247</v>
      </c>
      <c r="O321" s="5" t="s">
        <v>1308</v>
      </c>
      <c r="P321" s="4" t="s">
        <v>546</v>
      </c>
      <c r="Q321" s="6" t="s">
        <v>1768</v>
      </c>
    </row>
    <row r="322" spans="1:17" x14ac:dyDescent="0.3">
      <c r="A322" s="2" t="s">
        <v>17</v>
      </c>
      <c r="B322" s="3" t="s">
        <v>368</v>
      </c>
      <c r="C322" s="6" t="s">
        <v>758</v>
      </c>
      <c r="D322" s="4" t="s">
        <v>961</v>
      </c>
      <c r="E322" s="5" t="s">
        <v>549</v>
      </c>
      <c r="G322" s="2" t="s">
        <v>17</v>
      </c>
      <c r="H322" s="3" t="s">
        <v>962</v>
      </c>
      <c r="I322" s="6" t="s">
        <v>1547</v>
      </c>
      <c r="J322" s="5" t="s">
        <v>1228</v>
      </c>
      <c r="K322" s="4" t="s">
        <v>653</v>
      </c>
      <c r="M322" s="2" t="s">
        <v>17</v>
      </c>
      <c r="N322" s="3" t="s">
        <v>233</v>
      </c>
      <c r="O322" s="6" t="s">
        <v>80</v>
      </c>
      <c r="P322" s="5" t="s">
        <v>468</v>
      </c>
      <c r="Q322" s="4" t="s">
        <v>337</v>
      </c>
    </row>
    <row r="323" spans="1:17" x14ac:dyDescent="0.3">
      <c r="A323" s="2" t="s">
        <v>22</v>
      </c>
      <c r="B323" s="3" t="s">
        <v>47</v>
      </c>
      <c r="C323" s="3" t="s">
        <v>25</v>
      </c>
      <c r="D323" s="5" t="s">
        <v>404</v>
      </c>
      <c r="E323" s="3" t="s">
        <v>25</v>
      </c>
      <c r="G323" s="2" t="s">
        <v>22</v>
      </c>
      <c r="H323" s="3" t="s">
        <v>474</v>
      </c>
      <c r="I323" s="6" t="s">
        <v>138</v>
      </c>
      <c r="J323" s="3" t="s">
        <v>25</v>
      </c>
      <c r="K323" s="5" t="s">
        <v>1548</v>
      </c>
      <c r="M323" s="2" t="s">
        <v>22</v>
      </c>
      <c r="N323" s="3" t="s">
        <v>81</v>
      </c>
      <c r="O323" s="4" t="s">
        <v>138</v>
      </c>
      <c r="P323" s="6" t="s">
        <v>84</v>
      </c>
      <c r="Q323" s="5" t="s">
        <v>108</v>
      </c>
    </row>
    <row r="324" spans="1:17" x14ac:dyDescent="0.3">
      <c r="A324" s="7" t="s">
        <v>26</v>
      </c>
      <c r="B324" s="8">
        <v>151</v>
      </c>
      <c r="C324" s="8">
        <v>54</v>
      </c>
      <c r="D324" s="8">
        <v>37</v>
      </c>
      <c r="E324" s="8">
        <v>60</v>
      </c>
      <c r="G324" s="7" t="s">
        <v>26</v>
      </c>
      <c r="H324" s="8">
        <v>392</v>
      </c>
      <c r="I324" s="8">
        <v>215</v>
      </c>
      <c r="J324" s="8">
        <v>117</v>
      </c>
      <c r="K324" s="8">
        <v>60</v>
      </c>
      <c r="M324" s="7" t="s">
        <v>26</v>
      </c>
      <c r="N324" s="8">
        <v>166</v>
      </c>
      <c r="O324" s="8">
        <v>114</v>
      </c>
      <c r="P324" s="8">
        <v>19</v>
      </c>
      <c r="Q324" s="8">
        <v>33</v>
      </c>
    </row>
    <row r="325" spans="1:17" x14ac:dyDescent="0.3">
      <c r="A325" s="9" t="s">
        <v>27</v>
      </c>
      <c r="B325" s="10">
        <v>65</v>
      </c>
      <c r="C325" s="10">
        <v>26</v>
      </c>
      <c r="D325" s="10">
        <v>30</v>
      </c>
      <c r="E325" s="10">
        <v>9</v>
      </c>
      <c r="G325" s="9" t="s">
        <v>27</v>
      </c>
      <c r="H325" s="10">
        <v>216</v>
      </c>
      <c r="I325" s="10">
        <v>99</v>
      </c>
      <c r="J325" s="10">
        <v>90</v>
      </c>
      <c r="K325" s="10">
        <v>27</v>
      </c>
      <c r="M325" s="9" t="s">
        <v>27</v>
      </c>
      <c r="N325" s="10">
        <v>87</v>
      </c>
      <c r="O325" s="10">
        <v>53</v>
      </c>
      <c r="P325" s="10">
        <v>11</v>
      </c>
      <c r="Q325" s="10">
        <v>23</v>
      </c>
    </row>
    <row r="326" spans="1:17" x14ac:dyDescent="0.3">
      <c r="A326" s="9" t="s">
        <v>28</v>
      </c>
      <c r="B326" s="10">
        <v>12</v>
      </c>
      <c r="C326" s="10">
        <v>0</v>
      </c>
      <c r="D326" s="10">
        <v>2</v>
      </c>
      <c r="E326" s="10">
        <v>10</v>
      </c>
      <c r="G326" s="9" t="s">
        <v>28</v>
      </c>
      <c r="H326" s="10">
        <v>6</v>
      </c>
      <c r="I326" s="10">
        <v>3</v>
      </c>
      <c r="J326" s="10">
        <v>2</v>
      </c>
      <c r="K326" s="10">
        <v>1</v>
      </c>
      <c r="M326" s="9" t="s">
        <v>28</v>
      </c>
      <c r="N326" s="10">
        <v>1</v>
      </c>
      <c r="O326" s="10">
        <v>0</v>
      </c>
      <c r="P326" s="10">
        <v>1</v>
      </c>
      <c r="Q326" s="10">
        <v>0</v>
      </c>
    </row>
    <row r="327" spans="1:17" x14ac:dyDescent="0.3">
      <c r="A327" s="9" t="s">
        <v>29</v>
      </c>
      <c r="B327" s="10">
        <v>33</v>
      </c>
      <c r="C327" s="10">
        <v>13</v>
      </c>
      <c r="D327" s="10">
        <v>0</v>
      </c>
      <c r="E327" s="10">
        <v>20</v>
      </c>
      <c r="G327" s="9" t="s">
        <v>29</v>
      </c>
      <c r="H327" s="10">
        <v>68</v>
      </c>
      <c r="I327" s="10">
        <v>68</v>
      </c>
      <c r="J327" s="10">
        <v>0</v>
      </c>
      <c r="K327" s="10">
        <v>0</v>
      </c>
      <c r="M327" s="9" t="s">
        <v>29</v>
      </c>
      <c r="N327" s="10">
        <v>36</v>
      </c>
      <c r="O327" s="10">
        <v>36</v>
      </c>
      <c r="P327" s="10">
        <v>0</v>
      </c>
      <c r="Q327" s="10">
        <v>0</v>
      </c>
    </row>
    <row r="328" spans="1:17" x14ac:dyDescent="0.3">
      <c r="A328" s="9" t="s">
        <v>30</v>
      </c>
      <c r="B328" s="10">
        <v>41</v>
      </c>
      <c r="C328" s="10">
        <v>15</v>
      </c>
      <c r="D328" s="10">
        <v>5</v>
      </c>
      <c r="E328" s="10">
        <v>21</v>
      </c>
      <c r="G328" s="9" t="s">
        <v>30</v>
      </c>
      <c r="H328" s="10">
        <v>102</v>
      </c>
      <c r="I328" s="10">
        <v>45</v>
      </c>
      <c r="J328" s="10">
        <v>25</v>
      </c>
      <c r="K328" s="10">
        <v>32</v>
      </c>
      <c r="M328" s="9" t="s">
        <v>30</v>
      </c>
      <c r="N328" s="10">
        <v>42</v>
      </c>
      <c r="O328" s="10">
        <v>25</v>
      </c>
      <c r="P328" s="10">
        <v>7</v>
      </c>
      <c r="Q328" s="10">
        <v>10</v>
      </c>
    </row>
    <row r="329" spans="1:17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G329" s="9" t="s">
        <v>31</v>
      </c>
      <c r="H329" s="10">
        <v>0</v>
      </c>
      <c r="I329" s="10">
        <v>0</v>
      </c>
      <c r="J329" s="10">
        <v>0</v>
      </c>
      <c r="K329" s="10">
        <v>0</v>
      </c>
      <c r="M329" s="9" t="s">
        <v>31</v>
      </c>
      <c r="N329" s="10">
        <v>0</v>
      </c>
      <c r="O329" s="10">
        <v>0</v>
      </c>
      <c r="P329" s="10">
        <v>0</v>
      </c>
      <c r="Q329" s="10">
        <v>0</v>
      </c>
    </row>
    <row r="330" spans="1:17" x14ac:dyDescent="0.3">
      <c r="A330" s="11" t="s">
        <v>32</v>
      </c>
      <c r="B330" s="12">
        <v>89</v>
      </c>
      <c r="C330" s="12">
        <v>36</v>
      </c>
      <c r="D330" s="12">
        <v>22</v>
      </c>
      <c r="E330" s="12">
        <v>31</v>
      </c>
      <c r="G330" s="11" t="s">
        <v>32</v>
      </c>
      <c r="H330" s="12">
        <v>193</v>
      </c>
      <c r="I330" s="12">
        <v>79</v>
      </c>
      <c r="J330" s="12">
        <v>100</v>
      </c>
      <c r="K330" s="12">
        <v>14</v>
      </c>
      <c r="M330" s="11" t="s">
        <v>32</v>
      </c>
      <c r="N330" s="12">
        <v>24</v>
      </c>
      <c r="O330" s="12">
        <v>10</v>
      </c>
      <c r="P330" s="12">
        <v>10</v>
      </c>
      <c r="Q330" s="12">
        <v>4</v>
      </c>
    </row>
    <row r="331" spans="1:17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G331" s="13" t="s">
        <v>33</v>
      </c>
      <c r="H331" s="14">
        <v>0</v>
      </c>
      <c r="I331" s="14">
        <v>0</v>
      </c>
      <c r="J331" s="14">
        <v>0</v>
      </c>
      <c r="K331" s="14">
        <v>0</v>
      </c>
      <c r="M331" s="13" t="s">
        <v>33</v>
      </c>
      <c r="N331" s="14">
        <v>0</v>
      </c>
      <c r="O331" s="14">
        <v>0</v>
      </c>
      <c r="P331" s="14">
        <v>0</v>
      </c>
      <c r="Q331" s="14">
        <v>0</v>
      </c>
    </row>
    <row r="332" spans="1:17" x14ac:dyDescent="0.3">
      <c r="A332" s="13" t="s">
        <v>34</v>
      </c>
      <c r="B332" s="14">
        <v>89</v>
      </c>
      <c r="C332" s="14">
        <v>36</v>
      </c>
      <c r="D332" s="14">
        <v>22</v>
      </c>
      <c r="E332" s="14">
        <v>31</v>
      </c>
      <c r="G332" s="13" t="s">
        <v>34</v>
      </c>
      <c r="H332" s="14">
        <v>193</v>
      </c>
      <c r="I332" s="14">
        <v>79</v>
      </c>
      <c r="J332" s="14">
        <v>100</v>
      </c>
      <c r="K332" s="14">
        <v>14</v>
      </c>
      <c r="M332" s="13" t="s">
        <v>34</v>
      </c>
      <c r="N332" s="14">
        <v>24</v>
      </c>
      <c r="O332" s="14">
        <v>10</v>
      </c>
      <c r="P332" s="14">
        <v>10</v>
      </c>
      <c r="Q332" s="14">
        <v>4</v>
      </c>
    </row>
    <row r="333" spans="1:17" x14ac:dyDescent="0.3">
      <c r="A333" s="15" t="s">
        <v>35</v>
      </c>
      <c r="B333" s="16">
        <v>5</v>
      </c>
      <c r="C333" s="16">
        <v>0</v>
      </c>
      <c r="D333" s="16">
        <v>5</v>
      </c>
      <c r="E333" s="16">
        <v>0</v>
      </c>
      <c r="G333" s="15" t="s">
        <v>35</v>
      </c>
      <c r="H333" s="16">
        <v>62</v>
      </c>
      <c r="I333" s="16">
        <v>1</v>
      </c>
      <c r="J333" s="16">
        <v>0</v>
      </c>
      <c r="K333" s="16">
        <v>61</v>
      </c>
      <c r="M333" s="15" t="s">
        <v>35</v>
      </c>
      <c r="N333" s="16">
        <v>3</v>
      </c>
      <c r="O333" s="16">
        <v>1</v>
      </c>
      <c r="P333" s="16">
        <v>1</v>
      </c>
      <c r="Q333" s="16">
        <v>1</v>
      </c>
    </row>
    <row r="334" spans="1:17" x14ac:dyDescent="0.3">
      <c r="A334" s="17" t="s">
        <v>36</v>
      </c>
      <c r="B334" s="19">
        <v>0</v>
      </c>
      <c r="C334" s="19">
        <v>0</v>
      </c>
      <c r="D334" s="19">
        <v>0</v>
      </c>
      <c r="E334" s="19">
        <v>0</v>
      </c>
      <c r="G334" s="17" t="s">
        <v>36</v>
      </c>
      <c r="H334" s="99">
        <v>1</v>
      </c>
      <c r="I334" s="99">
        <v>1</v>
      </c>
      <c r="J334" s="99">
        <v>0</v>
      </c>
      <c r="K334" s="99">
        <v>0</v>
      </c>
      <c r="M334" s="17" t="s">
        <v>36</v>
      </c>
      <c r="N334" s="130">
        <v>2</v>
      </c>
      <c r="O334" s="130">
        <v>1</v>
      </c>
      <c r="P334" s="130">
        <v>0</v>
      </c>
      <c r="Q334" s="130">
        <v>1</v>
      </c>
    </row>
    <row r="335" spans="1:17" x14ac:dyDescent="0.3">
      <c r="A335" s="17" t="s">
        <v>37</v>
      </c>
      <c r="B335" s="19">
        <v>5</v>
      </c>
      <c r="C335" s="19">
        <v>0</v>
      </c>
      <c r="D335" s="19">
        <v>5</v>
      </c>
      <c r="E335" s="19">
        <v>0</v>
      </c>
      <c r="G335" s="17" t="s">
        <v>37</v>
      </c>
      <c r="H335" s="99">
        <v>62</v>
      </c>
      <c r="I335" s="99">
        <v>1</v>
      </c>
      <c r="J335" s="99">
        <v>0</v>
      </c>
      <c r="K335" s="99">
        <v>61</v>
      </c>
      <c r="M335" s="17" t="s">
        <v>37</v>
      </c>
      <c r="N335" s="130">
        <v>3</v>
      </c>
      <c r="O335" s="130">
        <v>1</v>
      </c>
      <c r="P335" s="130">
        <v>1</v>
      </c>
      <c r="Q335" s="130">
        <v>1</v>
      </c>
    </row>
    <row r="336" spans="1:17" x14ac:dyDescent="0.3">
      <c r="A336" s="17" t="s">
        <v>38</v>
      </c>
      <c r="B336" s="167" t="s">
        <v>339</v>
      </c>
      <c r="C336" s="168"/>
      <c r="D336" s="168"/>
      <c r="E336" s="168"/>
      <c r="G336" s="17" t="s">
        <v>38</v>
      </c>
      <c r="H336" s="167" t="s">
        <v>339</v>
      </c>
      <c r="I336" s="168"/>
      <c r="J336" s="168"/>
      <c r="K336" s="168"/>
      <c r="M336" s="17" t="s">
        <v>38</v>
      </c>
      <c r="N336" s="167" t="s">
        <v>339</v>
      </c>
      <c r="O336" s="168"/>
      <c r="P336" s="168"/>
      <c r="Q336" s="168"/>
    </row>
    <row r="337" spans="1:17" ht="19.8" x14ac:dyDescent="0.3">
      <c r="A337" s="170">
        <v>46107</v>
      </c>
      <c r="B337" s="168"/>
      <c r="C337" s="168"/>
      <c r="D337" s="168"/>
      <c r="E337" s="168"/>
      <c r="G337" s="170">
        <v>46132</v>
      </c>
      <c r="H337" s="168"/>
      <c r="I337" s="168"/>
      <c r="J337" s="168"/>
      <c r="K337" s="168"/>
      <c r="M337" s="171">
        <v>46163</v>
      </c>
      <c r="N337" s="171"/>
      <c r="O337" s="171"/>
      <c r="P337" s="171"/>
      <c r="Q337" s="171"/>
    </row>
    <row r="338" spans="1:17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G338" s="1" t="s">
        <v>0</v>
      </c>
      <c r="H338" s="1" t="s">
        <v>1</v>
      </c>
      <c r="I338" s="1" t="s">
        <v>2</v>
      </c>
      <c r="J338" s="1" t="s">
        <v>3</v>
      </c>
      <c r="K338" s="1" t="s">
        <v>40</v>
      </c>
      <c r="M338" s="1" t="s">
        <v>0</v>
      </c>
      <c r="N338" s="1" t="s">
        <v>1</v>
      </c>
      <c r="O338" s="179" t="s">
        <v>642</v>
      </c>
      <c r="P338" s="1" t="s">
        <v>3</v>
      </c>
      <c r="Q338" s="1" t="s">
        <v>40</v>
      </c>
    </row>
    <row r="339" spans="1:17" x14ac:dyDescent="0.3">
      <c r="A339" s="2" t="s">
        <v>5</v>
      </c>
      <c r="B339" s="3">
        <v>3012</v>
      </c>
      <c r="C339" s="3">
        <v>1458</v>
      </c>
      <c r="D339" s="3">
        <v>1147</v>
      </c>
      <c r="E339" s="3">
        <v>407</v>
      </c>
      <c r="G339" s="2" t="s">
        <v>5</v>
      </c>
      <c r="H339" s="3">
        <v>1633</v>
      </c>
      <c r="I339" s="3">
        <v>511</v>
      </c>
      <c r="J339" s="3">
        <v>604</v>
      </c>
      <c r="K339" s="3">
        <v>518</v>
      </c>
      <c r="M339" s="2" t="s">
        <v>5</v>
      </c>
      <c r="N339" s="3">
        <v>1872</v>
      </c>
      <c r="O339" s="181">
        <v>0</v>
      </c>
      <c r="P339" s="3">
        <v>1173</v>
      </c>
      <c r="Q339" s="3">
        <v>699</v>
      </c>
    </row>
    <row r="340" spans="1:17" x14ac:dyDescent="0.3">
      <c r="A340" s="2" t="s">
        <v>6</v>
      </c>
      <c r="B340" s="3">
        <v>319</v>
      </c>
      <c r="C340" s="5">
        <v>163</v>
      </c>
      <c r="D340" s="6">
        <v>81</v>
      </c>
      <c r="E340" s="4">
        <v>75</v>
      </c>
      <c r="G340" s="2" t="s">
        <v>6</v>
      </c>
      <c r="H340" s="3">
        <v>351</v>
      </c>
      <c r="I340" s="5">
        <v>139</v>
      </c>
      <c r="J340" s="4">
        <v>102</v>
      </c>
      <c r="K340" s="6">
        <v>110</v>
      </c>
      <c r="M340" s="2" t="s">
        <v>6</v>
      </c>
      <c r="N340" s="3">
        <v>133</v>
      </c>
      <c r="O340" s="181">
        <v>0</v>
      </c>
      <c r="P340" s="6">
        <v>51</v>
      </c>
      <c r="Q340" s="5">
        <v>82</v>
      </c>
    </row>
    <row r="341" spans="1:17" x14ac:dyDescent="0.3">
      <c r="A341" s="2" t="s">
        <v>7</v>
      </c>
      <c r="B341" s="3" t="s">
        <v>985</v>
      </c>
      <c r="C341" s="6" t="s">
        <v>986</v>
      </c>
      <c r="D341" s="4" t="s">
        <v>987</v>
      </c>
      <c r="E341" s="5" t="s">
        <v>988</v>
      </c>
      <c r="G341" s="2" t="s">
        <v>7</v>
      </c>
      <c r="H341" s="3" t="s">
        <v>1560</v>
      </c>
      <c r="I341" s="5" t="s">
        <v>1561</v>
      </c>
      <c r="J341" s="4" t="s">
        <v>1562</v>
      </c>
      <c r="K341" s="6" t="s">
        <v>1563</v>
      </c>
      <c r="M341" s="2" t="s">
        <v>7</v>
      </c>
      <c r="N341" s="3" t="s">
        <v>599</v>
      </c>
      <c r="O341" s="181">
        <v>0</v>
      </c>
      <c r="P341" s="6" t="s">
        <v>1689</v>
      </c>
      <c r="Q341" s="5" t="s">
        <v>616</v>
      </c>
    </row>
    <row r="342" spans="1:17" x14ac:dyDescent="0.3">
      <c r="A342" s="2" t="s">
        <v>12</v>
      </c>
      <c r="B342" s="3" t="s">
        <v>989</v>
      </c>
      <c r="C342" s="6" t="s">
        <v>311</v>
      </c>
      <c r="D342" s="4" t="s">
        <v>250</v>
      </c>
      <c r="E342" s="5" t="s">
        <v>990</v>
      </c>
      <c r="G342" s="2" t="s">
        <v>12</v>
      </c>
      <c r="H342" s="3" t="s">
        <v>1564</v>
      </c>
      <c r="I342" s="5" t="s">
        <v>1565</v>
      </c>
      <c r="J342" s="4" t="s">
        <v>1498</v>
      </c>
      <c r="K342" s="6" t="s">
        <v>14</v>
      </c>
      <c r="M342" s="2" t="s">
        <v>12</v>
      </c>
      <c r="N342" s="3" t="s">
        <v>621</v>
      </c>
      <c r="O342" s="181">
        <v>0</v>
      </c>
      <c r="P342" s="6" t="s">
        <v>402</v>
      </c>
      <c r="Q342" s="5" t="s">
        <v>112</v>
      </c>
    </row>
    <row r="343" spans="1:17" x14ac:dyDescent="0.3">
      <c r="A343" s="2" t="s">
        <v>17</v>
      </c>
      <c r="B343" s="3" t="s">
        <v>677</v>
      </c>
      <c r="C343" s="6" t="s">
        <v>991</v>
      </c>
      <c r="D343" s="4" t="s">
        <v>992</v>
      </c>
      <c r="E343" s="5" t="s">
        <v>993</v>
      </c>
      <c r="G343" s="2" t="s">
        <v>17</v>
      </c>
      <c r="H343" s="3" t="s">
        <v>1289</v>
      </c>
      <c r="I343" s="6" t="s">
        <v>1216</v>
      </c>
      <c r="J343" s="4" t="s">
        <v>893</v>
      </c>
      <c r="K343" s="5" t="s">
        <v>1405</v>
      </c>
      <c r="M343" s="2" t="s">
        <v>17</v>
      </c>
      <c r="N343" s="3" t="s">
        <v>1018</v>
      </c>
      <c r="O343" s="181" t="s">
        <v>25</v>
      </c>
      <c r="P343" s="5" t="s">
        <v>210</v>
      </c>
      <c r="Q343" s="6" t="s">
        <v>1184</v>
      </c>
    </row>
    <row r="344" spans="1:17" x14ac:dyDescent="0.3">
      <c r="A344" s="2" t="s">
        <v>22</v>
      </c>
      <c r="B344" s="3" t="s">
        <v>138</v>
      </c>
      <c r="C344" s="3" t="s">
        <v>25</v>
      </c>
      <c r="D344" s="5" t="s">
        <v>108</v>
      </c>
      <c r="E344" s="3" t="s">
        <v>25</v>
      </c>
      <c r="G344" s="2" t="s">
        <v>22</v>
      </c>
      <c r="H344" s="3" t="s">
        <v>157</v>
      </c>
      <c r="I344" s="6" t="s">
        <v>419</v>
      </c>
      <c r="J344" s="4" t="s">
        <v>108</v>
      </c>
      <c r="K344" s="5" t="s">
        <v>332</v>
      </c>
      <c r="M344" s="2" t="s">
        <v>22</v>
      </c>
      <c r="N344" s="3" t="s">
        <v>154</v>
      </c>
      <c r="O344" s="181" t="s">
        <v>25</v>
      </c>
      <c r="P344" s="6" t="s">
        <v>84</v>
      </c>
      <c r="Q344" s="5" t="s">
        <v>227</v>
      </c>
    </row>
    <row r="345" spans="1:17" x14ac:dyDescent="0.3">
      <c r="A345" s="7" t="s">
        <v>26</v>
      </c>
      <c r="B345" s="8">
        <v>181</v>
      </c>
      <c r="C345" s="8">
        <v>104</v>
      </c>
      <c r="D345" s="8">
        <v>38</v>
      </c>
      <c r="E345" s="8">
        <v>39</v>
      </c>
      <c r="G345" s="7" t="s">
        <v>26</v>
      </c>
      <c r="H345" s="8">
        <v>204</v>
      </c>
      <c r="I345" s="8">
        <v>92</v>
      </c>
      <c r="J345" s="8">
        <v>53</v>
      </c>
      <c r="K345" s="8">
        <v>59</v>
      </c>
      <c r="M345" s="7" t="s">
        <v>26</v>
      </c>
      <c r="N345" s="8">
        <v>101</v>
      </c>
      <c r="O345" s="186">
        <v>0</v>
      </c>
      <c r="P345" s="8">
        <v>30</v>
      </c>
      <c r="Q345" s="8">
        <v>71</v>
      </c>
    </row>
    <row r="346" spans="1:17" x14ac:dyDescent="0.3">
      <c r="A346" s="9" t="s">
        <v>27</v>
      </c>
      <c r="B346" s="10">
        <v>82</v>
      </c>
      <c r="C346" s="10">
        <v>51</v>
      </c>
      <c r="D346" s="10">
        <v>28</v>
      </c>
      <c r="E346" s="10">
        <v>3</v>
      </c>
      <c r="G346" s="9" t="s">
        <v>27</v>
      </c>
      <c r="H346" s="10">
        <v>105</v>
      </c>
      <c r="I346" s="10">
        <v>41</v>
      </c>
      <c r="J346" s="10">
        <v>37</v>
      </c>
      <c r="K346" s="10">
        <v>27</v>
      </c>
      <c r="M346" s="9" t="s">
        <v>27</v>
      </c>
      <c r="N346" s="10">
        <v>77</v>
      </c>
      <c r="O346" s="188">
        <v>0</v>
      </c>
      <c r="P346" s="10">
        <v>25</v>
      </c>
      <c r="Q346" s="10">
        <v>52</v>
      </c>
    </row>
    <row r="347" spans="1:17" x14ac:dyDescent="0.3">
      <c r="A347" s="9" t="s">
        <v>28</v>
      </c>
      <c r="B347" s="10">
        <v>3</v>
      </c>
      <c r="C347" s="10">
        <v>0</v>
      </c>
      <c r="D347" s="10">
        <v>2</v>
      </c>
      <c r="E347" s="10">
        <v>1</v>
      </c>
      <c r="G347" s="9" t="s">
        <v>28</v>
      </c>
      <c r="H347" s="10">
        <v>8</v>
      </c>
      <c r="I347" s="10">
        <v>2</v>
      </c>
      <c r="J347" s="10">
        <v>0</v>
      </c>
      <c r="K347" s="10">
        <v>6</v>
      </c>
      <c r="M347" s="9" t="s">
        <v>28</v>
      </c>
      <c r="N347" s="10">
        <v>4</v>
      </c>
      <c r="O347" s="188">
        <v>0</v>
      </c>
      <c r="P347" s="10">
        <v>1</v>
      </c>
      <c r="Q347" s="10">
        <v>3</v>
      </c>
    </row>
    <row r="348" spans="1:17" x14ac:dyDescent="0.3">
      <c r="A348" s="9" t="s">
        <v>29</v>
      </c>
      <c r="B348" s="10">
        <v>48</v>
      </c>
      <c r="C348" s="10">
        <v>27</v>
      </c>
      <c r="D348" s="10">
        <v>0</v>
      </c>
      <c r="E348" s="10">
        <v>21</v>
      </c>
      <c r="G348" s="9" t="s">
        <v>29</v>
      </c>
      <c r="H348" s="10">
        <v>26</v>
      </c>
      <c r="I348" s="10">
        <v>26</v>
      </c>
      <c r="J348" s="10">
        <v>0</v>
      </c>
      <c r="K348" s="10">
        <v>0</v>
      </c>
      <c r="M348" s="9" t="s">
        <v>29</v>
      </c>
      <c r="N348" s="10">
        <v>0</v>
      </c>
      <c r="O348" s="188">
        <v>0</v>
      </c>
      <c r="P348" s="10">
        <v>0</v>
      </c>
      <c r="Q348" s="10">
        <v>0</v>
      </c>
    </row>
    <row r="349" spans="1:17" x14ac:dyDescent="0.3">
      <c r="A349" s="9" t="s">
        <v>30</v>
      </c>
      <c r="B349" s="10">
        <v>48</v>
      </c>
      <c r="C349" s="10">
        <v>26</v>
      </c>
      <c r="D349" s="10">
        <v>8</v>
      </c>
      <c r="E349" s="10">
        <v>14</v>
      </c>
      <c r="G349" s="9" t="s">
        <v>30</v>
      </c>
      <c r="H349" s="10">
        <v>65</v>
      </c>
      <c r="I349" s="10">
        <v>23</v>
      </c>
      <c r="J349" s="10">
        <v>16</v>
      </c>
      <c r="K349" s="10">
        <v>26</v>
      </c>
      <c r="M349" s="9" t="s">
        <v>30</v>
      </c>
      <c r="N349" s="10">
        <v>20</v>
      </c>
      <c r="O349" s="188">
        <v>0</v>
      </c>
      <c r="P349" s="10">
        <v>4</v>
      </c>
      <c r="Q349" s="10">
        <v>16</v>
      </c>
    </row>
    <row r="350" spans="1:17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G350" s="9" t="s">
        <v>31</v>
      </c>
      <c r="H350" s="10">
        <v>0</v>
      </c>
      <c r="I350" s="10">
        <v>0</v>
      </c>
      <c r="J350" s="10">
        <v>0</v>
      </c>
      <c r="K350" s="10">
        <v>0</v>
      </c>
      <c r="M350" s="9" t="s">
        <v>31</v>
      </c>
      <c r="N350" s="10">
        <v>0</v>
      </c>
      <c r="O350" s="188">
        <v>0</v>
      </c>
      <c r="P350" s="10">
        <v>0</v>
      </c>
      <c r="Q350" s="10">
        <v>0</v>
      </c>
    </row>
    <row r="351" spans="1:17" x14ac:dyDescent="0.3">
      <c r="A351" s="11" t="s">
        <v>32</v>
      </c>
      <c r="B351" s="12">
        <v>138</v>
      </c>
      <c r="C351" s="12">
        <v>59</v>
      </c>
      <c r="D351" s="12">
        <v>43</v>
      </c>
      <c r="E351" s="12">
        <v>36</v>
      </c>
      <c r="G351" s="11" t="s">
        <v>32</v>
      </c>
      <c r="H351" s="12">
        <v>146</v>
      </c>
      <c r="I351" s="12">
        <v>47</v>
      </c>
      <c r="J351" s="12">
        <v>49</v>
      </c>
      <c r="K351" s="12">
        <v>50</v>
      </c>
      <c r="M351" s="11" t="s">
        <v>32</v>
      </c>
      <c r="N351" s="12">
        <v>32</v>
      </c>
      <c r="O351" s="190">
        <v>0</v>
      </c>
      <c r="P351" s="12">
        <v>21</v>
      </c>
      <c r="Q351" s="12">
        <v>11</v>
      </c>
    </row>
    <row r="352" spans="1:17" x14ac:dyDescent="0.3">
      <c r="A352" s="13" t="s">
        <v>33</v>
      </c>
      <c r="B352" s="14">
        <v>2</v>
      </c>
      <c r="C352" s="14">
        <v>1</v>
      </c>
      <c r="D352" s="14">
        <v>1</v>
      </c>
      <c r="E352" s="14">
        <v>0</v>
      </c>
      <c r="G352" s="13" t="s">
        <v>33</v>
      </c>
      <c r="H352" s="14">
        <v>0</v>
      </c>
      <c r="I352" s="14">
        <v>0</v>
      </c>
      <c r="J352" s="14">
        <v>0</v>
      </c>
      <c r="K352" s="14">
        <v>0</v>
      </c>
      <c r="M352" s="13" t="s">
        <v>33</v>
      </c>
      <c r="N352" s="14">
        <v>0</v>
      </c>
      <c r="O352" s="192">
        <v>0</v>
      </c>
      <c r="P352" s="14">
        <v>0</v>
      </c>
      <c r="Q352" s="14">
        <v>0</v>
      </c>
    </row>
    <row r="353" spans="1:17" x14ac:dyDescent="0.3">
      <c r="A353" s="13" t="s">
        <v>34</v>
      </c>
      <c r="B353" s="14">
        <v>136</v>
      </c>
      <c r="C353" s="14">
        <v>58</v>
      </c>
      <c r="D353" s="14">
        <v>42</v>
      </c>
      <c r="E353" s="14">
        <v>36</v>
      </c>
      <c r="G353" s="13" t="s">
        <v>34</v>
      </c>
      <c r="H353" s="14">
        <v>146</v>
      </c>
      <c r="I353" s="14">
        <v>47</v>
      </c>
      <c r="J353" s="14">
        <v>49</v>
      </c>
      <c r="K353" s="14">
        <v>50</v>
      </c>
      <c r="M353" s="13" t="s">
        <v>34</v>
      </c>
      <c r="N353" s="14">
        <v>32</v>
      </c>
      <c r="O353" s="192">
        <v>0</v>
      </c>
      <c r="P353" s="14">
        <v>21</v>
      </c>
      <c r="Q353" s="14">
        <v>11</v>
      </c>
    </row>
    <row r="354" spans="1:17" x14ac:dyDescent="0.3">
      <c r="A354" s="15" t="s">
        <v>35</v>
      </c>
      <c r="B354" s="16">
        <v>2</v>
      </c>
      <c r="C354" s="16">
        <v>0</v>
      </c>
      <c r="D354" s="16">
        <v>2</v>
      </c>
      <c r="E354" s="16">
        <v>0</v>
      </c>
      <c r="G354" s="15" t="s">
        <v>35</v>
      </c>
      <c r="H354" s="16">
        <v>7</v>
      </c>
      <c r="I354" s="16">
        <v>2</v>
      </c>
      <c r="J354" s="16">
        <v>1</v>
      </c>
      <c r="K354" s="16">
        <v>4</v>
      </c>
      <c r="M354" s="15" t="s">
        <v>35</v>
      </c>
      <c r="N354" s="16">
        <v>3</v>
      </c>
      <c r="O354" s="194">
        <v>0</v>
      </c>
      <c r="P354" s="16">
        <v>1</v>
      </c>
      <c r="Q354" s="16">
        <v>2</v>
      </c>
    </row>
    <row r="355" spans="1:17" x14ac:dyDescent="0.3">
      <c r="A355" s="17" t="s">
        <v>36</v>
      </c>
      <c r="B355" s="34">
        <v>0</v>
      </c>
      <c r="C355" s="34">
        <v>0</v>
      </c>
      <c r="D355" s="34">
        <v>0</v>
      </c>
      <c r="E355" s="34">
        <v>0</v>
      </c>
      <c r="G355" s="17" t="s">
        <v>36</v>
      </c>
      <c r="H355" s="99">
        <v>6</v>
      </c>
      <c r="I355" s="99">
        <v>2</v>
      </c>
      <c r="J355" s="99">
        <v>0</v>
      </c>
      <c r="K355" s="99">
        <v>4</v>
      </c>
      <c r="M355" s="17" t="s">
        <v>36</v>
      </c>
      <c r="N355" s="138">
        <v>2</v>
      </c>
      <c r="O355" s="196">
        <v>0</v>
      </c>
      <c r="P355" s="138">
        <v>0</v>
      </c>
      <c r="Q355" s="138">
        <v>2</v>
      </c>
    </row>
    <row r="356" spans="1:17" x14ac:dyDescent="0.3">
      <c r="A356" s="17" t="s">
        <v>37</v>
      </c>
      <c r="B356" s="34">
        <v>2</v>
      </c>
      <c r="C356" s="34">
        <v>0</v>
      </c>
      <c r="D356" s="34">
        <v>2</v>
      </c>
      <c r="E356" s="34">
        <v>0</v>
      </c>
      <c r="G356" s="17" t="s">
        <v>37</v>
      </c>
      <c r="H356" s="99">
        <v>5</v>
      </c>
      <c r="I356" s="99">
        <v>2</v>
      </c>
      <c r="J356" s="99">
        <v>1</v>
      </c>
      <c r="K356" s="99">
        <v>2</v>
      </c>
      <c r="M356" s="17" t="s">
        <v>37</v>
      </c>
      <c r="N356" s="138">
        <v>3</v>
      </c>
      <c r="O356" s="196">
        <v>0</v>
      </c>
      <c r="P356" s="138">
        <v>1</v>
      </c>
      <c r="Q356" s="138">
        <v>2</v>
      </c>
    </row>
    <row r="357" spans="1:17" x14ac:dyDescent="0.3">
      <c r="A357" s="17" t="s">
        <v>38</v>
      </c>
      <c r="B357" s="167" t="s">
        <v>339</v>
      </c>
      <c r="C357" s="168"/>
      <c r="D357" s="168"/>
      <c r="E357" s="168"/>
      <c r="G357" s="17" t="s">
        <v>38</v>
      </c>
      <c r="H357" s="167" t="s">
        <v>339</v>
      </c>
      <c r="I357" s="168"/>
      <c r="J357" s="168"/>
      <c r="K357" s="168"/>
      <c r="M357" s="17" t="s">
        <v>38</v>
      </c>
      <c r="N357" s="172" t="s">
        <v>339</v>
      </c>
      <c r="O357" s="173"/>
      <c r="P357" s="173"/>
      <c r="Q357" s="173"/>
    </row>
    <row r="358" spans="1:17" ht="19.8" x14ac:dyDescent="0.3">
      <c r="A358" s="170">
        <v>46108</v>
      </c>
      <c r="B358" s="168"/>
      <c r="C358" s="168"/>
      <c r="D358" s="168"/>
      <c r="E358" s="168"/>
      <c r="G358" s="170">
        <v>46133</v>
      </c>
      <c r="H358" s="168"/>
      <c r="I358" s="168"/>
      <c r="J358" s="168"/>
      <c r="K358" s="168"/>
      <c r="M358" s="170">
        <v>46164</v>
      </c>
      <c r="N358" s="168"/>
      <c r="O358" s="168"/>
      <c r="P358" s="168"/>
      <c r="Q358" s="168"/>
    </row>
    <row r="359" spans="1:17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G359" s="1" t="s">
        <v>0</v>
      </c>
      <c r="H359" s="1" t="s">
        <v>1</v>
      </c>
      <c r="I359" s="1" t="s">
        <v>2</v>
      </c>
      <c r="J359" s="1" t="s">
        <v>3</v>
      </c>
      <c r="K359" s="1" t="s">
        <v>40</v>
      </c>
      <c r="M359" s="1" t="s">
        <v>0</v>
      </c>
      <c r="N359" s="1" t="s">
        <v>1</v>
      </c>
      <c r="O359" s="1" t="s">
        <v>2</v>
      </c>
      <c r="P359" s="1" t="s">
        <v>3</v>
      </c>
      <c r="Q359" s="1" t="s">
        <v>40</v>
      </c>
    </row>
    <row r="360" spans="1:17" x14ac:dyDescent="0.3">
      <c r="A360" s="2" t="s">
        <v>5</v>
      </c>
      <c r="B360" s="3">
        <v>1971</v>
      </c>
      <c r="C360" s="3">
        <v>812</v>
      </c>
      <c r="D360" s="3">
        <v>621</v>
      </c>
      <c r="E360" s="3">
        <v>538</v>
      </c>
      <c r="G360" s="2" t="s">
        <v>5</v>
      </c>
      <c r="H360" s="3">
        <v>2239</v>
      </c>
      <c r="I360" s="3">
        <v>785</v>
      </c>
      <c r="J360" s="3">
        <v>902</v>
      </c>
      <c r="K360" s="3">
        <v>552</v>
      </c>
      <c r="M360" s="2" t="s">
        <v>5</v>
      </c>
      <c r="N360" s="3">
        <v>2698</v>
      </c>
      <c r="O360" s="3">
        <v>1168</v>
      </c>
      <c r="P360" s="3">
        <v>936</v>
      </c>
      <c r="Q360" s="3">
        <v>594</v>
      </c>
    </row>
    <row r="361" spans="1:17" x14ac:dyDescent="0.3">
      <c r="A361" s="2" t="s">
        <v>6</v>
      </c>
      <c r="B361" s="3">
        <v>446</v>
      </c>
      <c r="C361" s="6">
        <v>127</v>
      </c>
      <c r="D361" s="4">
        <v>85</v>
      </c>
      <c r="E361" s="5">
        <v>234</v>
      </c>
      <c r="G361" s="2" t="s">
        <v>6</v>
      </c>
      <c r="H361" s="3">
        <v>296</v>
      </c>
      <c r="I361" s="5">
        <v>131</v>
      </c>
      <c r="J361" s="6">
        <v>95</v>
      </c>
      <c r="K361" s="4">
        <v>70</v>
      </c>
      <c r="M361" s="2" t="s">
        <v>6</v>
      </c>
      <c r="N361" s="3">
        <v>299</v>
      </c>
      <c r="O361" s="5">
        <v>168</v>
      </c>
      <c r="P361" s="4">
        <v>53</v>
      </c>
      <c r="Q361" s="6">
        <v>78</v>
      </c>
    </row>
    <row r="362" spans="1:17" x14ac:dyDescent="0.3">
      <c r="A362" s="2" t="s">
        <v>7</v>
      </c>
      <c r="B362" s="3" t="s">
        <v>1026</v>
      </c>
      <c r="C362" s="6" t="s">
        <v>857</v>
      </c>
      <c r="D362" s="4" t="s">
        <v>1027</v>
      </c>
      <c r="E362" s="5" t="s">
        <v>1028</v>
      </c>
      <c r="G362" s="2" t="s">
        <v>7</v>
      </c>
      <c r="H362" s="3" t="s">
        <v>1592</v>
      </c>
      <c r="I362" s="5" t="s">
        <v>1090</v>
      </c>
      <c r="J362" s="4" t="s">
        <v>378</v>
      </c>
      <c r="K362" s="6" t="s">
        <v>1593</v>
      </c>
      <c r="M362" s="2" t="s">
        <v>7</v>
      </c>
      <c r="N362" s="3" t="s">
        <v>1626</v>
      </c>
      <c r="O362" s="5" t="s">
        <v>1828</v>
      </c>
      <c r="P362" s="4" t="s">
        <v>1978</v>
      </c>
      <c r="Q362" s="6" t="s">
        <v>1912</v>
      </c>
    </row>
    <row r="363" spans="1:17" x14ac:dyDescent="0.3">
      <c r="A363" s="2" t="s">
        <v>12</v>
      </c>
      <c r="B363" s="3" t="s">
        <v>96</v>
      </c>
      <c r="C363" s="5" t="s">
        <v>1029</v>
      </c>
      <c r="D363" s="6" t="s">
        <v>90</v>
      </c>
      <c r="E363" s="4" t="s">
        <v>987</v>
      </c>
      <c r="G363" s="2" t="s">
        <v>12</v>
      </c>
      <c r="H363" s="3" t="s">
        <v>192</v>
      </c>
      <c r="I363" s="5" t="s">
        <v>708</v>
      </c>
      <c r="J363" s="4" t="s">
        <v>1594</v>
      </c>
      <c r="K363" s="6" t="s">
        <v>1186</v>
      </c>
      <c r="M363" s="2" t="s">
        <v>12</v>
      </c>
      <c r="N363" s="3" t="s">
        <v>846</v>
      </c>
      <c r="O363" s="5" t="s">
        <v>1979</v>
      </c>
      <c r="P363" s="4" t="s">
        <v>832</v>
      </c>
      <c r="Q363" s="6" t="s">
        <v>1841</v>
      </c>
    </row>
    <row r="364" spans="1:17" x14ac:dyDescent="0.3">
      <c r="A364" s="2" t="s">
        <v>17</v>
      </c>
      <c r="B364" s="3" t="s">
        <v>1030</v>
      </c>
      <c r="C364" s="4" t="s">
        <v>144</v>
      </c>
      <c r="D364" s="6" t="s">
        <v>882</v>
      </c>
      <c r="E364" s="5" t="s">
        <v>1031</v>
      </c>
      <c r="G364" s="2" t="s">
        <v>17</v>
      </c>
      <c r="H364" s="3" t="s">
        <v>852</v>
      </c>
      <c r="I364" s="6" t="s">
        <v>678</v>
      </c>
      <c r="J364" s="4" t="s">
        <v>184</v>
      </c>
      <c r="K364" s="5" t="s">
        <v>809</v>
      </c>
      <c r="M364" s="2" t="s">
        <v>17</v>
      </c>
      <c r="N364" s="3" t="s">
        <v>433</v>
      </c>
      <c r="O364" s="5" t="s">
        <v>974</v>
      </c>
      <c r="P364" s="4" t="s">
        <v>443</v>
      </c>
      <c r="Q364" s="6" t="s">
        <v>802</v>
      </c>
    </row>
    <row r="365" spans="1:17" x14ac:dyDescent="0.3">
      <c r="A365" s="2" t="s">
        <v>22</v>
      </c>
      <c r="B365" s="3" t="s">
        <v>176</v>
      </c>
      <c r="C365" s="3" t="s">
        <v>25</v>
      </c>
      <c r="D365" s="3" t="s">
        <v>25</v>
      </c>
      <c r="E365" s="5" t="s">
        <v>1032</v>
      </c>
      <c r="G365" s="2" t="s">
        <v>22</v>
      </c>
      <c r="H365" s="3" t="s">
        <v>122</v>
      </c>
      <c r="I365" s="6" t="s">
        <v>75</v>
      </c>
      <c r="J365" s="4" t="s">
        <v>49</v>
      </c>
      <c r="K365" s="5" t="s">
        <v>354</v>
      </c>
      <c r="M365" s="2" t="s">
        <v>22</v>
      </c>
      <c r="N365" s="3" t="s">
        <v>49</v>
      </c>
      <c r="O365" s="3" t="s">
        <v>25</v>
      </c>
      <c r="P365" s="6" t="s">
        <v>49</v>
      </c>
      <c r="Q365" s="5" t="s">
        <v>100</v>
      </c>
    </row>
    <row r="366" spans="1:17" x14ac:dyDescent="0.3">
      <c r="A366" s="7" t="s">
        <v>26</v>
      </c>
      <c r="B366" s="8">
        <v>182</v>
      </c>
      <c r="C366" s="8">
        <v>92</v>
      </c>
      <c r="D366" s="8">
        <v>52</v>
      </c>
      <c r="E366" s="8">
        <v>38</v>
      </c>
      <c r="G366" s="7" t="s">
        <v>26</v>
      </c>
      <c r="H366" s="8">
        <v>224</v>
      </c>
      <c r="I366" s="8">
        <v>103</v>
      </c>
      <c r="J366" s="8">
        <v>72</v>
      </c>
      <c r="K366" s="8">
        <v>49</v>
      </c>
      <c r="M366" s="7" t="s">
        <v>26</v>
      </c>
      <c r="N366" s="8">
        <v>250</v>
      </c>
      <c r="O366" s="8">
        <v>142</v>
      </c>
      <c r="P366" s="8">
        <v>43</v>
      </c>
      <c r="Q366" s="8">
        <v>65</v>
      </c>
    </row>
    <row r="367" spans="1:17" x14ac:dyDescent="0.3">
      <c r="A367" s="9" t="s">
        <v>27</v>
      </c>
      <c r="B367" s="10">
        <v>55</v>
      </c>
      <c r="C367" s="10">
        <v>27</v>
      </c>
      <c r="D367" s="10">
        <v>18</v>
      </c>
      <c r="E367" s="10">
        <v>10</v>
      </c>
      <c r="G367" s="9" t="s">
        <v>27</v>
      </c>
      <c r="H367" s="10">
        <v>144</v>
      </c>
      <c r="I367" s="10">
        <v>60</v>
      </c>
      <c r="J367" s="10">
        <v>60</v>
      </c>
      <c r="K367" s="10">
        <v>24</v>
      </c>
      <c r="M367" s="9" t="s">
        <v>27</v>
      </c>
      <c r="N367" s="10">
        <v>162</v>
      </c>
      <c r="O367" s="10">
        <v>95</v>
      </c>
      <c r="P367" s="10">
        <v>27</v>
      </c>
      <c r="Q367" s="10">
        <v>40</v>
      </c>
    </row>
    <row r="368" spans="1:17" x14ac:dyDescent="0.3">
      <c r="A368" s="9" t="s">
        <v>28</v>
      </c>
      <c r="B368" s="10">
        <v>5</v>
      </c>
      <c r="C368" s="10">
        <v>0</v>
      </c>
      <c r="D368" s="10">
        <v>4</v>
      </c>
      <c r="E368" s="10">
        <v>1</v>
      </c>
      <c r="G368" s="9" t="s">
        <v>28</v>
      </c>
      <c r="H368" s="10">
        <v>5</v>
      </c>
      <c r="I368" s="10">
        <v>2</v>
      </c>
      <c r="J368" s="10">
        <v>1</v>
      </c>
      <c r="K368" s="10">
        <v>2</v>
      </c>
      <c r="M368" s="9" t="s">
        <v>28</v>
      </c>
      <c r="N368" s="10">
        <v>8</v>
      </c>
      <c r="O368" s="10">
        <v>4</v>
      </c>
      <c r="P368" s="10">
        <v>2</v>
      </c>
      <c r="Q368" s="10">
        <v>2</v>
      </c>
    </row>
    <row r="369" spans="1:17" x14ac:dyDescent="0.3">
      <c r="A369" s="9" t="s">
        <v>29</v>
      </c>
      <c r="B369" s="10">
        <v>22</v>
      </c>
      <c r="C369" s="10">
        <v>14</v>
      </c>
      <c r="D369" s="10">
        <v>0</v>
      </c>
      <c r="E369" s="10">
        <v>8</v>
      </c>
      <c r="G369" s="9" t="s">
        <v>29</v>
      </c>
      <c r="H369" s="10">
        <v>14</v>
      </c>
      <c r="I369" s="10">
        <v>14</v>
      </c>
      <c r="J369" s="10">
        <v>0</v>
      </c>
      <c r="K369" s="10">
        <v>0</v>
      </c>
      <c r="M369" s="9" t="s">
        <v>29</v>
      </c>
      <c r="N369" s="10">
        <v>10</v>
      </c>
      <c r="O369" s="10">
        <v>10</v>
      </c>
      <c r="P369" s="10">
        <v>0</v>
      </c>
      <c r="Q369" s="10">
        <v>0</v>
      </c>
    </row>
    <row r="370" spans="1:17" x14ac:dyDescent="0.3">
      <c r="A370" s="9" t="s">
        <v>30</v>
      </c>
      <c r="B370" s="10">
        <v>100</v>
      </c>
      <c r="C370" s="10">
        <v>51</v>
      </c>
      <c r="D370" s="10">
        <v>30</v>
      </c>
      <c r="E370" s="10">
        <v>19</v>
      </c>
      <c r="G370" s="9" t="s">
        <v>30</v>
      </c>
      <c r="H370" s="10">
        <v>61</v>
      </c>
      <c r="I370" s="10">
        <v>27</v>
      </c>
      <c r="J370" s="10">
        <v>11</v>
      </c>
      <c r="K370" s="10">
        <v>23</v>
      </c>
      <c r="M370" s="9" t="s">
        <v>30</v>
      </c>
      <c r="N370" s="10">
        <v>70</v>
      </c>
      <c r="O370" s="10">
        <v>33</v>
      </c>
      <c r="P370" s="10">
        <v>14</v>
      </c>
      <c r="Q370" s="10">
        <v>23</v>
      </c>
    </row>
    <row r="371" spans="1:17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G371" s="9" t="s">
        <v>31</v>
      </c>
      <c r="H371" s="10">
        <v>0</v>
      </c>
      <c r="I371" s="10">
        <v>0</v>
      </c>
      <c r="J371" s="10">
        <v>0</v>
      </c>
      <c r="K371" s="10">
        <v>0</v>
      </c>
      <c r="M371" s="9" t="s">
        <v>31</v>
      </c>
      <c r="N371" s="10">
        <v>0</v>
      </c>
      <c r="O371" s="10">
        <v>0</v>
      </c>
      <c r="P371" s="10">
        <v>0</v>
      </c>
      <c r="Q371" s="10">
        <v>0</v>
      </c>
    </row>
    <row r="372" spans="1:17" x14ac:dyDescent="0.3">
      <c r="A372" s="11" t="s">
        <v>32</v>
      </c>
      <c r="B372" s="12">
        <v>264</v>
      </c>
      <c r="C372" s="12">
        <v>35</v>
      </c>
      <c r="D372" s="12">
        <v>33</v>
      </c>
      <c r="E372" s="12">
        <v>196</v>
      </c>
      <c r="G372" s="11" t="s">
        <v>32</v>
      </c>
      <c r="H372" s="12">
        <v>72</v>
      </c>
      <c r="I372" s="12">
        <v>28</v>
      </c>
      <c r="J372" s="12">
        <v>23</v>
      </c>
      <c r="K372" s="12">
        <v>21</v>
      </c>
      <c r="M372" s="11" t="s">
        <v>32</v>
      </c>
      <c r="N372" s="12">
        <v>49</v>
      </c>
      <c r="O372" s="12">
        <v>26</v>
      </c>
      <c r="P372" s="12">
        <v>10</v>
      </c>
      <c r="Q372" s="12">
        <v>13</v>
      </c>
    </row>
    <row r="373" spans="1:17" x14ac:dyDescent="0.3">
      <c r="A373" s="13" t="s">
        <v>33</v>
      </c>
      <c r="B373" s="14">
        <v>1</v>
      </c>
      <c r="C373" s="14">
        <v>0</v>
      </c>
      <c r="D373" s="14">
        <v>1</v>
      </c>
      <c r="E373" s="14">
        <v>0</v>
      </c>
      <c r="G373" s="13" t="s">
        <v>33</v>
      </c>
      <c r="H373" s="14">
        <v>0</v>
      </c>
      <c r="I373" s="14">
        <v>0</v>
      </c>
      <c r="J373" s="14">
        <v>0</v>
      </c>
      <c r="K373" s="14">
        <v>0</v>
      </c>
      <c r="M373" s="13" t="s">
        <v>33</v>
      </c>
      <c r="N373" s="14">
        <v>0</v>
      </c>
      <c r="O373" s="14">
        <v>0</v>
      </c>
      <c r="P373" s="14">
        <v>0</v>
      </c>
      <c r="Q373" s="14">
        <v>0</v>
      </c>
    </row>
    <row r="374" spans="1:17" x14ac:dyDescent="0.3">
      <c r="A374" s="13" t="s">
        <v>34</v>
      </c>
      <c r="B374" s="14">
        <v>263</v>
      </c>
      <c r="C374" s="14">
        <v>35</v>
      </c>
      <c r="D374" s="14">
        <v>32</v>
      </c>
      <c r="E374" s="14">
        <v>196</v>
      </c>
      <c r="G374" s="13" t="s">
        <v>34</v>
      </c>
      <c r="H374" s="14">
        <v>72</v>
      </c>
      <c r="I374" s="14">
        <v>28</v>
      </c>
      <c r="J374" s="14">
        <v>23</v>
      </c>
      <c r="K374" s="14">
        <v>21</v>
      </c>
      <c r="M374" s="13" t="s">
        <v>34</v>
      </c>
      <c r="N374" s="14">
        <v>49</v>
      </c>
      <c r="O374" s="14">
        <v>26</v>
      </c>
      <c r="P374" s="14">
        <v>10</v>
      </c>
      <c r="Q374" s="14">
        <v>13</v>
      </c>
    </row>
    <row r="375" spans="1:17" x14ac:dyDescent="0.3">
      <c r="A375" s="15" t="s">
        <v>35</v>
      </c>
      <c r="B375" s="16">
        <v>179</v>
      </c>
      <c r="C375" s="16">
        <v>0</v>
      </c>
      <c r="D375" s="16">
        <v>0</v>
      </c>
      <c r="E375" s="16">
        <v>179</v>
      </c>
      <c r="G375" s="15" t="s">
        <v>35</v>
      </c>
      <c r="H375" s="16">
        <v>5</v>
      </c>
      <c r="I375" s="16">
        <v>1</v>
      </c>
      <c r="J375" s="16">
        <v>1</v>
      </c>
      <c r="K375" s="16">
        <v>3</v>
      </c>
      <c r="M375" s="15" t="s">
        <v>35</v>
      </c>
      <c r="N375" s="16">
        <v>3</v>
      </c>
      <c r="O375" s="16">
        <v>0</v>
      </c>
      <c r="P375" s="16">
        <v>1</v>
      </c>
      <c r="Q375" s="16">
        <v>2</v>
      </c>
    </row>
    <row r="376" spans="1:17" x14ac:dyDescent="0.3">
      <c r="A376" s="17" t="s">
        <v>36</v>
      </c>
      <c r="B376" s="55">
        <v>178</v>
      </c>
      <c r="C376" s="55">
        <v>0</v>
      </c>
      <c r="D376" s="55">
        <v>0</v>
      </c>
      <c r="E376" s="55">
        <v>178</v>
      </c>
      <c r="G376" s="17" t="s">
        <v>36</v>
      </c>
      <c r="H376" s="100">
        <v>4</v>
      </c>
      <c r="I376" s="100">
        <v>1</v>
      </c>
      <c r="J376" s="100">
        <v>0</v>
      </c>
      <c r="K376" s="100">
        <v>3</v>
      </c>
      <c r="M376" s="17" t="s">
        <v>36</v>
      </c>
      <c r="N376" s="138">
        <v>1</v>
      </c>
      <c r="O376" s="138">
        <v>0</v>
      </c>
      <c r="P376" s="138">
        <v>0</v>
      </c>
      <c r="Q376" s="138">
        <v>1</v>
      </c>
    </row>
    <row r="377" spans="1:17" x14ac:dyDescent="0.3">
      <c r="A377" s="17" t="s">
        <v>37</v>
      </c>
      <c r="B377" s="55">
        <v>1</v>
      </c>
      <c r="C377" s="55">
        <v>0</v>
      </c>
      <c r="D377" s="55">
        <v>0</v>
      </c>
      <c r="E377" s="55">
        <v>1</v>
      </c>
      <c r="G377" s="17" t="s">
        <v>37</v>
      </c>
      <c r="H377" s="100">
        <v>3</v>
      </c>
      <c r="I377" s="100">
        <v>1</v>
      </c>
      <c r="J377" s="100">
        <v>1</v>
      </c>
      <c r="K377" s="100">
        <v>1</v>
      </c>
      <c r="M377" s="17" t="s">
        <v>37</v>
      </c>
      <c r="N377" s="138">
        <v>3</v>
      </c>
      <c r="O377" s="138">
        <v>0</v>
      </c>
      <c r="P377" s="138">
        <v>1</v>
      </c>
      <c r="Q377" s="138">
        <v>2</v>
      </c>
    </row>
    <row r="378" spans="1:17" x14ac:dyDescent="0.3">
      <c r="A378" s="17" t="s">
        <v>38</v>
      </c>
      <c r="B378" s="167" t="s">
        <v>339</v>
      </c>
      <c r="C378" s="168"/>
      <c r="D378" s="168"/>
      <c r="E378" s="168"/>
      <c r="G378" s="17" t="s">
        <v>38</v>
      </c>
      <c r="H378" s="167" t="s">
        <v>1675</v>
      </c>
      <c r="I378" s="168"/>
      <c r="J378" s="168"/>
      <c r="K378" s="168"/>
      <c r="M378" s="17" t="s">
        <v>38</v>
      </c>
      <c r="N378" s="167" t="s">
        <v>339</v>
      </c>
      <c r="O378" s="168"/>
      <c r="P378" s="168"/>
      <c r="Q378" s="168"/>
    </row>
    <row r="379" spans="1:17" ht="19.8" x14ac:dyDescent="0.3">
      <c r="A379" s="171">
        <v>46109</v>
      </c>
      <c r="B379" s="171"/>
      <c r="C379" s="171"/>
      <c r="D379" s="171"/>
      <c r="E379" s="171"/>
      <c r="G379" s="170">
        <v>46134</v>
      </c>
      <c r="H379" s="168"/>
      <c r="I379" s="168"/>
      <c r="J379" s="168"/>
      <c r="K379" s="168"/>
      <c r="M379" s="170">
        <v>46165</v>
      </c>
      <c r="N379" s="168"/>
      <c r="O379" s="168"/>
      <c r="P379" s="168"/>
      <c r="Q379" s="168"/>
    </row>
    <row r="380" spans="1:17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G380" s="1" t="s">
        <v>0</v>
      </c>
      <c r="H380" s="1" t="s">
        <v>1</v>
      </c>
      <c r="I380" s="1" t="s">
        <v>2</v>
      </c>
      <c r="J380" s="1" t="s">
        <v>3</v>
      </c>
      <c r="K380" s="1" t="s">
        <v>40</v>
      </c>
      <c r="M380" s="1" t="s">
        <v>0</v>
      </c>
      <c r="N380" s="1" t="s">
        <v>1</v>
      </c>
      <c r="O380" s="1" t="s">
        <v>2</v>
      </c>
      <c r="P380" s="1" t="s">
        <v>3</v>
      </c>
      <c r="Q380" s="1" t="s">
        <v>40</v>
      </c>
    </row>
    <row r="381" spans="1:17" x14ac:dyDescent="0.3">
      <c r="A381" s="2" t="s">
        <v>5</v>
      </c>
      <c r="B381" s="3">
        <v>1306</v>
      </c>
      <c r="C381" s="3">
        <v>572</v>
      </c>
      <c r="D381" s="3">
        <v>430</v>
      </c>
      <c r="E381" s="3">
        <v>304</v>
      </c>
      <c r="G381" s="2" t="s">
        <v>5</v>
      </c>
      <c r="H381" s="3">
        <v>2764</v>
      </c>
      <c r="I381" s="3">
        <v>1508</v>
      </c>
      <c r="J381" s="3">
        <v>1253</v>
      </c>
      <c r="K381" s="3">
        <v>3</v>
      </c>
      <c r="M381" s="2" t="s">
        <v>5</v>
      </c>
      <c r="N381" s="3">
        <v>2895</v>
      </c>
      <c r="O381" s="3">
        <v>1278</v>
      </c>
      <c r="P381" s="3">
        <v>979</v>
      </c>
      <c r="Q381" s="3">
        <v>638</v>
      </c>
    </row>
    <row r="382" spans="1:17" x14ac:dyDescent="0.3">
      <c r="A382" s="2" t="s">
        <v>6</v>
      </c>
      <c r="B382" s="3">
        <v>290</v>
      </c>
      <c r="C382" s="5">
        <v>138</v>
      </c>
      <c r="D382" s="4">
        <v>71</v>
      </c>
      <c r="E382" s="6">
        <v>81</v>
      </c>
      <c r="G382" s="2" t="s">
        <v>6</v>
      </c>
      <c r="H382" s="3">
        <v>437</v>
      </c>
      <c r="I382" s="5">
        <v>281</v>
      </c>
      <c r="J382" s="6">
        <v>153</v>
      </c>
      <c r="K382" s="4">
        <v>3</v>
      </c>
      <c r="M382" s="2" t="s">
        <v>6</v>
      </c>
      <c r="N382" s="3">
        <v>331</v>
      </c>
      <c r="O382" s="5">
        <v>185</v>
      </c>
      <c r="P382" s="4">
        <v>69</v>
      </c>
      <c r="Q382" s="6">
        <v>77</v>
      </c>
    </row>
    <row r="383" spans="1:17" x14ac:dyDescent="0.3">
      <c r="A383" s="2" t="s">
        <v>7</v>
      </c>
      <c r="B383" s="3" t="s">
        <v>1063</v>
      </c>
      <c r="C383" s="6" t="s">
        <v>1064</v>
      </c>
      <c r="D383" s="4" t="s">
        <v>1065</v>
      </c>
      <c r="E383" s="5" t="s">
        <v>1066</v>
      </c>
      <c r="G383" s="2" t="s">
        <v>7</v>
      </c>
      <c r="H383" s="3" t="s">
        <v>1605</v>
      </c>
      <c r="I383" s="6" t="s">
        <v>1606</v>
      </c>
      <c r="J383" s="4" t="s">
        <v>1607</v>
      </c>
      <c r="K383" s="5" t="s">
        <v>48</v>
      </c>
      <c r="M383" s="2" t="s">
        <v>7</v>
      </c>
      <c r="N383" s="3" t="s">
        <v>1639</v>
      </c>
      <c r="O383" s="5" t="s">
        <v>1771</v>
      </c>
      <c r="P383" s="4" t="s">
        <v>1596</v>
      </c>
      <c r="Q383" s="6" t="s">
        <v>1989</v>
      </c>
    </row>
    <row r="384" spans="1:17" x14ac:dyDescent="0.3">
      <c r="A384" s="2" t="s">
        <v>12</v>
      </c>
      <c r="B384" s="3" t="s">
        <v>1067</v>
      </c>
      <c r="C384" s="6" t="s">
        <v>1068</v>
      </c>
      <c r="D384" s="4" t="s">
        <v>1069</v>
      </c>
      <c r="E384" s="5" t="s">
        <v>1070</v>
      </c>
      <c r="G384" s="2" t="s">
        <v>12</v>
      </c>
      <c r="H384" s="3" t="s">
        <v>899</v>
      </c>
      <c r="I384" s="5" t="s">
        <v>839</v>
      </c>
      <c r="J384" s="6" t="s">
        <v>168</v>
      </c>
      <c r="K384" s="3" t="s">
        <v>25</v>
      </c>
      <c r="M384" s="2" t="s">
        <v>12</v>
      </c>
      <c r="N384" s="3" t="s">
        <v>1142</v>
      </c>
      <c r="O384" s="5" t="s">
        <v>828</v>
      </c>
      <c r="P384" s="4" t="s">
        <v>469</v>
      </c>
      <c r="Q384" s="6" t="s">
        <v>1225</v>
      </c>
    </row>
    <row r="385" spans="1:17" x14ac:dyDescent="0.3">
      <c r="A385" s="2" t="s">
        <v>17</v>
      </c>
      <c r="B385" s="3" t="s">
        <v>1071</v>
      </c>
      <c r="C385" s="5" t="s">
        <v>1025</v>
      </c>
      <c r="D385" s="6" t="s">
        <v>321</v>
      </c>
      <c r="E385" s="4" t="s">
        <v>730</v>
      </c>
      <c r="G385" s="2" t="s">
        <v>17</v>
      </c>
      <c r="H385" s="3" t="s">
        <v>473</v>
      </c>
      <c r="I385" s="6" t="s">
        <v>1363</v>
      </c>
      <c r="J385" s="4" t="s">
        <v>116</v>
      </c>
      <c r="K385" s="5" t="s">
        <v>48</v>
      </c>
      <c r="M385" s="2" t="s">
        <v>17</v>
      </c>
      <c r="N385" s="3" t="s">
        <v>809</v>
      </c>
      <c r="O385" s="6" t="s">
        <v>533</v>
      </c>
      <c r="P385" s="4" t="s">
        <v>770</v>
      </c>
      <c r="Q385" s="5" t="s">
        <v>270</v>
      </c>
    </row>
    <row r="386" spans="1:17" x14ac:dyDescent="0.3">
      <c r="A386" s="2" t="s">
        <v>22</v>
      </c>
      <c r="B386" s="3" t="s">
        <v>309</v>
      </c>
      <c r="C386" s="5" t="s">
        <v>108</v>
      </c>
      <c r="D386" s="3" t="s">
        <v>25</v>
      </c>
      <c r="E386" s="3" t="s">
        <v>25</v>
      </c>
      <c r="G386" s="2" t="s">
        <v>22</v>
      </c>
      <c r="H386" s="3" t="s">
        <v>109</v>
      </c>
      <c r="I386" s="4" t="s">
        <v>138</v>
      </c>
      <c r="J386" s="6" t="s">
        <v>309</v>
      </c>
      <c r="K386" s="5" t="s">
        <v>48</v>
      </c>
      <c r="M386" s="2" t="s">
        <v>22</v>
      </c>
      <c r="N386" s="3" t="s">
        <v>443</v>
      </c>
      <c r="O386" s="6" t="s">
        <v>406</v>
      </c>
      <c r="P386" s="4" t="s">
        <v>229</v>
      </c>
      <c r="Q386" s="5" t="s">
        <v>476</v>
      </c>
    </row>
    <row r="387" spans="1:17" x14ac:dyDescent="0.3">
      <c r="A387" s="7" t="s">
        <v>26</v>
      </c>
      <c r="B387" s="8">
        <v>195</v>
      </c>
      <c r="C387" s="8">
        <v>91</v>
      </c>
      <c r="D387" s="8">
        <v>42</v>
      </c>
      <c r="E387" s="8">
        <v>62</v>
      </c>
      <c r="G387" s="7" t="s">
        <v>26</v>
      </c>
      <c r="H387" s="8">
        <v>358</v>
      </c>
      <c r="I387" s="8">
        <v>236</v>
      </c>
      <c r="J387" s="8">
        <v>122</v>
      </c>
      <c r="K387" s="8">
        <v>0</v>
      </c>
      <c r="M387" s="7" t="s">
        <v>26</v>
      </c>
      <c r="N387" s="8">
        <v>221</v>
      </c>
      <c r="O387" s="8">
        <v>136</v>
      </c>
      <c r="P387" s="8">
        <v>35</v>
      </c>
      <c r="Q387" s="8">
        <v>50</v>
      </c>
    </row>
    <row r="388" spans="1:17" x14ac:dyDescent="0.3">
      <c r="A388" s="9" t="s">
        <v>27</v>
      </c>
      <c r="B388" s="10">
        <v>69</v>
      </c>
      <c r="C388" s="10">
        <v>34</v>
      </c>
      <c r="D388" s="10">
        <v>16</v>
      </c>
      <c r="E388" s="10">
        <v>19</v>
      </c>
      <c r="G388" s="9" t="s">
        <v>27</v>
      </c>
      <c r="H388" s="10">
        <v>198</v>
      </c>
      <c r="I388" s="10">
        <v>119</v>
      </c>
      <c r="J388" s="10">
        <v>79</v>
      </c>
      <c r="K388" s="10">
        <v>0</v>
      </c>
      <c r="M388" s="9" t="s">
        <v>27</v>
      </c>
      <c r="N388" s="10">
        <v>165</v>
      </c>
      <c r="O388" s="10">
        <v>109</v>
      </c>
      <c r="P388" s="10">
        <v>19</v>
      </c>
      <c r="Q388" s="10">
        <v>37</v>
      </c>
    </row>
    <row r="389" spans="1:17" x14ac:dyDescent="0.3">
      <c r="A389" s="9" t="s">
        <v>28</v>
      </c>
      <c r="B389" s="10">
        <v>2</v>
      </c>
      <c r="C389" s="10">
        <v>0</v>
      </c>
      <c r="D389" s="10">
        <v>0</v>
      </c>
      <c r="E389" s="10">
        <v>2</v>
      </c>
      <c r="G389" s="9" t="s">
        <v>28</v>
      </c>
      <c r="H389" s="10">
        <v>2</v>
      </c>
      <c r="I389" s="10">
        <v>0</v>
      </c>
      <c r="J389" s="10">
        <v>2</v>
      </c>
      <c r="K389" s="10">
        <v>0</v>
      </c>
      <c r="M389" s="9" t="s">
        <v>28</v>
      </c>
      <c r="N389" s="10">
        <v>0</v>
      </c>
      <c r="O389" s="10">
        <v>0</v>
      </c>
      <c r="P389" s="10">
        <v>0</v>
      </c>
      <c r="Q389" s="10">
        <v>0</v>
      </c>
    </row>
    <row r="390" spans="1:17" x14ac:dyDescent="0.3">
      <c r="A390" s="9" t="s">
        <v>29</v>
      </c>
      <c r="B390" s="10">
        <v>11</v>
      </c>
      <c r="C390" s="10">
        <v>8</v>
      </c>
      <c r="D390" s="10">
        <v>0</v>
      </c>
      <c r="E390" s="10">
        <v>3</v>
      </c>
      <c r="G390" s="9" t="s">
        <v>29</v>
      </c>
      <c r="H390" s="10">
        <v>46</v>
      </c>
      <c r="I390" s="10">
        <v>46</v>
      </c>
      <c r="J390" s="10">
        <v>0</v>
      </c>
      <c r="K390" s="10">
        <v>0</v>
      </c>
      <c r="M390" s="9" t="s">
        <v>29</v>
      </c>
      <c r="N390" s="10">
        <v>6</v>
      </c>
      <c r="O390" s="10">
        <v>6</v>
      </c>
      <c r="P390" s="10">
        <v>0</v>
      </c>
      <c r="Q390" s="10">
        <v>0</v>
      </c>
    </row>
    <row r="391" spans="1:17" x14ac:dyDescent="0.3">
      <c r="A391" s="9" t="s">
        <v>30</v>
      </c>
      <c r="B391" s="10">
        <v>113</v>
      </c>
      <c r="C391" s="10">
        <v>49</v>
      </c>
      <c r="D391" s="10">
        <v>26</v>
      </c>
      <c r="E391" s="10">
        <v>38</v>
      </c>
      <c r="G391" s="9" t="s">
        <v>30</v>
      </c>
      <c r="H391" s="10">
        <v>112</v>
      </c>
      <c r="I391" s="10">
        <v>71</v>
      </c>
      <c r="J391" s="10">
        <v>41</v>
      </c>
      <c r="K391" s="10">
        <v>0</v>
      </c>
      <c r="M391" s="9" t="s">
        <v>30</v>
      </c>
      <c r="N391" s="10">
        <v>50</v>
      </c>
      <c r="O391" s="10">
        <v>21</v>
      </c>
      <c r="P391" s="10">
        <v>16</v>
      </c>
      <c r="Q391" s="10">
        <v>13</v>
      </c>
    </row>
    <row r="392" spans="1:17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G392" s="9" t="s">
        <v>31</v>
      </c>
      <c r="H392" s="10">
        <v>0</v>
      </c>
      <c r="I392" s="10">
        <v>0</v>
      </c>
      <c r="J392" s="10">
        <v>0</v>
      </c>
      <c r="K392" s="10">
        <v>0</v>
      </c>
      <c r="M392" s="9" t="s">
        <v>31</v>
      </c>
      <c r="N392" s="10">
        <v>0</v>
      </c>
      <c r="O392" s="10">
        <v>0</v>
      </c>
      <c r="P392" s="10">
        <v>0</v>
      </c>
      <c r="Q392" s="10">
        <v>0</v>
      </c>
    </row>
    <row r="393" spans="1:17" x14ac:dyDescent="0.3">
      <c r="A393" s="11" t="s">
        <v>32</v>
      </c>
      <c r="B393" s="12">
        <v>94</v>
      </c>
      <c r="C393" s="12">
        <v>47</v>
      </c>
      <c r="D393" s="12">
        <v>29</v>
      </c>
      <c r="E393" s="12">
        <v>18</v>
      </c>
      <c r="G393" s="11" t="s">
        <v>32</v>
      </c>
      <c r="H393" s="12">
        <v>79</v>
      </c>
      <c r="I393" s="12">
        <v>45</v>
      </c>
      <c r="J393" s="12">
        <v>31</v>
      </c>
      <c r="K393" s="12">
        <v>3</v>
      </c>
      <c r="M393" s="11" t="s">
        <v>32</v>
      </c>
      <c r="N393" s="12">
        <v>110</v>
      </c>
      <c r="O393" s="12">
        <v>49</v>
      </c>
      <c r="P393" s="12">
        <v>34</v>
      </c>
      <c r="Q393" s="12">
        <v>27</v>
      </c>
    </row>
    <row r="394" spans="1:17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G394" s="13" t="s">
        <v>33</v>
      </c>
      <c r="H394" s="14">
        <v>0</v>
      </c>
      <c r="I394" s="14">
        <v>0</v>
      </c>
      <c r="J394" s="14">
        <v>0</v>
      </c>
      <c r="K394" s="14">
        <v>0</v>
      </c>
      <c r="M394" s="13" t="s">
        <v>33</v>
      </c>
      <c r="N394" s="14">
        <v>0</v>
      </c>
      <c r="O394" s="14">
        <v>0</v>
      </c>
      <c r="P394" s="14">
        <v>0</v>
      </c>
      <c r="Q394" s="14">
        <v>0</v>
      </c>
    </row>
    <row r="395" spans="1:17" x14ac:dyDescent="0.3">
      <c r="A395" s="13" t="s">
        <v>34</v>
      </c>
      <c r="B395" s="14">
        <v>94</v>
      </c>
      <c r="C395" s="14">
        <v>47</v>
      </c>
      <c r="D395" s="14">
        <v>29</v>
      </c>
      <c r="E395" s="14">
        <v>18</v>
      </c>
      <c r="G395" s="13" t="s">
        <v>34</v>
      </c>
      <c r="H395" s="14">
        <v>79</v>
      </c>
      <c r="I395" s="14">
        <v>45</v>
      </c>
      <c r="J395" s="14">
        <v>31</v>
      </c>
      <c r="K395" s="14">
        <v>3</v>
      </c>
      <c r="M395" s="13" t="s">
        <v>34</v>
      </c>
      <c r="N395" s="14">
        <v>110</v>
      </c>
      <c r="O395" s="14">
        <v>49</v>
      </c>
      <c r="P395" s="14">
        <v>34</v>
      </c>
      <c r="Q395" s="14">
        <v>27</v>
      </c>
    </row>
    <row r="396" spans="1:17" x14ac:dyDescent="0.3">
      <c r="A396" s="15" t="s">
        <v>35</v>
      </c>
      <c r="B396" s="16">
        <v>1</v>
      </c>
      <c r="C396" s="16">
        <v>1</v>
      </c>
      <c r="D396" s="16">
        <v>0</v>
      </c>
      <c r="E396" s="16">
        <v>0</v>
      </c>
      <c r="G396" s="15" t="s">
        <v>35</v>
      </c>
      <c r="H396" s="16">
        <v>5</v>
      </c>
      <c r="I396" s="16">
        <v>1</v>
      </c>
      <c r="J396" s="16">
        <v>1</v>
      </c>
      <c r="K396" s="16">
        <v>3</v>
      </c>
      <c r="M396" s="15" t="s">
        <v>35</v>
      </c>
      <c r="N396" s="16">
        <v>31</v>
      </c>
      <c r="O396" s="16">
        <v>14</v>
      </c>
      <c r="P396" s="16">
        <v>9</v>
      </c>
      <c r="Q396" s="16">
        <v>8</v>
      </c>
    </row>
    <row r="397" spans="1:17" x14ac:dyDescent="0.3">
      <c r="A397" s="17" t="s">
        <v>36</v>
      </c>
      <c r="B397" s="55">
        <v>1</v>
      </c>
      <c r="C397" s="55">
        <v>1</v>
      </c>
      <c r="D397" s="55">
        <v>0</v>
      </c>
      <c r="E397" s="55">
        <v>0</v>
      </c>
      <c r="G397" s="17" t="s">
        <v>36</v>
      </c>
      <c r="H397" s="100">
        <v>4</v>
      </c>
      <c r="I397" s="100">
        <v>1</v>
      </c>
      <c r="J397" s="100">
        <v>0</v>
      </c>
      <c r="K397" s="100">
        <v>3</v>
      </c>
      <c r="M397" s="17" t="s">
        <v>36</v>
      </c>
      <c r="N397" s="138">
        <v>2</v>
      </c>
      <c r="O397" s="138">
        <v>1</v>
      </c>
      <c r="P397" s="138">
        <v>0</v>
      </c>
      <c r="Q397" s="138">
        <v>1</v>
      </c>
    </row>
    <row r="398" spans="1:17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G398" s="17" t="s">
        <v>37</v>
      </c>
      <c r="H398" s="100">
        <v>3</v>
      </c>
      <c r="I398" s="100">
        <v>1</v>
      </c>
      <c r="J398" s="100">
        <v>1</v>
      </c>
      <c r="K398" s="100">
        <v>1</v>
      </c>
      <c r="M398" s="17" t="s">
        <v>37</v>
      </c>
      <c r="N398" s="138">
        <v>31</v>
      </c>
      <c r="O398" s="138">
        <v>14</v>
      </c>
      <c r="P398" s="138">
        <v>9</v>
      </c>
      <c r="Q398" s="138">
        <v>8</v>
      </c>
    </row>
    <row r="399" spans="1:17" x14ac:dyDescent="0.3">
      <c r="A399" s="17" t="s">
        <v>38</v>
      </c>
      <c r="B399" s="167" t="s">
        <v>339</v>
      </c>
      <c r="C399" s="168"/>
      <c r="D399" s="168"/>
      <c r="E399" s="168"/>
      <c r="G399" s="17" t="s">
        <v>38</v>
      </c>
      <c r="H399" s="167" t="s">
        <v>339</v>
      </c>
      <c r="I399" s="168"/>
      <c r="J399" s="168"/>
      <c r="K399" s="168"/>
      <c r="M399" s="17" t="s">
        <v>38</v>
      </c>
      <c r="N399" s="167" t="s">
        <v>339</v>
      </c>
      <c r="O399" s="168"/>
      <c r="P399" s="168"/>
      <c r="Q399" s="168"/>
    </row>
    <row r="400" spans="1:17" ht="19.8" x14ac:dyDescent="0.3">
      <c r="A400" s="170">
        <v>46111</v>
      </c>
      <c r="B400" s="168"/>
      <c r="C400" s="168"/>
      <c r="D400" s="168"/>
      <c r="E400" s="168"/>
      <c r="G400" s="170">
        <v>46135</v>
      </c>
      <c r="H400" s="168"/>
      <c r="I400" s="168"/>
      <c r="J400" s="168"/>
      <c r="K400" s="168"/>
      <c r="M400" s="170">
        <v>46167</v>
      </c>
      <c r="N400" s="168"/>
      <c r="O400" s="168"/>
      <c r="P400" s="168"/>
      <c r="Q400" s="168"/>
    </row>
    <row r="401" spans="1:17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G401" s="1" t="s">
        <v>0</v>
      </c>
      <c r="H401" s="1" t="s">
        <v>1</v>
      </c>
      <c r="I401" s="1" t="s">
        <v>2</v>
      </c>
      <c r="J401" s="1" t="s">
        <v>3</v>
      </c>
      <c r="K401" s="1" t="s">
        <v>40</v>
      </c>
      <c r="M401" s="1" t="s">
        <v>0</v>
      </c>
      <c r="N401" s="1" t="s">
        <v>1</v>
      </c>
      <c r="O401" s="1" t="s">
        <v>2</v>
      </c>
      <c r="P401" s="1" t="s">
        <v>3</v>
      </c>
      <c r="Q401" s="1" t="s">
        <v>40</v>
      </c>
    </row>
    <row r="402" spans="1:17" x14ac:dyDescent="0.3">
      <c r="A402" s="2" t="s">
        <v>5</v>
      </c>
      <c r="B402" s="3">
        <v>1496</v>
      </c>
      <c r="C402" s="3">
        <v>640</v>
      </c>
      <c r="D402" s="3">
        <v>395</v>
      </c>
      <c r="E402" s="3">
        <v>461</v>
      </c>
      <c r="G402" s="2" t="s">
        <v>5</v>
      </c>
      <c r="H402" s="3">
        <v>3739</v>
      </c>
      <c r="I402" s="3">
        <v>1544</v>
      </c>
      <c r="J402" s="3">
        <v>1282</v>
      </c>
      <c r="K402" s="3">
        <v>913</v>
      </c>
      <c r="M402" s="2" t="s">
        <v>5</v>
      </c>
      <c r="N402" s="3">
        <v>1064</v>
      </c>
      <c r="O402" s="3">
        <v>1061</v>
      </c>
      <c r="P402" s="3">
        <v>1</v>
      </c>
      <c r="Q402" s="3">
        <v>2</v>
      </c>
    </row>
    <row r="403" spans="1:17" x14ac:dyDescent="0.3">
      <c r="A403" s="2" t="s">
        <v>6</v>
      </c>
      <c r="B403" s="3">
        <v>308</v>
      </c>
      <c r="C403" s="5">
        <v>125</v>
      </c>
      <c r="D403" s="6">
        <v>101</v>
      </c>
      <c r="E403" s="4">
        <v>82</v>
      </c>
      <c r="G403" s="2" t="s">
        <v>6</v>
      </c>
      <c r="H403" s="3">
        <v>399</v>
      </c>
      <c r="I403" s="5">
        <v>192</v>
      </c>
      <c r="J403" s="4">
        <v>89</v>
      </c>
      <c r="K403" s="6">
        <v>118</v>
      </c>
      <c r="M403" s="2" t="s">
        <v>6</v>
      </c>
      <c r="N403" s="3">
        <v>150</v>
      </c>
      <c r="O403" s="5">
        <v>147</v>
      </c>
      <c r="P403" s="4">
        <v>1</v>
      </c>
      <c r="Q403" s="6">
        <v>2</v>
      </c>
    </row>
    <row r="404" spans="1:17" x14ac:dyDescent="0.3">
      <c r="A404" s="2" t="s">
        <v>7</v>
      </c>
      <c r="B404" s="3" t="s">
        <v>1116</v>
      </c>
      <c r="C404" s="6" t="s">
        <v>1117</v>
      </c>
      <c r="D404" s="5" t="s">
        <v>1118</v>
      </c>
      <c r="E404" s="4" t="s">
        <v>1119</v>
      </c>
      <c r="G404" s="2" t="s">
        <v>7</v>
      </c>
      <c r="H404" s="3" t="s">
        <v>1625</v>
      </c>
      <c r="I404" s="6" t="s">
        <v>995</v>
      </c>
      <c r="J404" s="4" t="s">
        <v>177</v>
      </c>
      <c r="K404" s="5" t="s">
        <v>753</v>
      </c>
      <c r="M404" s="2" t="s">
        <v>7</v>
      </c>
      <c r="N404" s="3" t="s">
        <v>1123</v>
      </c>
      <c r="O404" s="6" t="s">
        <v>1994</v>
      </c>
      <c r="P404" s="5" t="s">
        <v>48</v>
      </c>
      <c r="Q404" s="5" t="s">
        <v>48</v>
      </c>
    </row>
    <row r="405" spans="1:17" x14ac:dyDescent="0.3">
      <c r="A405" s="2" t="s">
        <v>12</v>
      </c>
      <c r="B405" s="3" t="s">
        <v>1120</v>
      </c>
      <c r="C405" s="6" t="s">
        <v>1121</v>
      </c>
      <c r="D405" s="5" t="s">
        <v>1122</v>
      </c>
      <c r="E405" s="4" t="s">
        <v>1123</v>
      </c>
      <c r="G405" s="2" t="s">
        <v>12</v>
      </c>
      <c r="H405" s="3" t="s">
        <v>96</v>
      </c>
      <c r="I405" s="6" t="s">
        <v>1626</v>
      </c>
      <c r="J405" s="4" t="s">
        <v>409</v>
      </c>
      <c r="K405" s="5" t="s">
        <v>1627</v>
      </c>
      <c r="M405" s="2" t="s">
        <v>12</v>
      </c>
      <c r="N405" s="3" t="s">
        <v>777</v>
      </c>
      <c r="O405" s="5" t="s">
        <v>1125</v>
      </c>
      <c r="P405" s="3" t="s">
        <v>25</v>
      </c>
      <c r="Q405" s="3" t="s">
        <v>25</v>
      </c>
    </row>
    <row r="406" spans="1:17" x14ac:dyDescent="0.3">
      <c r="A406" s="2" t="s">
        <v>17</v>
      </c>
      <c r="B406" s="3" t="s">
        <v>58</v>
      </c>
      <c r="C406" s="6" t="s">
        <v>866</v>
      </c>
      <c r="D406" s="5" t="s">
        <v>1124</v>
      </c>
      <c r="E406" s="4" t="s">
        <v>206</v>
      </c>
      <c r="G406" s="2" t="s">
        <v>17</v>
      </c>
      <c r="H406" s="3" t="s">
        <v>830</v>
      </c>
      <c r="I406" s="4" t="s">
        <v>248</v>
      </c>
      <c r="J406" s="5" t="s">
        <v>183</v>
      </c>
      <c r="K406" s="6" t="s">
        <v>1296</v>
      </c>
      <c r="M406" s="2" t="s">
        <v>17</v>
      </c>
      <c r="N406" s="3" t="s">
        <v>645</v>
      </c>
      <c r="O406" s="6" t="s">
        <v>1459</v>
      </c>
      <c r="P406" s="5" t="s">
        <v>48</v>
      </c>
      <c r="Q406" s="5" t="s">
        <v>48</v>
      </c>
    </row>
    <row r="407" spans="1:17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G407" s="2" t="s">
        <v>22</v>
      </c>
      <c r="H407" s="3" t="s">
        <v>309</v>
      </c>
      <c r="I407" s="4" t="s">
        <v>268</v>
      </c>
      <c r="J407" s="6" t="s">
        <v>309</v>
      </c>
      <c r="K407" s="5" t="s">
        <v>49</v>
      </c>
      <c r="M407" s="2" t="s">
        <v>22</v>
      </c>
      <c r="N407" s="3" t="s">
        <v>150</v>
      </c>
      <c r="O407" s="6" t="s">
        <v>84</v>
      </c>
      <c r="P407" s="5" t="s">
        <v>48</v>
      </c>
      <c r="Q407" s="5" t="s">
        <v>48</v>
      </c>
    </row>
    <row r="408" spans="1:17" x14ac:dyDescent="0.3">
      <c r="A408" s="7" t="s">
        <v>26</v>
      </c>
      <c r="B408" s="8">
        <v>240</v>
      </c>
      <c r="C408" s="8">
        <v>99</v>
      </c>
      <c r="D408" s="8">
        <v>76</v>
      </c>
      <c r="E408" s="8">
        <v>65</v>
      </c>
      <c r="G408" s="7" t="s">
        <v>26</v>
      </c>
      <c r="H408" s="8">
        <v>345</v>
      </c>
      <c r="I408" s="8">
        <v>171</v>
      </c>
      <c r="J408" s="8">
        <v>69</v>
      </c>
      <c r="K408" s="8">
        <v>105</v>
      </c>
      <c r="M408" s="7" t="s">
        <v>26</v>
      </c>
      <c r="N408" s="8">
        <v>88</v>
      </c>
      <c r="O408" s="8">
        <v>88</v>
      </c>
      <c r="P408" s="8">
        <v>0</v>
      </c>
      <c r="Q408" s="8">
        <v>0</v>
      </c>
    </row>
    <row r="409" spans="1:17" x14ac:dyDescent="0.3">
      <c r="A409" s="9" t="s">
        <v>27</v>
      </c>
      <c r="B409" s="10">
        <v>119</v>
      </c>
      <c r="C409" s="10">
        <v>44</v>
      </c>
      <c r="D409" s="10">
        <v>52</v>
      </c>
      <c r="E409" s="10">
        <v>23</v>
      </c>
      <c r="G409" s="9" t="s">
        <v>27</v>
      </c>
      <c r="H409" s="10">
        <v>191</v>
      </c>
      <c r="I409" s="10">
        <v>80</v>
      </c>
      <c r="J409" s="10">
        <v>50</v>
      </c>
      <c r="K409" s="10">
        <v>61</v>
      </c>
      <c r="M409" s="9" t="s">
        <v>27</v>
      </c>
      <c r="N409" s="10">
        <v>50</v>
      </c>
      <c r="O409" s="10">
        <v>50</v>
      </c>
      <c r="P409" s="10">
        <v>0</v>
      </c>
      <c r="Q409" s="10">
        <v>0</v>
      </c>
    </row>
    <row r="410" spans="1:17" x14ac:dyDescent="0.3">
      <c r="A410" s="9" t="s">
        <v>28</v>
      </c>
      <c r="B410" s="10">
        <v>8</v>
      </c>
      <c r="C410" s="10">
        <v>5</v>
      </c>
      <c r="D410" s="10">
        <v>0</v>
      </c>
      <c r="E410" s="10">
        <v>3</v>
      </c>
      <c r="G410" s="9" t="s">
        <v>28</v>
      </c>
      <c r="H410" s="10">
        <v>12</v>
      </c>
      <c r="I410" s="10">
        <v>3</v>
      </c>
      <c r="J410" s="10">
        <v>0</v>
      </c>
      <c r="K410" s="10">
        <v>9</v>
      </c>
      <c r="M410" s="9" t="s">
        <v>28</v>
      </c>
      <c r="N410" s="10">
        <v>1</v>
      </c>
      <c r="O410" s="10">
        <v>1</v>
      </c>
      <c r="P410" s="10">
        <v>0</v>
      </c>
      <c r="Q410" s="10">
        <v>0</v>
      </c>
    </row>
    <row r="411" spans="1:17" x14ac:dyDescent="0.3">
      <c r="A411" s="9" t="s">
        <v>29</v>
      </c>
      <c r="B411" s="10">
        <v>15</v>
      </c>
      <c r="C411" s="10">
        <v>10</v>
      </c>
      <c r="D411" s="10">
        <v>0</v>
      </c>
      <c r="E411" s="10">
        <v>5</v>
      </c>
      <c r="G411" s="9" t="s">
        <v>29</v>
      </c>
      <c r="H411" s="10">
        <v>45</v>
      </c>
      <c r="I411" s="10">
        <v>45</v>
      </c>
      <c r="J411" s="10">
        <v>0</v>
      </c>
      <c r="K411" s="10">
        <v>0</v>
      </c>
      <c r="M411" s="9" t="s">
        <v>29</v>
      </c>
      <c r="N411" s="10">
        <v>18</v>
      </c>
      <c r="O411" s="10">
        <v>18</v>
      </c>
      <c r="P411" s="10">
        <v>0</v>
      </c>
      <c r="Q411" s="10">
        <v>0</v>
      </c>
    </row>
    <row r="412" spans="1:17" x14ac:dyDescent="0.3">
      <c r="A412" s="9" t="s">
        <v>30</v>
      </c>
      <c r="B412" s="10">
        <v>98</v>
      </c>
      <c r="C412" s="10">
        <v>40</v>
      </c>
      <c r="D412" s="10">
        <v>24</v>
      </c>
      <c r="E412" s="10">
        <v>34</v>
      </c>
      <c r="G412" s="9" t="s">
        <v>30</v>
      </c>
      <c r="H412" s="10">
        <v>97</v>
      </c>
      <c r="I412" s="10">
        <v>43</v>
      </c>
      <c r="J412" s="10">
        <v>19</v>
      </c>
      <c r="K412" s="10">
        <v>35</v>
      </c>
      <c r="M412" s="9" t="s">
        <v>30</v>
      </c>
      <c r="N412" s="10">
        <v>19</v>
      </c>
      <c r="O412" s="10">
        <v>19</v>
      </c>
      <c r="P412" s="10">
        <v>0</v>
      </c>
      <c r="Q412" s="10">
        <v>0</v>
      </c>
    </row>
    <row r="413" spans="1:17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G413" s="9" t="s">
        <v>31</v>
      </c>
      <c r="H413" s="10">
        <v>0</v>
      </c>
      <c r="I413" s="10">
        <v>0</v>
      </c>
      <c r="J413" s="10">
        <v>0</v>
      </c>
      <c r="K413" s="10">
        <v>0</v>
      </c>
      <c r="M413" s="9" t="s">
        <v>31</v>
      </c>
      <c r="N413" s="10">
        <v>0</v>
      </c>
      <c r="O413" s="10">
        <v>0</v>
      </c>
      <c r="P413" s="10">
        <v>0</v>
      </c>
      <c r="Q413" s="10">
        <v>0</v>
      </c>
    </row>
    <row r="414" spans="1:17" x14ac:dyDescent="0.3">
      <c r="A414" s="11" t="s">
        <v>32</v>
      </c>
      <c r="B414" s="12">
        <v>68</v>
      </c>
      <c r="C414" s="12">
        <v>26</v>
      </c>
      <c r="D414" s="12">
        <v>25</v>
      </c>
      <c r="E414" s="12">
        <v>17</v>
      </c>
      <c r="G414" s="11" t="s">
        <v>32</v>
      </c>
      <c r="H414" s="12">
        <v>54</v>
      </c>
      <c r="I414" s="12">
        <v>21</v>
      </c>
      <c r="J414" s="12">
        <v>20</v>
      </c>
      <c r="K414" s="12">
        <v>13</v>
      </c>
      <c r="M414" s="11" t="s">
        <v>32</v>
      </c>
      <c r="N414" s="12">
        <v>61</v>
      </c>
      <c r="O414" s="12">
        <v>58</v>
      </c>
      <c r="P414" s="12">
        <v>1</v>
      </c>
      <c r="Q414" s="12">
        <v>2</v>
      </c>
    </row>
    <row r="415" spans="1:17" x14ac:dyDescent="0.3">
      <c r="A415" s="13" t="s">
        <v>33</v>
      </c>
      <c r="B415" s="14">
        <v>0</v>
      </c>
      <c r="C415" s="14">
        <v>0</v>
      </c>
      <c r="D415" s="14">
        <v>0</v>
      </c>
      <c r="E415" s="14">
        <v>0</v>
      </c>
      <c r="G415" s="13" t="s">
        <v>33</v>
      </c>
      <c r="H415" s="14">
        <v>0</v>
      </c>
      <c r="I415" s="14">
        <v>0</v>
      </c>
      <c r="J415" s="14">
        <v>0</v>
      </c>
      <c r="K415" s="14">
        <v>0</v>
      </c>
      <c r="M415" s="13" t="s">
        <v>33</v>
      </c>
      <c r="N415" s="14">
        <v>0</v>
      </c>
      <c r="O415" s="14">
        <v>0</v>
      </c>
      <c r="P415" s="14">
        <v>0</v>
      </c>
      <c r="Q415" s="14">
        <v>0</v>
      </c>
    </row>
    <row r="416" spans="1:17" x14ac:dyDescent="0.3">
      <c r="A416" s="13" t="s">
        <v>34</v>
      </c>
      <c r="B416" s="14">
        <v>68</v>
      </c>
      <c r="C416" s="14">
        <v>26</v>
      </c>
      <c r="D416" s="14">
        <v>25</v>
      </c>
      <c r="E416" s="14">
        <v>17</v>
      </c>
      <c r="G416" s="13" t="s">
        <v>34</v>
      </c>
      <c r="H416" s="14">
        <v>54</v>
      </c>
      <c r="I416" s="14">
        <v>21</v>
      </c>
      <c r="J416" s="14">
        <v>20</v>
      </c>
      <c r="K416" s="14">
        <v>13</v>
      </c>
      <c r="M416" s="13" t="s">
        <v>34</v>
      </c>
      <c r="N416" s="14">
        <v>61</v>
      </c>
      <c r="O416" s="14">
        <v>58</v>
      </c>
      <c r="P416" s="14">
        <v>1</v>
      </c>
      <c r="Q416" s="14">
        <v>2</v>
      </c>
    </row>
    <row r="417" spans="1:17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G417" s="15" t="s">
        <v>35</v>
      </c>
      <c r="H417" s="16">
        <v>3</v>
      </c>
      <c r="I417" s="16">
        <v>1</v>
      </c>
      <c r="J417" s="16">
        <v>1</v>
      </c>
      <c r="K417" s="16">
        <v>1</v>
      </c>
      <c r="M417" s="15" t="s">
        <v>35</v>
      </c>
      <c r="N417" s="16">
        <v>4</v>
      </c>
      <c r="O417" s="16">
        <v>1</v>
      </c>
      <c r="P417" s="16">
        <v>1</v>
      </c>
      <c r="Q417" s="16">
        <v>2</v>
      </c>
    </row>
    <row r="418" spans="1:17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G418" s="17" t="s">
        <v>36</v>
      </c>
      <c r="H418" s="103">
        <v>3</v>
      </c>
      <c r="I418" s="103">
        <v>1</v>
      </c>
      <c r="J418" s="103">
        <v>1</v>
      </c>
      <c r="K418" s="103">
        <v>1</v>
      </c>
      <c r="M418" s="17" t="s">
        <v>36</v>
      </c>
      <c r="N418" s="138">
        <v>4</v>
      </c>
      <c r="O418" s="138">
        <v>1</v>
      </c>
      <c r="P418" s="138">
        <v>1</v>
      </c>
      <c r="Q418" s="138">
        <v>2</v>
      </c>
    </row>
    <row r="419" spans="1:17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G419" s="17" t="s">
        <v>37</v>
      </c>
      <c r="H419" s="103">
        <v>3</v>
      </c>
      <c r="I419" s="103">
        <v>1</v>
      </c>
      <c r="J419" s="103">
        <v>1</v>
      </c>
      <c r="K419" s="103">
        <v>1</v>
      </c>
      <c r="M419" s="17" t="s">
        <v>37</v>
      </c>
      <c r="N419" s="138">
        <v>4</v>
      </c>
      <c r="O419" s="138">
        <v>1</v>
      </c>
      <c r="P419" s="138">
        <v>1</v>
      </c>
      <c r="Q419" s="138">
        <v>2</v>
      </c>
    </row>
    <row r="420" spans="1:17" x14ac:dyDescent="0.3">
      <c r="A420" s="17" t="s">
        <v>38</v>
      </c>
      <c r="B420" s="167" t="s">
        <v>339</v>
      </c>
      <c r="C420" s="168"/>
      <c r="D420" s="168"/>
      <c r="E420" s="168"/>
      <c r="G420" s="17" t="s">
        <v>38</v>
      </c>
      <c r="H420" s="167" t="s">
        <v>339</v>
      </c>
      <c r="I420" s="168"/>
      <c r="J420" s="168"/>
      <c r="K420" s="168"/>
      <c r="M420" s="17" t="s">
        <v>38</v>
      </c>
      <c r="N420" s="167" t="s">
        <v>339</v>
      </c>
      <c r="O420" s="168"/>
      <c r="P420" s="168"/>
      <c r="Q420" s="168"/>
    </row>
    <row r="421" spans="1:17" ht="19.8" x14ac:dyDescent="0.3">
      <c r="A421" s="171">
        <v>46112</v>
      </c>
      <c r="B421" s="174"/>
      <c r="C421" s="174"/>
      <c r="D421" s="174"/>
      <c r="E421" s="174"/>
      <c r="G421" s="170">
        <v>46136</v>
      </c>
      <c r="H421" s="168"/>
      <c r="I421" s="168"/>
      <c r="J421" s="168"/>
      <c r="K421" s="168"/>
      <c r="M421" s="170">
        <v>46168</v>
      </c>
      <c r="N421" s="168"/>
      <c r="O421" s="168"/>
      <c r="P421" s="168"/>
      <c r="Q421" s="168"/>
    </row>
    <row r="422" spans="1:17" x14ac:dyDescent="0.3">
      <c r="A422" s="1" t="s">
        <v>0</v>
      </c>
      <c r="B422" s="1" t="s">
        <v>1</v>
      </c>
      <c r="C422" s="1" t="s">
        <v>642</v>
      </c>
      <c r="D422" s="1" t="s">
        <v>3</v>
      </c>
      <c r="E422" s="1" t="s">
        <v>40</v>
      </c>
      <c r="G422" s="1" t="s">
        <v>0</v>
      </c>
      <c r="H422" s="1" t="s">
        <v>1</v>
      </c>
      <c r="I422" s="1" t="s">
        <v>2</v>
      </c>
      <c r="J422" s="1" t="s">
        <v>3</v>
      </c>
      <c r="K422" s="1" t="s">
        <v>40</v>
      </c>
      <c r="M422" s="1" t="s">
        <v>0</v>
      </c>
      <c r="N422" s="1" t="s">
        <v>1</v>
      </c>
      <c r="O422" s="1" t="s">
        <v>2</v>
      </c>
      <c r="P422" s="1" t="s">
        <v>3</v>
      </c>
      <c r="Q422" s="1" t="s">
        <v>40</v>
      </c>
    </row>
    <row r="423" spans="1:17" x14ac:dyDescent="0.3">
      <c r="A423" s="2" t="s">
        <v>5</v>
      </c>
      <c r="B423" s="3">
        <v>1040</v>
      </c>
      <c r="C423" s="3">
        <v>0</v>
      </c>
      <c r="D423" s="3">
        <v>535</v>
      </c>
      <c r="E423" s="3">
        <v>505</v>
      </c>
      <c r="G423" s="2" t="s">
        <v>5</v>
      </c>
      <c r="H423" s="3">
        <v>3644</v>
      </c>
      <c r="I423" s="3">
        <v>1495</v>
      </c>
      <c r="J423" s="3">
        <v>1260</v>
      </c>
      <c r="K423" s="3">
        <v>889</v>
      </c>
      <c r="M423" s="2" t="s">
        <v>5</v>
      </c>
      <c r="N423" s="3">
        <v>2477</v>
      </c>
      <c r="O423" s="3">
        <v>1115</v>
      </c>
      <c r="P423" s="3">
        <v>854</v>
      </c>
      <c r="Q423" s="3">
        <v>508</v>
      </c>
    </row>
    <row r="424" spans="1:17" x14ac:dyDescent="0.3">
      <c r="A424" s="2" t="s">
        <v>6</v>
      </c>
      <c r="B424" s="3">
        <v>207</v>
      </c>
      <c r="C424" s="3">
        <v>0</v>
      </c>
      <c r="D424" s="5">
        <v>114</v>
      </c>
      <c r="E424" s="6">
        <v>93</v>
      </c>
      <c r="G424" s="2" t="s">
        <v>6</v>
      </c>
      <c r="H424" s="3">
        <v>313</v>
      </c>
      <c r="I424" s="5">
        <v>157</v>
      </c>
      <c r="J424" s="4">
        <v>75</v>
      </c>
      <c r="K424" s="6">
        <v>81</v>
      </c>
      <c r="M424" s="2" t="s">
        <v>6</v>
      </c>
      <c r="N424" s="3">
        <v>359</v>
      </c>
      <c r="O424" s="5">
        <v>177</v>
      </c>
      <c r="P424" s="6">
        <v>98</v>
      </c>
      <c r="Q424" s="4">
        <v>84</v>
      </c>
    </row>
    <row r="425" spans="1:17" x14ac:dyDescent="0.3">
      <c r="A425" s="2" t="s">
        <v>7</v>
      </c>
      <c r="B425" s="3" t="s">
        <v>1159</v>
      </c>
      <c r="C425" s="3">
        <v>0</v>
      </c>
      <c r="D425" s="5" t="s">
        <v>1160</v>
      </c>
      <c r="E425" s="6" t="s">
        <v>1161</v>
      </c>
      <c r="G425" s="2" t="s">
        <v>7</v>
      </c>
      <c r="H425" s="3" t="s">
        <v>483</v>
      </c>
      <c r="I425" s="5" t="s">
        <v>829</v>
      </c>
      <c r="J425" s="4" t="s">
        <v>1358</v>
      </c>
      <c r="K425" s="6" t="s">
        <v>15</v>
      </c>
      <c r="M425" s="2" t="s">
        <v>7</v>
      </c>
      <c r="N425" s="3" t="s">
        <v>2010</v>
      </c>
      <c r="O425" s="6" t="s">
        <v>2011</v>
      </c>
      <c r="P425" s="4" t="s">
        <v>2012</v>
      </c>
      <c r="Q425" s="5" t="s">
        <v>2013</v>
      </c>
    </row>
    <row r="426" spans="1:17" x14ac:dyDescent="0.3">
      <c r="A426" s="2" t="s">
        <v>12</v>
      </c>
      <c r="B426" s="3" t="s">
        <v>1162</v>
      </c>
      <c r="C426" s="3">
        <v>0</v>
      </c>
      <c r="D426" s="5" t="s">
        <v>1163</v>
      </c>
      <c r="E426" s="6" t="s">
        <v>133</v>
      </c>
      <c r="G426" s="2" t="s">
        <v>12</v>
      </c>
      <c r="H426" s="3" t="s">
        <v>189</v>
      </c>
      <c r="I426" s="5" t="s">
        <v>705</v>
      </c>
      <c r="J426" s="4" t="s">
        <v>848</v>
      </c>
      <c r="K426" s="6" t="s">
        <v>885</v>
      </c>
      <c r="M426" s="2" t="s">
        <v>12</v>
      </c>
      <c r="N426" s="3" t="s">
        <v>55</v>
      </c>
      <c r="O426" s="5" t="s">
        <v>1971</v>
      </c>
      <c r="P426" s="4" t="s">
        <v>204</v>
      </c>
      <c r="Q426" s="6" t="s">
        <v>777</v>
      </c>
    </row>
    <row r="427" spans="1:17" x14ac:dyDescent="0.3">
      <c r="A427" s="2" t="s">
        <v>17</v>
      </c>
      <c r="B427" s="3" t="s">
        <v>1164</v>
      </c>
      <c r="C427" s="3" t="s">
        <v>25</v>
      </c>
      <c r="D427" s="6" t="s">
        <v>721</v>
      </c>
      <c r="E427" s="5" t="s">
        <v>1165</v>
      </c>
      <c r="G427" s="2" t="s">
        <v>17</v>
      </c>
      <c r="H427" s="3" t="s">
        <v>794</v>
      </c>
      <c r="I427" s="4" t="s">
        <v>80</v>
      </c>
      <c r="J427" s="5" t="s">
        <v>505</v>
      </c>
      <c r="K427" s="6" t="s">
        <v>1373</v>
      </c>
      <c r="M427" s="2" t="s">
        <v>17</v>
      </c>
      <c r="N427" s="3" t="s">
        <v>304</v>
      </c>
      <c r="O427" s="4" t="s">
        <v>1442</v>
      </c>
      <c r="P427" s="6" t="s">
        <v>767</v>
      </c>
      <c r="Q427" s="5" t="s">
        <v>777</v>
      </c>
    </row>
    <row r="428" spans="1:17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G428" s="2" t="s">
        <v>22</v>
      </c>
      <c r="H428" s="3" t="s">
        <v>309</v>
      </c>
      <c r="I428" s="6" t="s">
        <v>138</v>
      </c>
      <c r="J428" s="5" t="s">
        <v>154</v>
      </c>
      <c r="K428" s="3" t="s">
        <v>25</v>
      </c>
      <c r="M428" s="2" t="s">
        <v>22</v>
      </c>
      <c r="N428" s="3" t="s">
        <v>25</v>
      </c>
      <c r="O428" s="3" t="s">
        <v>25</v>
      </c>
      <c r="P428" s="3" t="s">
        <v>25</v>
      </c>
      <c r="Q428" s="3" t="s">
        <v>25</v>
      </c>
    </row>
    <row r="429" spans="1:17" x14ac:dyDescent="0.3">
      <c r="A429" s="7" t="s">
        <v>26</v>
      </c>
      <c r="B429" s="8">
        <v>113</v>
      </c>
      <c r="C429" s="8">
        <v>0</v>
      </c>
      <c r="D429" s="8">
        <v>71</v>
      </c>
      <c r="E429" s="8">
        <v>42</v>
      </c>
      <c r="G429" s="7" t="s">
        <v>26</v>
      </c>
      <c r="H429" s="8">
        <v>276</v>
      </c>
      <c r="I429" s="8">
        <v>145</v>
      </c>
      <c r="J429" s="8">
        <v>60</v>
      </c>
      <c r="K429" s="8">
        <v>71</v>
      </c>
      <c r="M429" s="7" t="s">
        <v>26</v>
      </c>
      <c r="N429" s="8">
        <v>180</v>
      </c>
      <c r="O429" s="8">
        <v>101</v>
      </c>
      <c r="P429" s="8">
        <v>37</v>
      </c>
      <c r="Q429" s="8">
        <v>42</v>
      </c>
    </row>
    <row r="430" spans="1:17" x14ac:dyDescent="0.3">
      <c r="A430" s="9" t="s">
        <v>27</v>
      </c>
      <c r="B430" s="10">
        <v>54</v>
      </c>
      <c r="C430" s="10">
        <v>0</v>
      </c>
      <c r="D430" s="10">
        <v>39</v>
      </c>
      <c r="E430" s="10">
        <v>15</v>
      </c>
      <c r="G430" s="9" t="s">
        <v>27</v>
      </c>
      <c r="H430" s="10">
        <v>137</v>
      </c>
      <c r="I430" s="10">
        <v>60</v>
      </c>
      <c r="J430" s="10">
        <v>40</v>
      </c>
      <c r="K430" s="10">
        <v>37</v>
      </c>
      <c r="M430" s="9" t="s">
        <v>27</v>
      </c>
      <c r="N430" s="10">
        <v>75</v>
      </c>
      <c r="O430" s="10">
        <v>44</v>
      </c>
      <c r="P430" s="10">
        <v>11</v>
      </c>
      <c r="Q430" s="10">
        <v>20</v>
      </c>
    </row>
    <row r="431" spans="1:17" x14ac:dyDescent="0.3">
      <c r="A431" s="9" t="s">
        <v>28</v>
      </c>
      <c r="B431" s="10">
        <v>2</v>
      </c>
      <c r="C431" s="10">
        <v>0</v>
      </c>
      <c r="D431" s="10">
        <v>0</v>
      </c>
      <c r="E431" s="10">
        <v>2</v>
      </c>
      <c r="G431" s="9" t="s">
        <v>28</v>
      </c>
      <c r="H431" s="10">
        <v>7</v>
      </c>
      <c r="I431" s="10">
        <v>0</v>
      </c>
      <c r="J431" s="10">
        <v>0</v>
      </c>
      <c r="K431" s="10">
        <v>7</v>
      </c>
      <c r="M431" s="9" t="s">
        <v>28</v>
      </c>
      <c r="N431" s="10">
        <v>12</v>
      </c>
      <c r="O431" s="10">
        <v>1</v>
      </c>
      <c r="P431" s="10">
        <v>3</v>
      </c>
      <c r="Q431" s="10">
        <v>8</v>
      </c>
    </row>
    <row r="432" spans="1:17" x14ac:dyDescent="0.3">
      <c r="A432" s="9" t="s">
        <v>29</v>
      </c>
      <c r="B432" s="10">
        <v>4</v>
      </c>
      <c r="C432" s="10">
        <v>0</v>
      </c>
      <c r="D432" s="10">
        <v>0</v>
      </c>
      <c r="E432" s="10">
        <v>4</v>
      </c>
      <c r="G432" s="9" t="s">
        <v>29</v>
      </c>
      <c r="H432" s="10">
        <v>40</v>
      </c>
      <c r="I432" s="10">
        <v>40</v>
      </c>
      <c r="J432" s="10">
        <v>0</v>
      </c>
      <c r="K432" s="10">
        <v>0</v>
      </c>
      <c r="M432" s="9" t="s">
        <v>29</v>
      </c>
      <c r="N432" s="10">
        <v>15</v>
      </c>
      <c r="O432" s="10">
        <v>15</v>
      </c>
      <c r="P432" s="10">
        <v>0</v>
      </c>
      <c r="Q432" s="10">
        <v>0</v>
      </c>
    </row>
    <row r="433" spans="1:17" x14ac:dyDescent="0.3">
      <c r="A433" s="9" t="s">
        <v>30</v>
      </c>
      <c r="B433" s="10">
        <v>53</v>
      </c>
      <c r="C433" s="10">
        <v>0</v>
      </c>
      <c r="D433" s="10">
        <v>32</v>
      </c>
      <c r="E433" s="10">
        <v>21</v>
      </c>
      <c r="G433" s="9" t="s">
        <v>30</v>
      </c>
      <c r="H433" s="10">
        <v>92</v>
      </c>
      <c r="I433" s="10">
        <v>45</v>
      </c>
      <c r="J433" s="10">
        <v>20</v>
      </c>
      <c r="K433" s="10">
        <v>27</v>
      </c>
      <c r="M433" s="9" t="s">
        <v>30</v>
      </c>
      <c r="N433" s="10">
        <v>78</v>
      </c>
      <c r="O433" s="10">
        <v>41</v>
      </c>
      <c r="P433" s="10">
        <v>23</v>
      </c>
      <c r="Q433" s="10">
        <v>14</v>
      </c>
    </row>
    <row r="434" spans="1:17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G434" s="9" t="s">
        <v>31</v>
      </c>
      <c r="H434" s="10">
        <v>0</v>
      </c>
      <c r="I434" s="10">
        <v>0</v>
      </c>
      <c r="J434" s="10">
        <v>0</v>
      </c>
      <c r="K434" s="10">
        <v>0</v>
      </c>
      <c r="M434" s="9" t="s">
        <v>31</v>
      </c>
      <c r="N434" s="10">
        <v>0</v>
      </c>
      <c r="O434" s="10">
        <v>0</v>
      </c>
      <c r="P434" s="10">
        <v>0</v>
      </c>
      <c r="Q434" s="10">
        <v>0</v>
      </c>
    </row>
    <row r="435" spans="1:17" x14ac:dyDescent="0.3">
      <c r="A435" s="11" t="s">
        <v>32</v>
      </c>
      <c r="B435" s="12">
        <v>94</v>
      </c>
      <c r="C435" s="12">
        <v>0</v>
      </c>
      <c r="D435" s="12">
        <v>43</v>
      </c>
      <c r="E435" s="12">
        <v>51</v>
      </c>
      <c r="G435" s="11" t="s">
        <v>32</v>
      </c>
      <c r="H435" s="12">
        <v>36</v>
      </c>
      <c r="I435" s="12">
        <v>11</v>
      </c>
      <c r="J435" s="12">
        <v>15</v>
      </c>
      <c r="K435" s="12">
        <v>10</v>
      </c>
      <c r="M435" s="11" t="s">
        <v>32</v>
      </c>
      <c r="N435" s="12">
        <v>179</v>
      </c>
      <c r="O435" s="12">
        <v>76</v>
      </c>
      <c r="P435" s="12">
        <v>61</v>
      </c>
      <c r="Q435" s="12">
        <v>42</v>
      </c>
    </row>
    <row r="436" spans="1:17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G436" s="13" t="s">
        <v>33</v>
      </c>
      <c r="H436" s="14">
        <v>0</v>
      </c>
      <c r="I436" s="14">
        <v>0</v>
      </c>
      <c r="J436" s="14">
        <v>0</v>
      </c>
      <c r="K436" s="14">
        <v>0</v>
      </c>
      <c r="M436" s="13" t="s">
        <v>33</v>
      </c>
      <c r="N436" s="14">
        <v>0</v>
      </c>
      <c r="O436" s="14">
        <v>0</v>
      </c>
      <c r="P436" s="14">
        <v>0</v>
      </c>
      <c r="Q436" s="14">
        <v>0</v>
      </c>
    </row>
    <row r="437" spans="1:17" x14ac:dyDescent="0.3">
      <c r="A437" s="13" t="s">
        <v>34</v>
      </c>
      <c r="B437" s="14">
        <v>94</v>
      </c>
      <c r="C437" s="14">
        <v>0</v>
      </c>
      <c r="D437" s="14">
        <v>43</v>
      </c>
      <c r="E437" s="14">
        <v>51</v>
      </c>
      <c r="G437" s="13" t="s">
        <v>34</v>
      </c>
      <c r="H437" s="14">
        <v>36</v>
      </c>
      <c r="I437" s="14">
        <v>11</v>
      </c>
      <c r="J437" s="14">
        <v>15</v>
      </c>
      <c r="K437" s="14">
        <v>10</v>
      </c>
      <c r="M437" s="13" t="s">
        <v>34</v>
      </c>
      <c r="N437" s="14">
        <v>179</v>
      </c>
      <c r="O437" s="14">
        <v>76</v>
      </c>
      <c r="P437" s="14">
        <v>61</v>
      </c>
      <c r="Q437" s="14">
        <v>42</v>
      </c>
    </row>
    <row r="438" spans="1:17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G438" s="15" t="s">
        <v>35</v>
      </c>
      <c r="H438" s="16">
        <v>3</v>
      </c>
      <c r="I438" s="16">
        <v>1</v>
      </c>
      <c r="J438" s="16">
        <v>2</v>
      </c>
      <c r="K438" s="16">
        <v>0</v>
      </c>
      <c r="M438" s="15" t="s">
        <v>35</v>
      </c>
      <c r="N438" s="16">
        <v>0</v>
      </c>
      <c r="O438" s="16">
        <v>0</v>
      </c>
      <c r="P438" s="16">
        <v>0</v>
      </c>
      <c r="Q438" s="16">
        <v>0</v>
      </c>
    </row>
    <row r="439" spans="1:17" x14ac:dyDescent="0.3">
      <c r="A439" s="17" t="s">
        <v>36</v>
      </c>
      <c r="B439" s="56">
        <v>0</v>
      </c>
      <c r="C439" s="56">
        <v>0</v>
      </c>
      <c r="D439" s="56">
        <v>0</v>
      </c>
      <c r="E439" s="56">
        <v>0</v>
      </c>
      <c r="G439" s="17" t="s">
        <v>36</v>
      </c>
      <c r="H439" s="109">
        <v>2</v>
      </c>
      <c r="I439" s="109">
        <v>1</v>
      </c>
      <c r="J439" s="109">
        <v>1</v>
      </c>
      <c r="K439" s="109">
        <v>0</v>
      </c>
      <c r="M439" s="17" t="s">
        <v>36</v>
      </c>
      <c r="N439" s="138">
        <v>0</v>
      </c>
      <c r="O439" s="138">
        <v>0</v>
      </c>
      <c r="P439" s="138">
        <v>0</v>
      </c>
      <c r="Q439" s="138">
        <v>0</v>
      </c>
    </row>
    <row r="440" spans="1:17" x14ac:dyDescent="0.3">
      <c r="A440" s="17" t="s">
        <v>37</v>
      </c>
      <c r="B440" s="56">
        <v>0</v>
      </c>
      <c r="C440" s="56">
        <v>0</v>
      </c>
      <c r="D440" s="56">
        <v>0</v>
      </c>
      <c r="E440" s="56">
        <v>0</v>
      </c>
      <c r="G440" s="17" t="s">
        <v>37</v>
      </c>
      <c r="H440" s="109">
        <v>3</v>
      </c>
      <c r="I440" s="109">
        <v>1</v>
      </c>
      <c r="J440" s="109">
        <v>2</v>
      </c>
      <c r="K440" s="109">
        <v>0</v>
      </c>
      <c r="M440" s="17" t="s">
        <v>37</v>
      </c>
      <c r="N440" s="138">
        <v>0</v>
      </c>
      <c r="O440" s="138">
        <v>0</v>
      </c>
      <c r="P440" s="138">
        <v>0</v>
      </c>
      <c r="Q440" s="138">
        <v>0</v>
      </c>
    </row>
    <row r="441" spans="1:17" x14ac:dyDescent="0.3">
      <c r="A441" s="17" t="s">
        <v>38</v>
      </c>
      <c r="B441" s="172" t="s">
        <v>339</v>
      </c>
      <c r="C441" s="173"/>
      <c r="D441" s="173"/>
      <c r="E441" s="173"/>
      <c r="G441" s="17" t="s">
        <v>38</v>
      </c>
      <c r="H441" s="167" t="s">
        <v>339</v>
      </c>
      <c r="I441" s="168"/>
      <c r="J441" s="168"/>
      <c r="K441" s="168"/>
      <c r="M441" s="17" t="s">
        <v>38</v>
      </c>
      <c r="N441" s="167" t="s">
        <v>339</v>
      </c>
      <c r="O441" s="168"/>
      <c r="P441" s="168"/>
      <c r="Q441" s="168"/>
    </row>
    <row r="442" spans="1:17" ht="19.8" x14ac:dyDescent="0.3">
      <c r="G442" s="170">
        <v>46137</v>
      </c>
      <c r="H442" s="168"/>
      <c r="I442" s="168"/>
      <c r="J442" s="168"/>
      <c r="K442" s="168"/>
      <c r="M442" s="170">
        <v>46169</v>
      </c>
      <c r="N442" s="168"/>
      <c r="O442" s="168"/>
      <c r="P442" s="168"/>
      <c r="Q442" s="168"/>
    </row>
    <row r="443" spans="1:17" x14ac:dyDescent="0.3">
      <c r="G443" s="1" t="s">
        <v>0</v>
      </c>
      <c r="H443" s="1" t="s">
        <v>1</v>
      </c>
      <c r="I443" s="1" t="s">
        <v>2</v>
      </c>
      <c r="J443" s="1" t="s">
        <v>3</v>
      </c>
      <c r="K443" s="1" t="s">
        <v>40</v>
      </c>
      <c r="M443" s="1" t="s">
        <v>0</v>
      </c>
      <c r="N443" s="1" t="s">
        <v>1</v>
      </c>
      <c r="O443" s="1" t="s">
        <v>2</v>
      </c>
      <c r="P443" s="1" t="s">
        <v>3</v>
      </c>
      <c r="Q443" s="1" t="s">
        <v>40</v>
      </c>
    </row>
    <row r="444" spans="1:17" x14ac:dyDescent="0.3">
      <c r="G444" s="2" t="s">
        <v>5</v>
      </c>
      <c r="H444" s="3">
        <v>2728</v>
      </c>
      <c r="I444" s="3">
        <v>1184</v>
      </c>
      <c r="J444" s="3">
        <v>944</v>
      </c>
      <c r="K444" s="3">
        <v>600</v>
      </c>
      <c r="M444" s="2" t="s">
        <v>5</v>
      </c>
      <c r="N444" s="3">
        <v>2617</v>
      </c>
      <c r="O444" s="3">
        <v>1084</v>
      </c>
      <c r="P444" s="3">
        <v>864</v>
      </c>
      <c r="Q444" s="3">
        <v>669</v>
      </c>
    </row>
    <row r="445" spans="1:17" x14ac:dyDescent="0.3">
      <c r="G445" s="2" t="s">
        <v>6</v>
      </c>
      <c r="H445" s="3">
        <v>266</v>
      </c>
      <c r="I445" s="5">
        <v>131</v>
      </c>
      <c r="J445" s="6">
        <v>81</v>
      </c>
      <c r="K445" s="4">
        <v>54</v>
      </c>
      <c r="M445" s="2" t="s">
        <v>6</v>
      </c>
      <c r="N445" s="3">
        <v>214</v>
      </c>
      <c r="O445" s="5">
        <v>103</v>
      </c>
      <c r="P445" s="4">
        <v>48</v>
      </c>
      <c r="Q445" s="6">
        <v>63</v>
      </c>
    </row>
    <row r="446" spans="1:17" x14ac:dyDescent="0.3">
      <c r="G446" s="2" t="s">
        <v>7</v>
      </c>
      <c r="H446" s="3" t="s">
        <v>1655</v>
      </c>
      <c r="I446" s="5" t="s">
        <v>1264</v>
      </c>
      <c r="J446" s="4" t="s">
        <v>420</v>
      </c>
      <c r="K446" s="6" t="s">
        <v>330</v>
      </c>
      <c r="M446" s="2" t="s">
        <v>7</v>
      </c>
      <c r="N446" s="3" t="s">
        <v>690</v>
      </c>
      <c r="O446" s="5" t="s">
        <v>1610</v>
      </c>
      <c r="P446" s="4" t="s">
        <v>1768</v>
      </c>
      <c r="Q446" s="6" t="s">
        <v>1206</v>
      </c>
    </row>
    <row r="447" spans="1:17" x14ac:dyDescent="0.3">
      <c r="G447" s="2" t="s">
        <v>12</v>
      </c>
      <c r="H447" s="3" t="s">
        <v>722</v>
      </c>
      <c r="I447" s="5" t="s">
        <v>1489</v>
      </c>
      <c r="J447" s="4" t="s">
        <v>1656</v>
      </c>
      <c r="K447" s="6" t="s">
        <v>1177</v>
      </c>
      <c r="M447" s="2" t="s">
        <v>12</v>
      </c>
      <c r="N447" s="3" t="s">
        <v>563</v>
      </c>
      <c r="O447" s="5" t="s">
        <v>633</v>
      </c>
      <c r="P447" s="4" t="s">
        <v>1502</v>
      </c>
      <c r="Q447" s="6" t="s">
        <v>1620</v>
      </c>
    </row>
    <row r="448" spans="1:17" x14ac:dyDescent="0.3">
      <c r="G448" s="2" t="s">
        <v>17</v>
      </c>
      <c r="H448" s="3" t="s">
        <v>724</v>
      </c>
      <c r="I448" s="5" t="s">
        <v>526</v>
      </c>
      <c r="J448" s="6" t="s">
        <v>126</v>
      </c>
      <c r="K448" s="4" t="s">
        <v>509</v>
      </c>
      <c r="M448" s="2" t="s">
        <v>17</v>
      </c>
      <c r="N448" s="3" t="s">
        <v>991</v>
      </c>
      <c r="O448" s="4" t="s">
        <v>226</v>
      </c>
      <c r="P448" s="6" t="s">
        <v>1305</v>
      </c>
      <c r="Q448" s="5" t="s">
        <v>57</v>
      </c>
    </row>
    <row r="449" spans="7:17" x14ac:dyDescent="0.3">
      <c r="G449" s="2" t="s">
        <v>22</v>
      </c>
      <c r="H449" s="3" t="s">
        <v>138</v>
      </c>
      <c r="I449" s="6" t="s">
        <v>309</v>
      </c>
      <c r="J449" s="3" t="s">
        <v>25</v>
      </c>
      <c r="K449" s="5" t="s">
        <v>108</v>
      </c>
      <c r="M449" s="2" t="s">
        <v>22</v>
      </c>
      <c r="N449" s="3" t="s">
        <v>25</v>
      </c>
      <c r="O449" s="3" t="s">
        <v>25</v>
      </c>
      <c r="P449" s="3" t="s">
        <v>25</v>
      </c>
      <c r="Q449" s="3" t="s">
        <v>25</v>
      </c>
    </row>
    <row r="450" spans="7:17" x14ac:dyDescent="0.3">
      <c r="G450" s="7" t="s">
        <v>26</v>
      </c>
      <c r="H450" s="8">
        <v>212</v>
      </c>
      <c r="I450" s="8">
        <v>105</v>
      </c>
      <c r="J450" s="8">
        <v>61</v>
      </c>
      <c r="K450" s="8">
        <v>46</v>
      </c>
      <c r="M450" s="7" t="s">
        <v>26</v>
      </c>
      <c r="N450" s="8">
        <v>108</v>
      </c>
      <c r="O450" s="8">
        <v>64</v>
      </c>
      <c r="P450" s="8">
        <v>14</v>
      </c>
      <c r="Q450" s="8">
        <v>30</v>
      </c>
    </row>
    <row r="451" spans="7:17" x14ac:dyDescent="0.3">
      <c r="G451" s="9" t="s">
        <v>27</v>
      </c>
      <c r="H451" s="10">
        <v>92</v>
      </c>
      <c r="I451" s="10">
        <v>39</v>
      </c>
      <c r="J451" s="10">
        <v>35</v>
      </c>
      <c r="K451" s="10">
        <v>18</v>
      </c>
      <c r="M451" s="9" t="s">
        <v>27</v>
      </c>
      <c r="N451" s="10">
        <v>51</v>
      </c>
      <c r="O451" s="10">
        <v>32</v>
      </c>
      <c r="P451" s="10">
        <v>4</v>
      </c>
      <c r="Q451" s="10">
        <v>15</v>
      </c>
    </row>
    <row r="452" spans="7:17" x14ac:dyDescent="0.3">
      <c r="G452" s="9" t="s">
        <v>28</v>
      </c>
      <c r="H452" s="10">
        <v>7</v>
      </c>
      <c r="I452" s="10">
        <v>2</v>
      </c>
      <c r="J452" s="10">
        <v>0</v>
      </c>
      <c r="K452" s="10">
        <v>5</v>
      </c>
      <c r="M452" s="9" t="s">
        <v>28</v>
      </c>
      <c r="N452" s="10">
        <v>9</v>
      </c>
      <c r="O452" s="10">
        <v>6</v>
      </c>
      <c r="P452" s="10">
        <v>2</v>
      </c>
      <c r="Q452" s="10">
        <v>1</v>
      </c>
    </row>
    <row r="453" spans="7:17" x14ac:dyDescent="0.3">
      <c r="G453" s="9" t="s">
        <v>29</v>
      </c>
      <c r="H453" s="10">
        <v>23</v>
      </c>
      <c r="I453" s="10">
        <v>23</v>
      </c>
      <c r="J453" s="10">
        <v>0</v>
      </c>
      <c r="K453" s="10">
        <v>0</v>
      </c>
      <c r="M453" s="9" t="s">
        <v>29</v>
      </c>
      <c r="N453" s="10">
        <v>15</v>
      </c>
      <c r="O453" s="10">
        <v>15</v>
      </c>
      <c r="P453" s="10">
        <v>0</v>
      </c>
      <c r="Q453" s="10">
        <v>0</v>
      </c>
    </row>
    <row r="454" spans="7:17" x14ac:dyDescent="0.3">
      <c r="G454" s="9" t="s">
        <v>30</v>
      </c>
      <c r="H454" s="10">
        <v>90</v>
      </c>
      <c r="I454" s="10">
        <v>41</v>
      </c>
      <c r="J454" s="10">
        <v>26</v>
      </c>
      <c r="K454" s="10">
        <v>23</v>
      </c>
      <c r="M454" s="9" t="s">
        <v>30</v>
      </c>
      <c r="N454" s="10">
        <v>33</v>
      </c>
      <c r="O454" s="10">
        <v>11</v>
      </c>
      <c r="P454" s="10">
        <v>8</v>
      </c>
      <c r="Q454" s="10">
        <v>14</v>
      </c>
    </row>
    <row r="455" spans="7:17" x14ac:dyDescent="0.3">
      <c r="G455" s="9" t="s">
        <v>31</v>
      </c>
      <c r="H455" s="10">
        <v>0</v>
      </c>
      <c r="I455" s="10">
        <v>0</v>
      </c>
      <c r="J455" s="10">
        <v>0</v>
      </c>
      <c r="K455" s="10">
        <v>0</v>
      </c>
      <c r="M455" s="9" t="s">
        <v>31</v>
      </c>
      <c r="N455" s="10">
        <v>0</v>
      </c>
      <c r="O455" s="10">
        <v>0</v>
      </c>
      <c r="P455" s="10">
        <v>0</v>
      </c>
      <c r="Q455" s="10">
        <v>0</v>
      </c>
    </row>
    <row r="456" spans="7:17" x14ac:dyDescent="0.3">
      <c r="G456" s="11" t="s">
        <v>32</v>
      </c>
      <c r="H456" s="12">
        <v>54</v>
      </c>
      <c r="I456" s="12">
        <v>26</v>
      </c>
      <c r="J456" s="12">
        <v>20</v>
      </c>
      <c r="K456" s="12">
        <v>8</v>
      </c>
      <c r="M456" s="11" t="s">
        <v>32</v>
      </c>
      <c r="N456" s="12">
        <v>106</v>
      </c>
      <c r="O456" s="12">
        <v>39</v>
      </c>
      <c r="P456" s="12">
        <v>34</v>
      </c>
      <c r="Q456" s="12">
        <v>33</v>
      </c>
    </row>
    <row r="457" spans="7:17" x14ac:dyDescent="0.3">
      <c r="G457" s="13" t="s">
        <v>33</v>
      </c>
      <c r="H457" s="14">
        <v>0</v>
      </c>
      <c r="I457" s="14">
        <v>0</v>
      </c>
      <c r="J457" s="14">
        <v>0</v>
      </c>
      <c r="K457" s="14">
        <v>0</v>
      </c>
      <c r="M457" s="13" t="s">
        <v>33</v>
      </c>
      <c r="N457" s="14">
        <v>0</v>
      </c>
      <c r="O457" s="14">
        <v>0</v>
      </c>
      <c r="P457" s="14">
        <v>0</v>
      </c>
      <c r="Q457" s="14">
        <v>0</v>
      </c>
    </row>
    <row r="458" spans="7:17" x14ac:dyDescent="0.3">
      <c r="G458" s="13" t="s">
        <v>34</v>
      </c>
      <c r="H458" s="14">
        <v>54</v>
      </c>
      <c r="I458" s="14">
        <v>26</v>
      </c>
      <c r="J458" s="14">
        <v>20</v>
      </c>
      <c r="K458" s="14">
        <v>8</v>
      </c>
      <c r="M458" s="13" t="s">
        <v>34</v>
      </c>
      <c r="N458" s="14">
        <v>106</v>
      </c>
      <c r="O458" s="14">
        <v>39</v>
      </c>
      <c r="P458" s="14">
        <v>34</v>
      </c>
      <c r="Q458" s="14">
        <v>33</v>
      </c>
    </row>
    <row r="459" spans="7:17" x14ac:dyDescent="0.3">
      <c r="G459" s="15" t="s">
        <v>35</v>
      </c>
      <c r="H459" s="16">
        <v>2</v>
      </c>
      <c r="I459" s="16">
        <v>1</v>
      </c>
      <c r="J459" s="16">
        <v>0</v>
      </c>
      <c r="K459" s="16">
        <v>1</v>
      </c>
      <c r="M459" s="15" t="s">
        <v>35</v>
      </c>
      <c r="N459" s="16">
        <v>0</v>
      </c>
      <c r="O459" s="16">
        <v>0</v>
      </c>
      <c r="P459" s="16">
        <v>0</v>
      </c>
      <c r="Q459" s="16">
        <v>0</v>
      </c>
    </row>
    <row r="460" spans="7:17" x14ac:dyDescent="0.3">
      <c r="G460" s="17" t="s">
        <v>36</v>
      </c>
      <c r="H460" s="109">
        <v>2</v>
      </c>
      <c r="I460" s="109">
        <v>1</v>
      </c>
      <c r="J460" s="109">
        <v>0</v>
      </c>
      <c r="K460" s="109">
        <v>1</v>
      </c>
      <c r="M460" s="17" t="s">
        <v>36</v>
      </c>
      <c r="N460" s="138">
        <v>0</v>
      </c>
      <c r="O460" s="138">
        <v>0</v>
      </c>
      <c r="P460" s="138">
        <v>0</v>
      </c>
      <c r="Q460" s="138">
        <v>0</v>
      </c>
    </row>
    <row r="461" spans="7:17" x14ac:dyDescent="0.3">
      <c r="G461" s="17" t="s">
        <v>37</v>
      </c>
      <c r="H461" s="109">
        <v>2</v>
      </c>
      <c r="I461" s="109">
        <v>1</v>
      </c>
      <c r="J461" s="109">
        <v>0</v>
      </c>
      <c r="K461" s="109">
        <v>1</v>
      </c>
      <c r="M461" s="17" t="s">
        <v>37</v>
      </c>
      <c r="N461" s="138">
        <v>0</v>
      </c>
      <c r="O461" s="138">
        <v>0</v>
      </c>
      <c r="P461" s="138">
        <v>0</v>
      </c>
      <c r="Q461" s="138">
        <v>0</v>
      </c>
    </row>
    <row r="462" spans="7:17" x14ac:dyDescent="0.3">
      <c r="G462" s="17" t="s">
        <v>38</v>
      </c>
      <c r="H462" s="167" t="s">
        <v>339</v>
      </c>
      <c r="I462" s="168"/>
      <c r="J462" s="168"/>
      <c r="K462" s="168"/>
      <c r="M462" s="17" t="s">
        <v>38</v>
      </c>
      <c r="N462" s="167" t="s">
        <v>339</v>
      </c>
      <c r="O462" s="168"/>
      <c r="P462" s="168"/>
      <c r="Q462" s="168"/>
    </row>
    <row r="463" spans="7:17" ht="19.8" x14ac:dyDescent="0.3">
      <c r="G463" s="170">
        <v>46139</v>
      </c>
      <c r="H463" s="168"/>
      <c r="I463" s="168"/>
      <c r="J463" s="168"/>
      <c r="K463" s="168"/>
      <c r="M463" s="170">
        <v>46170</v>
      </c>
      <c r="N463" s="168"/>
      <c r="O463" s="168"/>
      <c r="P463" s="168"/>
      <c r="Q463" s="168"/>
    </row>
    <row r="464" spans="7:17" x14ac:dyDescent="0.3">
      <c r="G464" s="1" t="s">
        <v>0</v>
      </c>
      <c r="H464" s="1" t="s">
        <v>1</v>
      </c>
      <c r="I464" s="1" t="s">
        <v>2</v>
      </c>
      <c r="J464" s="1" t="s">
        <v>3</v>
      </c>
      <c r="K464" s="1" t="s">
        <v>40</v>
      </c>
      <c r="M464" s="179" t="s">
        <v>0</v>
      </c>
      <c r="N464" s="179" t="s">
        <v>1</v>
      </c>
      <c r="O464" s="179" t="s">
        <v>2</v>
      </c>
      <c r="P464" s="179" t="s">
        <v>3</v>
      </c>
      <c r="Q464" s="179" t="s">
        <v>40</v>
      </c>
    </row>
    <row r="465" spans="7:17" x14ac:dyDescent="0.3">
      <c r="G465" s="2" t="s">
        <v>5</v>
      </c>
      <c r="H465" s="3">
        <v>1828</v>
      </c>
      <c r="I465" s="3">
        <v>828</v>
      </c>
      <c r="J465" s="3">
        <v>746</v>
      </c>
      <c r="K465" s="3">
        <v>254</v>
      </c>
      <c r="M465" s="180" t="s">
        <v>5</v>
      </c>
      <c r="N465" s="181">
        <v>3392</v>
      </c>
      <c r="O465" s="181">
        <v>1386</v>
      </c>
      <c r="P465" s="181">
        <v>1093</v>
      </c>
      <c r="Q465" s="181">
        <v>913</v>
      </c>
    </row>
    <row r="466" spans="7:17" x14ac:dyDescent="0.3">
      <c r="G466" s="2" t="s">
        <v>6</v>
      </c>
      <c r="H466" s="3">
        <v>313</v>
      </c>
      <c r="I466" s="5">
        <v>135</v>
      </c>
      <c r="J466" s="6">
        <v>122</v>
      </c>
      <c r="K466" s="4">
        <v>56</v>
      </c>
      <c r="M466" s="180" t="s">
        <v>6</v>
      </c>
      <c r="N466" s="181">
        <v>337</v>
      </c>
      <c r="O466" s="183">
        <v>177</v>
      </c>
      <c r="P466" s="182">
        <v>64</v>
      </c>
      <c r="Q466" s="184">
        <v>96</v>
      </c>
    </row>
    <row r="467" spans="7:17" x14ac:dyDescent="0.3">
      <c r="G467" s="2" t="s">
        <v>7</v>
      </c>
      <c r="H467" s="3" t="s">
        <v>1676</v>
      </c>
      <c r="I467" s="4" t="s">
        <v>1677</v>
      </c>
      <c r="J467" s="6" t="s">
        <v>1678</v>
      </c>
      <c r="K467" s="5" t="s">
        <v>1679</v>
      </c>
      <c r="M467" s="180" t="s">
        <v>7</v>
      </c>
      <c r="N467" s="181" t="s">
        <v>1601</v>
      </c>
      <c r="O467" s="183" t="s">
        <v>2023</v>
      </c>
      <c r="P467" s="182" t="s">
        <v>817</v>
      </c>
      <c r="Q467" s="184" t="s">
        <v>350</v>
      </c>
    </row>
    <row r="468" spans="7:17" x14ac:dyDescent="0.3">
      <c r="G468" s="2" t="s">
        <v>12</v>
      </c>
      <c r="H468" s="3" t="s">
        <v>1680</v>
      </c>
      <c r="I468" s="6" t="s">
        <v>1681</v>
      </c>
      <c r="J468" s="4" t="s">
        <v>1405</v>
      </c>
      <c r="K468" s="5" t="s">
        <v>24</v>
      </c>
      <c r="M468" s="180" t="s">
        <v>12</v>
      </c>
      <c r="N468" s="181" t="s">
        <v>799</v>
      </c>
      <c r="O468" s="183" t="s">
        <v>163</v>
      </c>
      <c r="P468" s="182" t="s">
        <v>402</v>
      </c>
      <c r="Q468" s="184" t="s">
        <v>215</v>
      </c>
    </row>
    <row r="469" spans="7:17" x14ac:dyDescent="0.3">
      <c r="G469" s="2" t="s">
        <v>17</v>
      </c>
      <c r="H469" s="3" t="s">
        <v>812</v>
      </c>
      <c r="I469" s="4" t="s">
        <v>368</v>
      </c>
      <c r="J469" s="5" t="s">
        <v>799</v>
      </c>
      <c r="K469" s="6" t="s">
        <v>1172</v>
      </c>
      <c r="M469" s="180" t="s">
        <v>17</v>
      </c>
      <c r="N469" s="181" t="s">
        <v>653</v>
      </c>
      <c r="O469" s="182" t="s">
        <v>1203</v>
      </c>
      <c r="P469" s="184" t="s">
        <v>692</v>
      </c>
      <c r="Q469" s="183" t="s">
        <v>436</v>
      </c>
    </row>
    <row r="470" spans="7:17" x14ac:dyDescent="0.3">
      <c r="G470" s="2" t="s">
        <v>22</v>
      </c>
      <c r="H470" s="3" t="s">
        <v>49</v>
      </c>
      <c r="I470" s="3" t="s">
        <v>25</v>
      </c>
      <c r="J470" s="6" t="s">
        <v>75</v>
      </c>
      <c r="K470" s="5" t="s">
        <v>419</v>
      </c>
      <c r="M470" s="180" t="s">
        <v>22</v>
      </c>
      <c r="N470" s="181" t="s">
        <v>84</v>
      </c>
      <c r="O470" s="184" t="s">
        <v>138</v>
      </c>
      <c r="P470" s="183" t="s">
        <v>109</v>
      </c>
      <c r="Q470" s="181" t="s">
        <v>25</v>
      </c>
    </row>
    <row r="471" spans="7:17" x14ac:dyDescent="0.3">
      <c r="G471" s="7" t="s">
        <v>26</v>
      </c>
      <c r="H471" s="8">
        <v>211</v>
      </c>
      <c r="I471" s="8">
        <v>98</v>
      </c>
      <c r="J471" s="8">
        <v>72</v>
      </c>
      <c r="K471" s="8">
        <v>41</v>
      </c>
      <c r="M471" s="185" t="s">
        <v>26</v>
      </c>
      <c r="N471" s="186">
        <v>223</v>
      </c>
      <c r="O471" s="186">
        <v>138</v>
      </c>
      <c r="P471" s="186">
        <v>28</v>
      </c>
      <c r="Q471" s="186">
        <v>57</v>
      </c>
    </row>
    <row r="472" spans="7:17" x14ac:dyDescent="0.3">
      <c r="G472" s="9" t="s">
        <v>27</v>
      </c>
      <c r="H472" s="10">
        <v>126</v>
      </c>
      <c r="I472" s="10">
        <v>61</v>
      </c>
      <c r="J472" s="10">
        <v>50</v>
      </c>
      <c r="K472" s="10">
        <v>15</v>
      </c>
      <c r="M472" s="187" t="s">
        <v>27</v>
      </c>
      <c r="N472" s="188">
        <v>96</v>
      </c>
      <c r="O472" s="188">
        <v>58</v>
      </c>
      <c r="P472" s="188">
        <v>10</v>
      </c>
      <c r="Q472" s="188">
        <v>28</v>
      </c>
    </row>
    <row r="473" spans="7:17" x14ac:dyDescent="0.3">
      <c r="G473" s="9" t="s">
        <v>28</v>
      </c>
      <c r="H473" s="10">
        <v>7</v>
      </c>
      <c r="I473" s="10">
        <v>3</v>
      </c>
      <c r="J473" s="10">
        <v>1</v>
      </c>
      <c r="K473" s="10">
        <v>3</v>
      </c>
      <c r="M473" s="187" t="s">
        <v>28</v>
      </c>
      <c r="N473" s="188">
        <v>19</v>
      </c>
      <c r="O473" s="188">
        <v>8</v>
      </c>
      <c r="P473" s="188">
        <v>6</v>
      </c>
      <c r="Q473" s="188">
        <v>5</v>
      </c>
    </row>
    <row r="474" spans="7:17" x14ac:dyDescent="0.3">
      <c r="G474" s="9" t="s">
        <v>29</v>
      </c>
      <c r="H474" s="10">
        <v>11</v>
      </c>
      <c r="I474" s="10">
        <v>11</v>
      </c>
      <c r="J474" s="10">
        <v>0</v>
      </c>
      <c r="K474" s="10">
        <v>0</v>
      </c>
      <c r="M474" s="187" t="s">
        <v>29</v>
      </c>
      <c r="N474" s="188">
        <v>28</v>
      </c>
      <c r="O474" s="188">
        <v>28</v>
      </c>
      <c r="P474" s="188">
        <v>0</v>
      </c>
      <c r="Q474" s="188">
        <v>0</v>
      </c>
    </row>
    <row r="475" spans="7:17" x14ac:dyDescent="0.3">
      <c r="G475" s="9" t="s">
        <v>30</v>
      </c>
      <c r="H475" s="10">
        <v>67</v>
      </c>
      <c r="I475" s="10">
        <v>23</v>
      </c>
      <c r="J475" s="10">
        <v>21</v>
      </c>
      <c r="K475" s="10">
        <v>23</v>
      </c>
      <c r="M475" s="187" t="s">
        <v>30</v>
      </c>
      <c r="N475" s="188">
        <v>80</v>
      </c>
      <c r="O475" s="188">
        <v>44</v>
      </c>
      <c r="P475" s="188">
        <v>12</v>
      </c>
      <c r="Q475" s="188">
        <v>24</v>
      </c>
    </row>
    <row r="476" spans="7:17" x14ac:dyDescent="0.3">
      <c r="G476" s="9" t="s">
        <v>31</v>
      </c>
      <c r="H476" s="10">
        <v>0</v>
      </c>
      <c r="I476" s="10">
        <v>0</v>
      </c>
      <c r="J476" s="10">
        <v>0</v>
      </c>
      <c r="K476" s="10">
        <v>0</v>
      </c>
      <c r="M476" s="187" t="s">
        <v>31</v>
      </c>
      <c r="N476" s="188">
        <v>0</v>
      </c>
      <c r="O476" s="188">
        <v>0</v>
      </c>
      <c r="P476" s="188">
        <v>0</v>
      </c>
      <c r="Q476" s="188">
        <v>0</v>
      </c>
    </row>
    <row r="477" spans="7:17" x14ac:dyDescent="0.3">
      <c r="G477" s="11" t="s">
        <v>32</v>
      </c>
      <c r="H477" s="12">
        <v>101</v>
      </c>
      <c r="I477" s="12">
        <v>37</v>
      </c>
      <c r="J477" s="12">
        <v>49</v>
      </c>
      <c r="K477" s="12">
        <v>15</v>
      </c>
      <c r="M477" s="189" t="s">
        <v>32</v>
      </c>
      <c r="N477" s="190">
        <v>114</v>
      </c>
      <c r="O477" s="190">
        <v>39</v>
      </c>
      <c r="P477" s="190">
        <v>36</v>
      </c>
      <c r="Q477" s="190">
        <v>39</v>
      </c>
    </row>
    <row r="478" spans="7:17" x14ac:dyDescent="0.3">
      <c r="G478" s="13" t="s">
        <v>33</v>
      </c>
      <c r="H478" s="14">
        <v>0</v>
      </c>
      <c r="I478" s="14">
        <v>0</v>
      </c>
      <c r="J478" s="14">
        <v>0</v>
      </c>
      <c r="K478" s="14">
        <v>0</v>
      </c>
      <c r="M478" s="191" t="s">
        <v>33</v>
      </c>
      <c r="N478" s="192">
        <v>0</v>
      </c>
      <c r="O478" s="192">
        <v>0</v>
      </c>
      <c r="P478" s="192">
        <v>0</v>
      </c>
      <c r="Q478" s="192">
        <v>0</v>
      </c>
    </row>
    <row r="479" spans="7:17" x14ac:dyDescent="0.3">
      <c r="G479" s="13" t="s">
        <v>34</v>
      </c>
      <c r="H479" s="14">
        <v>101</v>
      </c>
      <c r="I479" s="14">
        <v>37</v>
      </c>
      <c r="J479" s="14">
        <v>49</v>
      </c>
      <c r="K479" s="14">
        <v>15</v>
      </c>
      <c r="M479" s="191" t="s">
        <v>34</v>
      </c>
      <c r="N479" s="192">
        <v>114</v>
      </c>
      <c r="O479" s="192">
        <v>39</v>
      </c>
      <c r="P479" s="192">
        <v>36</v>
      </c>
      <c r="Q479" s="192">
        <v>39</v>
      </c>
    </row>
    <row r="480" spans="7:17" x14ac:dyDescent="0.3">
      <c r="G480" s="15" t="s">
        <v>35</v>
      </c>
      <c r="H480" s="16">
        <v>2</v>
      </c>
      <c r="I480" s="16">
        <v>0</v>
      </c>
      <c r="J480" s="16">
        <v>1</v>
      </c>
      <c r="K480" s="16">
        <v>1</v>
      </c>
      <c r="M480" s="193" t="s">
        <v>35</v>
      </c>
      <c r="N480" s="194">
        <v>3</v>
      </c>
      <c r="O480" s="194">
        <v>1</v>
      </c>
      <c r="P480" s="194">
        <v>2</v>
      </c>
      <c r="Q480" s="194">
        <v>0</v>
      </c>
    </row>
    <row r="481" spans="7:17" x14ac:dyDescent="0.3">
      <c r="G481" s="17" t="s">
        <v>36</v>
      </c>
      <c r="H481" s="109">
        <v>1</v>
      </c>
      <c r="I481" s="109">
        <v>0</v>
      </c>
      <c r="J481" s="109">
        <v>0</v>
      </c>
      <c r="K481" s="109">
        <v>1</v>
      </c>
      <c r="M481" s="195" t="s">
        <v>36</v>
      </c>
      <c r="N481" s="196">
        <v>1</v>
      </c>
      <c r="O481" s="196">
        <v>1</v>
      </c>
      <c r="P481" s="196">
        <v>0</v>
      </c>
      <c r="Q481" s="196">
        <v>0</v>
      </c>
    </row>
    <row r="482" spans="7:17" x14ac:dyDescent="0.3">
      <c r="G482" s="17" t="s">
        <v>37</v>
      </c>
      <c r="H482" s="109">
        <v>2</v>
      </c>
      <c r="I482" s="109">
        <v>0</v>
      </c>
      <c r="J482" s="109">
        <v>1</v>
      </c>
      <c r="K482" s="109">
        <v>1</v>
      </c>
      <c r="M482" s="195" t="s">
        <v>37</v>
      </c>
      <c r="N482" s="196">
        <v>3</v>
      </c>
      <c r="O482" s="196">
        <v>1</v>
      </c>
      <c r="P482" s="196">
        <v>2</v>
      </c>
      <c r="Q482" s="196">
        <v>0</v>
      </c>
    </row>
    <row r="483" spans="7:17" x14ac:dyDescent="0.3">
      <c r="G483" s="17" t="s">
        <v>38</v>
      </c>
      <c r="H483" s="167" t="s">
        <v>339</v>
      </c>
      <c r="I483" s="168"/>
      <c r="J483" s="168"/>
      <c r="K483" s="168"/>
      <c r="M483" s="195" t="s">
        <v>38</v>
      </c>
      <c r="N483" s="167" t="s">
        <v>339</v>
      </c>
      <c r="O483" s="168"/>
      <c r="P483" s="168"/>
      <c r="Q483" s="168"/>
    </row>
    <row r="484" spans="7:17" ht="19.8" x14ac:dyDescent="0.3">
      <c r="G484" s="170">
        <v>46140</v>
      </c>
      <c r="H484" s="168"/>
      <c r="I484" s="168"/>
      <c r="J484" s="168"/>
      <c r="K484" s="168"/>
    </row>
    <row r="485" spans="7:17" x14ac:dyDescent="0.3">
      <c r="G485" s="1" t="s">
        <v>0</v>
      </c>
      <c r="H485" s="1" t="s">
        <v>1</v>
      </c>
      <c r="I485" s="1" t="s">
        <v>2</v>
      </c>
      <c r="J485" s="1" t="s">
        <v>3</v>
      </c>
      <c r="K485" s="1" t="s">
        <v>40</v>
      </c>
    </row>
    <row r="486" spans="7:17" x14ac:dyDescent="0.3">
      <c r="G486" s="2" t="s">
        <v>5</v>
      </c>
      <c r="H486" s="3">
        <v>3108</v>
      </c>
      <c r="I486" s="3">
        <v>479</v>
      </c>
      <c r="J486" s="3">
        <v>1246</v>
      </c>
      <c r="K486" s="3">
        <v>1383</v>
      </c>
    </row>
    <row r="487" spans="7:17" x14ac:dyDescent="0.3">
      <c r="G487" s="2" t="s">
        <v>6</v>
      </c>
      <c r="H487" s="3">
        <v>530</v>
      </c>
      <c r="I487" s="4">
        <v>96</v>
      </c>
      <c r="J487" s="6">
        <v>211</v>
      </c>
      <c r="K487" s="5">
        <v>223</v>
      </c>
    </row>
    <row r="488" spans="7:17" x14ac:dyDescent="0.3">
      <c r="G488" s="2" t="s">
        <v>7</v>
      </c>
      <c r="H488" s="3" t="s">
        <v>1698</v>
      </c>
      <c r="I488" s="5" t="s">
        <v>1699</v>
      </c>
      <c r="J488" s="6" t="s">
        <v>1700</v>
      </c>
      <c r="K488" s="4" t="s">
        <v>1694</v>
      </c>
    </row>
    <row r="489" spans="7:17" x14ac:dyDescent="0.3">
      <c r="G489" s="2" t="s">
        <v>12</v>
      </c>
      <c r="H489" s="3" t="s">
        <v>610</v>
      </c>
      <c r="I489" s="5" t="s">
        <v>845</v>
      </c>
      <c r="J489" s="6" t="s">
        <v>312</v>
      </c>
      <c r="K489" s="4" t="s">
        <v>1439</v>
      </c>
    </row>
    <row r="490" spans="7:17" x14ac:dyDescent="0.3">
      <c r="G490" s="2" t="s">
        <v>17</v>
      </c>
      <c r="H490" s="3" t="s">
        <v>721</v>
      </c>
      <c r="I490" s="5" t="s">
        <v>845</v>
      </c>
      <c r="J490" s="6" t="s">
        <v>893</v>
      </c>
      <c r="K490" s="4" t="s">
        <v>92</v>
      </c>
    </row>
    <row r="491" spans="7:17" x14ac:dyDescent="0.3">
      <c r="G491" s="2" t="s">
        <v>22</v>
      </c>
      <c r="H491" s="3" t="s">
        <v>81</v>
      </c>
      <c r="I491" s="5" t="s">
        <v>77</v>
      </c>
      <c r="J491" s="6" t="s">
        <v>309</v>
      </c>
      <c r="K491" s="4" t="s">
        <v>138</v>
      </c>
    </row>
    <row r="492" spans="7:17" x14ac:dyDescent="0.3">
      <c r="G492" s="7" t="s">
        <v>26</v>
      </c>
      <c r="H492" s="8">
        <v>279</v>
      </c>
      <c r="I492" s="8">
        <v>48</v>
      </c>
      <c r="J492" s="8">
        <v>110</v>
      </c>
      <c r="K492" s="8">
        <v>121</v>
      </c>
    </row>
    <row r="493" spans="7:17" x14ac:dyDescent="0.3">
      <c r="G493" s="9" t="s">
        <v>27</v>
      </c>
      <c r="H493" s="10">
        <v>173</v>
      </c>
      <c r="I493" s="10">
        <v>29</v>
      </c>
      <c r="J493" s="10">
        <v>84</v>
      </c>
      <c r="K493" s="10">
        <v>60</v>
      </c>
    </row>
    <row r="494" spans="7:17" x14ac:dyDescent="0.3">
      <c r="G494" s="9" t="s">
        <v>28</v>
      </c>
      <c r="H494" s="10">
        <v>11</v>
      </c>
      <c r="I494" s="10">
        <v>0</v>
      </c>
      <c r="J494" s="10">
        <v>3</v>
      </c>
      <c r="K494" s="10">
        <v>8</v>
      </c>
    </row>
    <row r="495" spans="7:17" x14ac:dyDescent="0.3">
      <c r="G495" s="9" t="s">
        <v>29</v>
      </c>
      <c r="H495" s="10">
        <v>7</v>
      </c>
      <c r="I495" s="10">
        <v>7</v>
      </c>
      <c r="J495" s="10">
        <v>0</v>
      </c>
      <c r="K495" s="10">
        <v>0</v>
      </c>
    </row>
    <row r="496" spans="7:17" x14ac:dyDescent="0.3">
      <c r="G496" s="9" t="s">
        <v>30</v>
      </c>
      <c r="H496" s="10">
        <v>88</v>
      </c>
      <c r="I496" s="10">
        <v>12</v>
      </c>
      <c r="J496" s="10">
        <v>23</v>
      </c>
      <c r="K496" s="10">
        <v>53</v>
      </c>
    </row>
    <row r="497" spans="7:11" x14ac:dyDescent="0.3">
      <c r="G497" s="9" t="s">
        <v>31</v>
      </c>
      <c r="H497" s="10">
        <v>0</v>
      </c>
      <c r="I497" s="10">
        <v>0</v>
      </c>
      <c r="J497" s="10">
        <v>0</v>
      </c>
      <c r="K497" s="10">
        <v>0</v>
      </c>
    </row>
    <row r="498" spans="7:11" x14ac:dyDescent="0.3">
      <c r="G498" s="11" t="s">
        <v>32</v>
      </c>
      <c r="H498" s="12">
        <v>250</v>
      </c>
      <c r="I498" s="12">
        <v>48</v>
      </c>
      <c r="J498" s="12">
        <v>101</v>
      </c>
      <c r="K498" s="12">
        <v>101</v>
      </c>
    </row>
    <row r="499" spans="7:11" x14ac:dyDescent="0.3">
      <c r="G499" s="13" t="s">
        <v>33</v>
      </c>
      <c r="H499" s="14">
        <v>0</v>
      </c>
      <c r="I499" s="14">
        <v>0</v>
      </c>
      <c r="J499" s="14">
        <v>0</v>
      </c>
      <c r="K499" s="14">
        <v>0</v>
      </c>
    </row>
    <row r="500" spans="7:11" x14ac:dyDescent="0.3">
      <c r="G500" s="13" t="s">
        <v>34</v>
      </c>
      <c r="H500" s="14">
        <v>250</v>
      </c>
      <c r="I500" s="14">
        <v>48</v>
      </c>
      <c r="J500" s="14">
        <v>101</v>
      </c>
      <c r="K500" s="14">
        <v>101</v>
      </c>
    </row>
    <row r="501" spans="7:11" x14ac:dyDescent="0.3">
      <c r="G501" s="15" t="s">
        <v>35</v>
      </c>
      <c r="H501" s="16">
        <v>3</v>
      </c>
      <c r="I501" s="16">
        <v>1</v>
      </c>
      <c r="J501" s="16">
        <v>1</v>
      </c>
      <c r="K501" s="16">
        <v>1</v>
      </c>
    </row>
    <row r="502" spans="7:11" x14ac:dyDescent="0.3">
      <c r="G502" s="17" t="s">
        <v>36</v>
      </c>
      <c r="H502" s="109">
        <v>2</v>
      </c>
      <c r="I502" s="109">
        <v>1</v>
      </c>
      <c r="J502" s="109">
        <v>0</v>
      </c>
      <c r="K502" s="109">
        <v>1</v>
      </c>
    </row>
    <row r="503" spans="7:11" x14ac:dyDescent="0.3">
      <c r="G503" s="17" t="s">
        <v>37</v>
      </c>
      <c r="H503" s="109">
        <v>3</v>
      </c>
      <c r="I503" s="109">
        <v>1</v>
      </c>
      <c r="J503" s="109">
        <v>1</v>
      </c>
      <c r="K503" s="109">
        <v>1</v>
      </c>
    </row>
    <row r="504" spans="7:11" x14ac:dyDescent="0.3">
      <c r="G504" s="17" t="s">
        <v>38</v>
      </c>
      <c r="H504" s="167" t="s">
        <v>339</v>
      </c>
      <c r="I504" s="168"/>
      <c r="J504" s="168"/>
      <c r="K504" s="168"/>
    </row>
    <row r="505" spans="7:11" ht="19.8" x14ac:dyDescent="0.3">
      <c r="G505" s="170">
        <v>46141</v>
      </c>
      <c r="H505" s="168"/>
      <c r="I505" s="168"/>
      <c r="J505" s="168"/>
      <c r="K505" s="168"/>
    </row>
    <row r="506" spans="7:11" x14ac:dyDescent="0.3">
      <c r="G506" s="1" t="s">
        <v>0</v>
      </c>
      <c r="H506" s="1" t="s">
        <v>1</v>
      </c>
      <c r="I506" s="1" t="s">
        <v>2</v>
      </c>
      <c r="J506" s="1" t="s">
        <v>3</v>
      </c>
      <c r="K506" s="1" t="s">
        <v>40</v>
      </c>
    </row>
    <row r="507" spans="7:11" x14ac:dyDescent="0.3">
      <c r="G507" s="2" t="s">
        <v>5</v>
      </c>
      <c r="H507" s="3">
        <v>3817</v>
      </c>
      <c r="I507" s="3">
        <v>1</v>
      </c>
      <c r="J507" s="3">
        <v>1617</v>
      </c>
      <c r="K507" s="3">
        <v>2199</v>
      </c>
    </row>
    <row r="508" spans="7:11" x14ac:dyDescent="0.3">
      <c r="G508" s="2" t="s">
        <v>6</v>
      </c>
      <c r="H508" s="3">
        <v>703</v>
      </c>
      <c r="I508" s="3">
        <v>0</v>
      </c>
      <c r="J508" s="6">
        <v>274</v>
      </c>
      <c r="K508" s="5">
        <v>429</v>
      </c>
    </row>
    <row r="509" spans="7:11" x14ac:dyDescent="0.3">
      <c r="G509" s="2" t="s">
        <v>7</v>
      </c>
      <c r="H509" s="3" t="s">
        <v>1161</v>
      </c>
      <c r="I509" s="3" t="s">
        <v>25</v>
      </c>
      <c r="J509" s="6" t="s">
        <v>1744</v>
      </c>
      <c r="K509" s="5" t="s">
        <v>1745</v>
      </c>
    </row>
    <row r="510" spans="7:11" x14ac:dyDescent="0.3">
      <c r="G510" s="2" t="s">
        <v>12</v>
      </c>
      <c r="H510" s="3" t="s">
        <v>1521</v>
      </c>
      <c r="I510" s="3" t="s">
        <v>25</v>
      </c>
      <c r="J510" s="6" t="s">
        <v>348</v>
      </c>
      <c r="K510" s="5" t="s">
        <v>1746</v>
      </c>
    </row>
    <row r="511" spans="7:11" x14ac:dyDescent="0.3">
      <c r="G511" s="2" t="s">
        <v>17</v>
      </c>
      <c r="H511" s="3" t="s">
        <v>854</v>
      </c>
      <c r="I511" s="3" t="s">
        <v>25</v>
      </c>
      <c r="J511" s="5" t="s">
        <v>1290</v>
      </c>
      <c r="K511" s="6" t="s">
        <v>322</v>
      </c>
    </row>
    <row r="512" spans="7:11" x14ac:dyDescent="0.3">
      <c r="G512" s="2" t="s">
        <v>22</v>
      </c>
      <c r="H512" s="3" t="s">
        <v>158</v>
      </c>
      <c r="I512" s="3" t="s">
        <v>25</v>
      </c>
      <c r="J512" s="5" t="s">
        <v>268</v>
      </c>
      <c r="K512" s="6" t="s">
        <v>158</v>
      </c>
    </row>
    <row r="513" spans="7:11" x14ac:dyDescent="0.3">
      <c r="G513" s="7" t="s">
        <v>26</v>
      </c>
      <c r="H513" s="8">
        <v>419</v>
      </c>
      <c r="I513" s="8">
        <v>0</v>
      </c>
      <c r="J513" s="8">
        <v>142</v>
      </c>
      <c r="K513" s="8">
        <v>277</v>
      </c>
    </row>
    <row r="514" spans="7:11" x14ac:dyDescent="0.3">
      <c r="G514" s="9" t="s">
        <v>27</v>
      </c>
      <c r="H514" s="10">
        <v>229</v>
      </c>
      <c r="I514" s="10">
        <v>0</v>
      </c>
      <c r="J514" s="10">
        <v>91</v>
      </c>
      <c r="K514" s="10">
        <v>138</v>
      </c>
    </row>
    <row r="515" spans="7:11" x14ac:dyDescent="0.3">
      <c r="G515" s="9" t="s">
        <v>28</v>
      </c>
      <c r="H515" s="10">
        <v>14</v>
      </c>
      <c r="I515" s="10">
        <v>0</v>
      </c>
      <c r="J515" s="10">
        <v>1</v>
      </c>
      <c r="K515" s="10">
        <v>13</v>
      </c>
    </row>
    <row r="516" spans="7:11" x14ac:dyDescent="0.3">
      <c r="G516" s="9" t="s">
        <v>29</v>
      </c>
      <c r="H516" s="10">
        <v>0</v>
      </c>
      <c r="I516" s="10">
        <v>0</v>
      </c>
      <c r="J516" s="10">
        <v>0</v>
      </c>
      <c r="K516" s="10">
        <v>0</v>
      </c>
    </row>
    <row r="517" spans="7:11" x14ac:dyDescent="0.3">
      <c r="G517" s="9" t="s">
        <v>30</v>
      </c>
      <c r="H517" s="10">
        <v>176</v>
      </c>
      <c r="I517" s="10">
        <v>0</v>
      </c>
      <c r="J517" s="10">
        <v>50</v>
      </c>
      <c r="K517" s="10">
        <v>126</v>
      </c>
    </row>
    <row r="518" spans="7:11" x14ac:dyDescent="0.3">
      <c r="G518" s="9" t="s">
        <v>31</v>
      </c>
      <c r="H518" s="10">
        <v>0</v>
      </c>
      <c r="I518" s="10">
        <v>0</v>
      </c>
      <c r="J518" s="10">
        <v>0</v>
      </c>
      <c r="K518" s="10">
        <v>0</v>
      </c>
    </row>
    <row r="519" spans="7:11" x14ac:dyDescent="0.3">
      <c r="G519" s="11" t="s">
        <v>32</v>
      </c>
      <c r="H519" s="12">
        <v>284</v>
      </c>
      <c r="I519" s="12">
        <v>0</v>
      </c>
      <c r="J519" s="12">
        <v>132</v>
      </c>
      <c r="K519" s="12">
        <v>152</v>
      </c>
    </row>
    <row r="520" spans="7:11" x14ac:dyDescent="0.3">
      <c r="G520" s="13" t="s">
        <v>33</v>
      </c>
      <c r="H520" s="14">
        <v>0</v>
      </c>
      <c r="I520" s="14">
        <v>0</v>
      </c>
      <c r="J520" s="14">
        <v>0</v>
      </c>
      <c r="K520" s="14">
        <v>0</v>
      </c>
    </row>
    <row r="521" spans="7:11" x14ac:dyDescent="0.3">
      <c r="G521" s="13" t="s">
        <v>34</v>
      </c>
      <c r="H521" s="14">
        <v>284</v>
      </c>
      <c r="I521" s="14">
        <v>0</v>
      </c>
      <c r="J521" s="14">
        <v>132</v>
      </c>
      <c r="K521" s="14">
        <v>152</v>
      </c>
    </row>
    <row r="522" spans="7:11" x14ac:dyDescent="0.3">
      <c r="G522" s="15" t="s">
        <v>35</v>
      </c>
      <c r="H522" s="16">
        <v>2</v>
      </c>
      <c r="I522" s="16">
        <v>0</v>
      </c>
      <c r="J522" s="16">
        <v>1</v>
      </c>
      <c r="K522" s="16">
        <v>1</v>
      </c>
    </row>
    <row r="523" spans="7:11" x14ac:dyDescent="0.3">
      <c r="G523" s="17" t="s">
        <v>36</v>
      </c>
      <c r="H523" s="109">
        <v>1</v>
      </c>
      <c r="I523" s="109">
        <v>0</v>
      </c>
      <c r="J523" s="109">
        <v>0</v>
      </c>
      <c r="K523" s="109">
        <v>1</v>
      </c>
    </row>
    <row r="524" spans="7:11" x14ac:dyDescent="0.3">
      <c r="G524" s="17" t="s">
        <v>37</v>
      </c>
      <c r="H524" s="109">
        <v>2</v>
      </c>
      <c r="I524" s="109">
        <v>0</v>
      </c>
      <c r="J524" s="109">
        <v>1</v>
      </c>
      <c r="K524" s="109">
        <v>1</v>
      </c>
    </row>
    <row r="525" spans="7:11" x14ac:dyDescent="0.3">
      <c r="G525" s="17" t="s">
        <v>38</v>
      </c>
      <c r="H525" s="167" t="s">
        <v>339</v>
      </c>
      <c r="I525" s="168"/>
      <c r="J525" s="168"/>
      <c r="K525" s="168"/>
    </row>
    <row r="526" spans="7:11" ht="19.8" x14ac:dyDescent="0.3">
      <c r="G526" s="170">
        <v>46142</v>
      </c>
      <c r="H526" s="168"/>
      <c r="I526" s="168"/>
      <c r="J526" s="168"/>
      <c r="K526" s="168"/>
    </row>
    <row r="527" spans="7:11" x14ac:dyDescent="0.3">
      <c r="G527" s="1" t="s">
        <v>0</v>
      </c>
      <c r="H527" s="1" t="s">
        <v>1</v>
      </c>
      <c r="I527" s="1" t="s">
        <v>2</v>
      </c>
      <c r="J527" s="1" t="s">
        <v>3</v>
      </c>
      <c r="K527" s="1" t="s">
        <v>40</v>
      </c>
    </row>
    <row r="528" spans="7:11" x14ac:dyDescent="0.3">
      <c r="G528" s="2" t="s">
        <v>5</v>
      </c>
      <c r="H528" s="3">
        <v>4111</v>
      </c>
      <c r="I528" s="3">
        <v>1285</v>
      </c>
      <c r="J528" s="3">
        <v>1401</v>
      </c>
      <c r="K528" s="3">
        <v>1425</v>
      </c>
    </row>
    <row r="529" spans="7:11" x14ac:dyDescent="0.3">
      <c r="G529" s="2" t="s">
        <v>6</v>
      </c>
      <c r="H529" s="3">
        <v>479</v>
      </c>
      <c r="I529" s="6">
        <v>146</v>
      </c>
      <c r="J529" s="4">
        <v>134</v>
      </c>
      <c r="K529" s="5">
        <v>199</v>
      </c>
    </row>
    <row r="530" spans="7:11" x14ac:dyDescent="0.3">
      <c r="G530" s="2" t="s">
        <v>7</v>
      </c>
      <c r="H530" s="3" t="s">
        <v>1759</v>
      </c>
      <c r="I530" s="6" t="s">
        <v>1760</v>
      </c>
      <c r="J530" s="4" t="s">
        <v>1716</v>
      </c>
      <c r="K530" s="5" t="s">
        <v>787</v>
      </c>
    </row>
    <row r="531" spans="7:11" x14ac:dyDescent="0.3">
      <c r="G531" s="2" t="s">
        <v>12</v>
      </c>
      <c r="H531" s="3" t="s">
        <v>133</v>
      </c>
      <c r="I531" s="6" t="s">
        <v>1244</v>
      </c>
      <c r="J531" s="4" t="s">
        <v>892</v>
      </c>
      <c r="K531" s="5" t="s">
        <v>700</v>
      </c>
    </row>
    <row r="532" spans="7:11" x14ac:dyDescent="0.3">
      <c r="G532" s="2" t="s">
        <v>17</v>
      </c>
      <c r="H532" s="3" t="s">
        <v>1500</v>
      </c>
      <c r="I532" s="4" t="s">
        <v>695</v>
      </c>
      <c r="J532" s="6" t="s">
        <v>1474</v>
      </c>
      <c r="K532" s="5" t="s">
        <v>927</v>
      </c>
    </row>
    <row r="533" spans="7:11" x14ac:dyDescent="0.3">
      <c r="G533" s="2" t="s">
        <v>22</v>
      </c>
      <c r="H533" s="3" t="s">
        <v>146</v>
      </c>
      <c r="I533" s="6" t="s">
        <v>154</v>
      </c>
      <c r="J533" s="5" t="s">
        <v>62</v>
      </c>
      <c r="K533" s="4" t="s">
        <v>138</v>
      </c>
    </row>
    <row r="534" spans="7:11" x14ac:dyDescent="0.3">
      <c r="G534" s="7" t="s">
        <v>26</v>
      </c>
      <c r="H534" s="8">
        <v>342</v>
      </c>
      <c r="I534" s="8">
        <v>108</v>
      </c>
      <c r="J534" s="8">
        <v>91</v>
      </c>
      <c r="K534" s="8">
        <v>143</v>
      </c>
    </row>
    <row r="535" spans="7:11" x14ac:dyDescent="0.3">
      <c r="G535" s="9" t="s">
        <v>27</v>
      </c>
      <c r="H535" s="10">
        <v>201</v>
      </c>
      <c r="I535" s="10">
        <v>58</v>
      </c>
      <c r="J535" s="10">
        <v>65</v>
      </c>
      <c r="K535" s="10">
        <v>78</v>
      </c>
    </row>
    <row r="536" spans="7:11" x14ac:dyDescent="0.3">
      <c r="G536" s="9" t="s">
        <v>28</v>
      </c>
      <c r="H536" s="10">
        <v>6</v>
      </c>
      <c r="I536" s="10">
        <v>0</v>
      </c>
      <c r="J536" s="10">
        <v>0</v>
      </c>
      <c r="K536" s="10">
        <v>6</v>
      </c>
    </row>
    <row r="537" spans="7:11" x14ac:dyDescent="0.3">
      <c r="G537" s="9" t="s">
        <v>29</v>
      </c>
      <c r="H537" s="10">
        <v>25</v>
      </c>
      <c r="I537" s="10">
        <v>25</v>
      </c>
      <c r="J537" s="10">
        <v>0</v>
      </c>
      <c r="K537" s="10">
        <v>0</v>
      </c>
    </row>
    <row r="538" spans="7:11" x14ac:dyDescent="0.3">
      <c r="G538" s="9" t="s">
        <v>30</v>
      </c>
      <c r="H538" s="10">
        <v>110</v>
      </c>
      <c r="I538" s="10">
        <v>25</v>
      </c>
      <c r="J538" s="10">
        <v>26</v>
      </c>
      <c r="K538" s="10">
        <v>59</v>
      </c>
    </row>
    <row r="539" spans="7:11" x14ac:dyDescent="0.3">
      <c r="G539" s="9" t="s">
        <v>31</v>
      </c>
      <c r="H539" s="10">
        <v>0</v>
      </c>
      <c r="I539" s="10">
        <v>0</v>
      </c>
      <c r="J539" s="10">
        <v>0</v>
      </c>
      <c r="K539" s="10">
        <v>0</v>
      </c>
    </row>
    <row r="540" spans="7:11" x14ac:dyDescent="0.3">
      <c r="G540" s="11" t="s">
        <v>32</v>
      </c>
      <c r="H540" s="12">
        <v>137</v>
      </c>
      <c r="I540" s="12">
        <v>38</v>
      </c>
      <c r="J540" s="12">
        <v>43</v>
      </c>
      <c r="K540" s="12">
        <v>56</v>
      </c>
    </row>
    <row r="541" spans="7:11" x14ac:dyDescent="0.3">
      <c r="G541" s="13" t="s">
        <v>33</v>
      </c>
      <c r="H541" s="14">
        <v>1</v>
      </c>
      <c r="I541" s="14">
        <v>1</v>
      </c>
      <c r="J541" s="14">
        <v>0</v>
      </c>
      <c r="K541" s="14">
        <v>0</v>
      </c>
    </row>
    <row r="542" spans="7:11" x14ac:dyDescent="0.3">
      <c r="G542" s="13" t="s">
        <v>34</v>
      </c>
      <c r="H542" s="14">
        <v>136</v>
      </c>
      <c r="I542" s="14">
        <v>37</v>
      </c>
      <c r="J542" s="14">
        <v>43</v>
      </c>
      <c r="K542" s="14">
        <v>56</v>
      </c>
    </row>
    <row r="543" spans="7:11" x14ac:dyDescent="0.3">
      <c r="G543" s="15" t="s">
        <v>35</v>
      </c>
      <c r="H543" s="16">
        <v>13</v>
      </c>
      <c r="I543" s="16">
        <v>2</v>
      </c>
      <c r="J543" s="16">
        <v>10</v>
      </c>
      <c r="K543" s="16">
        <v>1</v>
      </c>
    </row>
    <row r="544" spans="7:11" x14ac:dyDescent="0.3">
      <c r="G544" s="17" t="s">
        <v>36</v>
      </c>
      <c r="H544" s="112">
        <v>3</v>
      </c>
      <c r="I544" s="112">
        <v>0</v>
      </c>
      <c r="J544" s="112">
        <v>2</v>
      </c>
      <c r="K544" s="112">
        <v>1</v>
      </c>
    </row>
    <row r="545" spans="7:11" x14ac:dyDescent="0.3">
      <c r="G545" s="17" t="s">
        <v>37</v>
      </c>
      <c r="H545" s="112">
        <v>12</v>
      </c>
      <c r="I545" s="112">
        <v>2</v>
      </c>
      <c r="J545" s="112">
        <v>9</v>
      </c>
      <c r="K545" s="112">
        <v>1</v>
      </c>
    </row>
    <row r="546" spans="7:11" x14ac:dyDescent="0.3">
      <c r="G546" s="17" t="s">
        <v>38</v>
      </c>
      <c r="H546" s="167" t="s">
        <v>339</v>
      </c>
      <c r="I546" s="168"/>
      <c r="J546" s="168"/>
      <c r="K546" s="168"/>
    </row>
  </sheetData>
  <mergeCells count="139">
    <mergeCell ref="N441:Q441"/>
    <mergeCell ref="M442:Q442"/>
    <mergeCell ref="N462:Q462"/>
    <mergeCell ref="M463:Q463"/>
    <mergeCell ref="N483:Q483"/>
    <mergeCell ref="N357:Q357"/>
    <mergeCell ref="M337:Q337"/>
    <mergeCell ref="M358:Q358"/>
    <mergeCell ref="N378:Q378"/>
    <mergeCell ref="M379:Q379"/>
    <mergeCell ref="N399:Q399"/>
    <mergeCell ref="M400:Q400"/>
    <mergeCell ref="N420:Q420"/>
    <mergeCell ref="M421:Q421"/>
    <mergeCell ref="M169:Q169"/>
    <mergeCell ref="N189:Q189"/>
    <mergeCell ref="M190:Q190"/>
    <mergeCell ref="N210:Q210"/>
    <mergeCell ref="M148:Q148"/>
    <mergeCell ref="G526:K526"/>
    <mergeCell ref="H546:K546"/>
    <mergeCell ref="M1:Q1"/>
    <mergeCell ref="N21:Q21"/>
    <mergeCell ref="M22:Q22"/>
    <mergeCell ref="N42:Q42"/>
    <mergeCell ref="M43:Q43"/>
    <mergeCell ref="N63:Q63"/>
    <mergeCell ref="M64:Q64"/>
    <mergeCell ref="N84:Q84"/>
    <mergeCell ref="M85:Q85"/>
    <mergeCell ref="N105:Q105"/>
    <mergeCell ref="M106:Q106"/>
    <mergeCell ref="N126:Q126"/>
    <mergeCell ref="M127:Q127"/>
    <mergeCell ref="N147:Q147"/>
    <mergeCell ref="G232:K232"/>
    <mergeCell ref="H252:K252"/>
    <mergeCell ref="G253:K253"/>
    <mergeCell ref="H273:K273"/>
    <mergeCell ref="G358:K358"/>
    <mergeCell ref="G274:K274"/>
    <mergeCell ref="H294:K294"/>
    <mergeCell ref="H357:K357"/>
    <mergeCell ref="G295:K295"/>
    <mergeCell ref="H315:K315"/>
    <mergeCell ref="G316:K316"/>
    <mergeCell ref="H189:K189"/>
    <mergeCell ref="G190:K190"/>
    <mergeCell ref="H210:K210"/>
    <mergeCell ref="G211:K211"/>
    <mergeCell ref="H231:K231"/>
    <mergeCell ref="H336:K336"/>
    <mergeCell ref="G337:K337"/>
    <mergeCell ref="G22:K22"/>
    <mergeCell ref="H42:K42"/>
    <mergeCell ref="H21:K21"/>
    <mergeCell ref="G1:K1"/>
    <mergeCell ref="G169:K169"/>
    <mergeCell ref="G148:K148"/>
    <mergeCell ref="H168:K168"/>
    <mergeCell ref="G64:K64"/>
    <mergeCell ref="H84:K84"/>
    <mergeCell ref="G43:K43"/>
    <mergeCell ref="H63:K63"/>
    <mergeCell ref="H105:K105"/>
    <mergeCell ref="G106:K106"/>
    <mergeCell ref="H126:K126"/>
    <mergeCell ref="G127:K127"/>
    <mergeCell ref="H147:K147"/>
    <mergeCell ref="G85:K85"/>
    <mergeCell ref="A106:E106"/>
    <mergeCell ref="B126:E126"/>
    <mergeCell ref="A127:E127"/>
    <mergeCell ref="A337:E337"/>
    <mergeCell ref="B357:E357"/>
    <mergeCell ref="B147:E147"/>
    <mergeCell ref="A148:E148"/>
    <mergeCell ref="B168:E168"/>
    <mergeCell ref="A169:E169"/>
    <mergeCell ref="B252:E252"/>
    <mergeCell ref="A253:E253"/>
    <mergeCell ref="B273:E273"/>
    <mergeCell ref="A211:E211"/>
    <mergeCell ref="B231:E231"/>
    <mergeCell ref="A232:E232"/>
    <mergeCell ref="A400:E400"/>
    <mergeCell ref="B420:E420"/>
    <mergeCell ref="A358:E358"/>
    <mergeCell ref="B378:E378"/>
    <mergeCell ref="A379:E379"/>
    <mergeCell ref="B399:E399"/>
    <mergeCell ref="G379:K379"/>
    <mergeCell ref="H399:K399"/>
    <mergeCell ref="G505:K505"/>
    <mergeCell ref="A1:E1"/>
    <mergeCell ref="B21:E21"/>
    <mergeCell ref="A22:E22"/>
    <mergeCell ref="B42:E42"/>
    <mergeCell ref="A43:E43"/>
    <mergeCell ref="A421:E421"/>
    <mergeCell ref="B441:E441"/>
    <mergeCell ref="A274:E274"/>
    <mergeCell ref="B294:E294"/>
    <mergeCell ref="A295:E295"/>
    <mergeCell ref="B315:E315"/>
    <mergeCell ref="B63:E63"/>
    <mergeCell ref="A316:E316"/>
    <mergeCell ref="B336:E336"/>
    <mergeCell ref="B189:E189"/>
    <mergeCell ref="A64:E64"/>
    <mergeCell ref="B84:E84"/>
    <mergeCell ref="A85:E85"/>
    <mergeCell ref="B105:E105"/>
    <mergeCell ref="A190:E190"/>
    <mergeCell ref="B210:E210"/>
    <mergeCell ref="H525:K525"/>
    <mergeCell ref="H462:K462"/>
    <mergeCell ref="G463:K463"/>
    <mergeCell ref="H483:K483"/>
    <mergeCell ref="G484:K484"/>
    <mergeCell ref="H504:K504"/>
    <mergeCell ref="M211:Q211"/>
    <mergeCell ref="N231:Q231"/>
    <mergeCell ref="M232:Q232"/>
    <mergeCell ref="N252:Q252"/>
    <mergeCell ref="M253:Q253"/>
    <mergeCell ref="N273:Q273"/>
    <mergeCell ref="M274:Q274"/>
    <mergeCell ref="N294:Q294"/>
    <mergeCell ref="M295:Q295"/>
    <mergeCell ref="N315:Q315"/>
    <mergeCell ref="M316:Q316"/>
    <mergeCell ref="N336:Q336"/>
    <mergeCell ref="G421:K421"/>
    <mergeCell ref="H441:K441"/>
    <mergeCell ref="G442:K442"/>
    <mergeCell ref="G400:K400"/>
    <mergeCell ref="H420:K420"/>
    <mergeCell ref="H378:K37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EF52-7E38-498D-AD19-5DD399463E75}">
  <dimension ref="A1:T546"/>
  <sheetViews>
    <sheetView topLeftCell="A448" workbookViewId="0">
      <selection activeCell="O464" sqref="O464"/>
    </sheetView>
  </sheetViews>
  <sheetFormatPr defaultRowHeight="15" x14ac:dyDescent="0.3"/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4"/>
      <c r="J1" s="174"/>
      <c r="K1" s="174"/>
      <c r="L1" s="174"/>
      <c r="M1" s="174"/>
      <c r="O1" s="170">
        <v>46143</v>
      </c>
      <c r="P1" s="168"/>
      <c r="Q1" s="168"/>
      <c r="R1" s="168"/>
      <c r="S1" s="168"/>
      <c r="T1" s="168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F2" s="1" t="s">
        <v>871</v>
      </c>
      <c r="H2" s="1" t="s">
        <v>0</v>
      </c>
      <c r="I2" s="1" t="s">
        <v>1</v>
      </c>
      <c r="J2" s="1" t="s">
        <v>2</v>
      </c>
      <c r="K2" s="1" t="s">
        <v>760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1120</v>
      </c>
      <c r="C3" s="3">
        <v>1120</v>
      </c>
      <c r="D3" s="3">
        <v>0</v>
      </c>
      <c r="E3" s="3">
        <v>0</v>
      </c>
      <c r="F3" s="3">
        <v>0</v>
      </c>
      <c r="H3" s="2" t="s">
        <v>5</v>
      </c>
      <c r="I3" s="3">
        <f>J3+K3+L3+M3</f>
        <v>4910</v>
      </c>
      <c r="J3" s="3">
        <v>1548</v>
      </c>
      <c r="K3" s="3">
        <v>1393</v>
      </c>
      <c r="L3" s="3">
        <v>952</v>
      </c>
      <c r="M3" s="3">
        <v>1017</v>
      </c>
      <c r="O3" s="2" t="s">
        <v>5</v>
      </c>
      <c r="P3" s="3">
        <v>5026</v>
      </c>
      <c r="Q3" s="3">
        <v>2073</v>
      </c>
      <c r="R3" s="3">
        <v>1613</v>
      </c>
      <c r="S3" s="3">
        <v>1099</v>
      </c>
      <c r="T3" s="3">
        <v>241</v>
      </c>
    </row>
    <row r="4" spans="1:20" x14ac:dyDescent="0.3">
      <c r="A4" s="2" t="s">
        <v>6</v>
      </c>
      <c r="B4" s="3">
        <v>10</v>
      </c>
      <c r="C4" s="5">
        <v>10</v>
      </c>
      <c r="D4" s="3">
        <v>0</v>
      </c>
      <c r="E4" s="3">
        <v>0</v>
      </c>
      <c r="F4" s="3">
        <v>0</v>
      </c>
      <c r="H4" s="2" t="s">
        <v>6</v>
      </c>
      <c r="I4" s="3">
        <f>J4+K4+L4+M4</f>
        <v>239</v>
      </c>
      <c r="J4" s="4">
        <v>11</v>
      </c>
      <c r="K4" s="5">
        <v>8</v>
      </c>
      <c r="L4" s="5">
        <v>208</v>
      </c>
      <c r="M4" s="6">
        <v>12</v>
      </c>
      <c r="O4" s="2" t="s">
        <v>6</v>
      </c>
      <c r="P4" s="3">
        <v>89</v>
      </c>
      <c r="Q4" s="5">
        <v>42</v>
      </c>
      <c r="R4" s="6">
        <v>23</v>
      </c>
      <c r="S4" s="4">
        <v>17</v>
      </c>
      <c r="T4" s="3">
        <v>7</v>
      </c>
    </row>
    <row r="5" spans="1:20" x14ac:dyDescent="0.3">
      <c r="A5" s="2" t="s">
        <v>7</v>
      </c>
      <c r="B5" s="3" t="s">
        <v>86</v>
      </c>
      <c r="C5" s="5" t="s">
        <v>86</v>
      </c>
      <c r="D5" s="3">
        <v>0</v>
      </c>
      <c r="E5" s="3">
        <v>0</v>
      </c>
      <c r="F5" s="3">
        <v>0</v>
      </c>
      <c r="H5" s="2" t="s">
        <v>7</v>
      </c>
      <c r="I5" s="48">
        <f>I4/I3</f>
        <v>4.8676171079429738E-2</v>
      </c>
      <c r="J5" s="4" t="s">
        <v>62</v>
      </c>
      <c r="K5" s="5" t="s">
        <v>596</v>
      </c>
      <c r="L5" s="5" t="s">
        <v>1202</v>
      </c>
      <c r="M5" s="6" t="s">
        <v>499</v>
      </c>
      <c r="O5" s="2" t="s">
        <v>7</v>
      </c>
      <c r="P5" s="3" t="s">
        <v>199</v>
      </c>
      <c r="Q5" s="6" t="s">
        <v>776</v>
      </c>
      <c r="R5" s="3" t="s">
        <v>1075</v>
      </c>
      <c r="S5" s="4" t="s">
        <v>544</v>
      </c>
      <c r="T5" s="5" t="s">
        <v>145</v>
      </c>
    </row>
    <row r="6" spans="1:20" x14ac:dyDescent="0.3">
      <c r="A6" s="2" t="s">
        <v>12</v>
      </c>
      <c r="B6" s="3" t="s">
        <v>87</v>
      </c>
      <c r="C6" s="5" t="s">
        <v>87</v>
      </c>
      <c r="D6" s="3">
        <v>0</v>
      </c>
      <c r="E6" s="3">
        <v>0</v>
      </c>
      <c r="F6" s="3">
        <v>0</v>
      </c>
      <c r="H6" s="2" t="s">
        <v>12</v>
      </c>
      <c r="I6" s="48">
        <f>I9/I3</f>
        <v>2.6476578411405296E-2</v>
      </c>
      <c r="J6" s="4" t="s">
        <v>241</v>
      </c>
      <c r="K6" s="5" t="s">
        <v>310</v>
      </c>
      <c r="L6" s="5" t="s">
        <v>725</v>
      </c>
      <c r="M6" s="6" t="s">
        <v>499</v>
      </c>
      <c r="O6" s="2" t="s">
        <v>12</v>
      </c>
      <c r="P6" s="3" t="s">
        <v>1075</v>
      </c>
      <c r="Q6" s="6" t="s">
        <v>364</v>
      </c>
      <c r="R6" s="3" t="s">
        <v>499</v>
      </c>
      <c r="S6" s="4" t="s">
        <v>499</v>
      </c>
      <c r="T6" s="5" t="s">
        <v>145</v>
      </c>
    </row>
    <row r="7" spans="1:20" x14ac:dyDescent="0.3">
      <c r="A7" s="2" t="s">
        <v>17</v>
      </c>
      <c r="B7" s="3" t="s">
        <v>88</v>
      </c>
      <c r="C7" s="5" t="s">
        <v>88</v>
      </c>
      <c r="D7" s="3" t="s">
        <v>25</v>
      </c>
      <c r="E7" s="3" t="s">
        <v>25</v>
      </c>
      <c r="F7" s="3" t="s">
        <v>25</v>
      </c>
      <c r="H7" s="2" t="s">
        <v>17</v>
      </c>
      <c r="I7" s="48">
        <f>I15/I3</f>
        <v>2.1384928716904276E-2</v>
      </c>
      <c r="J7" s="6" t="s">
        <v>101</v>
      </c>
      <c r="K7" s="5" t="s">
        <v>157</v>
      </c>
      <c r="L7" s="5" t="s">
        <v>737</v>
      </c>
      <c r="M7" s="3" t="s">
        <v>25</v>
      </c>
      <c r="O7" s="2" t="s">
        <v>17</v>
      </c>
      <c r="P7" s="3" t="s">
        <v>100</v>
      </c>
      <c r="Q7" s="5" t="s">
        <v>157</v>
      </c>
      <c r="R7" s="4" t="s">
        <v>47</v>
      </c>
      <c r="S7" s="6" t="s">
        <v>134</v>
      </c>
      <c r="T7" s="3" t="s">
        <v>25</v>
      </c>
    </row>
    <row r="8" spans="1:20" x14ac:dyDescent="0.3">
      <c r="A8" s="2" t="s">
        <v>22</v>
      </c>
      <c r="B8" s="3" t="s">
        <v>84</v>
      </c>
      <c r="C8" s="5" t="s">
        <v>84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7</v>
      </c>
      <c r="C9" s="8">
        <v>7</v>
      </c>
      <c r="D9" s="8">
        <v>0</v>
      </c>
      <c r="E9" s="8">
        <v>0</v>
      </c>
      <c r="F9" s="8">
        <v>0</v>
      </c>
      <c r="H9" s="7" t="s">
        <v>26</v>
      </c>
      <c r="I9" s="8">
        <f>J9+K9+L9+M9</f>
        <v>130</v>
      </c>
      <c r="J9" s="8">
        <v>7</v>
      </c>
      <c r="K9" s="8">
        <v>2</v>
      </c>
      <c r="L9" s="8">
        <v>109</v>
      </c>
      <c r="M9" s="8">
        <v>12</v>
      </c>
      <c r="O9" s="7" t="s">
        <v>26</v>
      </c>
      <c r="P9" s="8">
        <v>72</v>
      </c>
      <c r="Q9" s="8">
        <v>33</v>
      </c>
      <c r="R9" s="8">
        <v>19</v>
      </c>
      <c r="S9" s="8">
        <v>13</v>
      </c>
      <c r="T9" s="8">
        <v>7</v>
      </c>
    </row>
    <row r="10" spans="1:20" x14ac:dyDescent="0.3">
      <c r="A10" s="9" t="s">
        <v>27</v>
      </c>
      <c r="B10" s="10">
        <v>3</v>
      </c>
      <c r="C10" s="10">
        <v>3</v>
      </c>
      <c r="D10" s="10">
        <v>0</v>
      </c>
      <c r="E10" s="10">
        <v>0</v>
      </c>
      <c r="F10" s="10">
        <v>0</v>
      </c>
      <c r="H10" s="9" t="s">
        <v>27</v>
      </c>
      <c r="I10" s="10">
        <v>21</v>
      </c>
      <c r="J10" s="10">
        <v>3</v>
      </c>
      <c r="K10" s="10">
        <v>2</v>
      </c>
      <c r="L10" s="10">
        <v>9</v>
      </c>
      <c r="M10" s="10">
        <v>9</v>
      </c>
      <c r="O10" s="9" t="s">
        <v>27</v>
      </c>
      <c r="P10" s="10">
        <v>61</v>
      </c>
      <c r="Q10" s="10">
        <v>27</v>
      </c>
      <c r="R10" s="10">
        <v>16</v>
      </c>
      <c r="S10" s="10">
        <v>12</v>
      </c>
      <c r="T10" s="10">
        <v>6</v>
      </c>
    </row>
    <row r="11" spans="1:20" x14ac:dyDescent="0.3">
      <c r="A11" s="9" t="s">
        <v>28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H11" s="9" t="s">
        <v>28</v>
      </c>
      <c r="I11" s="10">
        <v>1</v>
      </c>
      <c r="J11" s="10">
        <v>0</v>
      </c>
      <c r="K11" s="10">
        <v>0</v>
      </c>
      <c r="L11" s="10">
        <v>0</v>
      </c>
      <c r="M11" s="10">
        <v>1</v>
      </c>
      <c r="O11" s="9" t="s">
        <v>28</v>
      </c>
      <c r="P11" s="10">
        <v>1</v>
      </c>
      <c r="Q11" s="10">
        <v>0</v>
      </c>
      <c r="R11" s="10">
        <v>1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4</v>
      </c>
      <c r="C13" s="10">
        <v>4</v>
      </c>
      <c r="D13" s="10">
        <v>0</v>
      </c>
      <c r="E13" s="10">
        <v>0</v>
      </c>
      <c r="F13" s="10">
        <v>0</v>
      </c>
      <c r="H13" s="9" t="s">
        <v>30</v>
      </c>
      <c r="I13" s="10">
        <v>106</v>
      </c>
      <c r="J13" s="10">
        <v>4</v>
      </c>
      <c r="K13" s="10">
        <v>0</v>
      </c>
      <c r="L13" s="10">
        <v>100</v>
      </c>
      <c r="M13" s="10">
        <v>2</v>
      </c>
      <c r="O13" s="9" t="s">
        <v>30</v>
      </c>
      <c r="P13" s="10">
        <v>10</v>
      </c>
      <c r="Q13" s="10">
        <v>6</v>
      </c>
      <c r="R13" s="10">
        <v>2</v>
      </c>
      <c r="S13" s="10">
        <v>1</v>
      </c>
      <c r="T13" s="10">
        <v>1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3</v>
      </c>
      <c r="C15" s="12">
        <v>3</v>
      </c>
      <c r="D15" s="12">
        <v>0</v>
      </c>
      <c r="E15" s="12">
        <v>0</v>
      </c>
      <c r="F15" s="12">
        <v>0</v>
      </c>
      <c r="H15" s="11" t="s">
        <v>32</v>
      </c>
      <c r="I15" s="12">
        <f>J15+K15+L15</f>
        <v>105</v>
      </c>
      <c r="J15" s="12">
        <v>4</v>
      </c>
      <c r="K15" s="12">
        <v>6</v>
      </c>
      <c r="L15" s="12">
        <v>95</v>
      </c>
      <c r="M15" s="12">
        <v>0</v>
      </c>
      <c r="O15" s="11" t="s">
        <v>32</v>
      </c>
      <c r="P15" s="12">
        <v>17</v>
      </c>
      <c r="Q15" s="12">
        <v>9</v>
      </c>
      <c r="R15" s="12">
        <v>4</v>
      </c>
      <c r="S15" s="12">
        <v>4</v>
      </c>
      <c r="T15" s="12">
        <v>0</v>
      </c>
    </row>
    <row r="16" spans="1:20" x14ac:dyDescent="0.3">
      <c r="A16" s="13" t="s">
        <v>33</v>
      </c>
      <c r="B16" s="14">
        <v>2</v>
      </c>
      <c r="C16" s="14">
        <v>2</v>
      </c>
      <c r="D16" s="14">
        <v>0</v>
      </c>
      <c r="E16" s="14">
        <v>0</v>
      </c>
      <c r="F16" s="14">
        <v>0</v>
      </c>
      <c r="H16" s="13" t="s">
        <v>33</v>
      </c>
      <c r="I16" s="14">
        <f>L16</f>
        <v>90</v>
      </c>
      <c r="J16" s="14">
        <v>0</v>
      </c>
      <c r="K16" s="14">
        <v>0</v>
      </c>
      <c r="L16" s="14">
        <v>90</v>
      </c>
      <c r="M16" s="14">
        <v>0</v>
      </c>
      <c r="O16" s="13" t="s">
        <v>33</v>
      </c>
      <c r="P16" s="14">
        <v>6</v>
      </c>
      <c r="Q16" s="14">
        <v>3</v>
      </c>
      <c r="R16" s="14">
        <v>2</v>
      </c>
      <c r="S16" s="14">
        <v>1</v>
      </c>
      <c r="T16" s="14">
        <v>0</v>
      </c>
    </row>
    <row r="17" spans="1:20" x14ac:dyDescent="0.3">
      <c r="A17" s="13" t="s">
        <v>34</v>
      </c>
      <c r="B17" s="14">
        <v>1</v>
      </c>
      <c r="C17" s="14">
        <v>1</v>
      </c>
      <c r="D17" s="14">
        <v>0</v>
      </c>
      <c r="E17" s="14">
        <v>0</v>
      </c>
      <c r="F17" s="14">
        <v>0</v>
      </c>
      <c r="H17" s="13" t="s">
        <v>34</v>
      </c>
      <c r="I17" s="14">
        <f>J17+K17+L17</f>
        <v>15</v>
      </c>
      <c r="J17" s="14">
        <v>4</v>
      </c>
      <c r="K17" s="14">
        <v>6</v>
      </c>
      <c r="L17" s="14">
        <v>5</v>
      </c>
      <c r="M17" s="14">
        <v>0</v>
      </c>
      <c r="O17" s="13" t="s">
        <v>34</v>
      </c>
      <c r="P17" s="14">
        <v>11</v>
      </c>
      <c r="Q17" s="14">
        <v>6</v>
      </c>
      <c r="R17" s="14">
        <v>2</v>
      </c>
      <c r="S17" s="14">
        <v>3</v>
      </c>
      <c r="T17" s="14">
        <v>0</v>
      </c>
    </row>
    <row r="18" spans="1:20" x14ac:dyDescent="0.3">
      <c r="A18" s="15" t="s">
        <v>35</v>
      </c>
      <c r="B18" s="16">
        <v>1</v>
      </c>
      <c r="C18" s="16">
        <v>1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1</v>
      </c>
      <c r="C20" s="18">
        <v>1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72" t="s">
        <v>89</v>
      </c>
      <c r="C21" s="173"/>
      <c r="D21" s="173"/>
      <c r="E21" s="173"/>
      <c r="F21" s="173"/>
      <c r="H21" s="17" t="s">
        <v>38</v>
      </c>
      <c r="I21" s="172" t="s">
        <v>1034</v>
      </c>
      <c r="J21" s="173"/>
      <c r="K21" s="173"/>
      <c r="L21" s="173"/>
      <c r="M21" s="173"/>
      <c r="O21" s="17" t="s">
        <v>38</v>
      </c>
      <c r="P21" s="167" t="s">
        <v>89</v>
      </c>
      <c r="Q21" s="168"/>
      <c r="R21" s="168"/>
      <c r="S21" s="168"/>
      <c r="T21" s="168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70">
        <v>46114</v>
      </c>
      <c r="I22" s="168"/>
      <c r="J22" s="168"/>
      <c r="K22" s="168"/>
      <c r="L22" s="168"/>
      <c r="M22" s="168"/>
      <c r="O22" s="171">
        <v>46146</v>
      </c>
      <c r="P22" s="171"/>
      <c r="Q22" s="171"/>
      <c r="R22" s="171"/>
      <c r="S22" s="171"/>
      <c r="T22" s="171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871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1912</v>
      </c>
      <c r="C24" s="3">
        <v>828</v>
      </c>
      <c r="D24" s="3">
        <v>621</v>
      </c>
      <c r="E24" s="3">
        <v>463</v>
      </c>
      <c r="F24" s="3">
        <v>0</v>
      </c>
      <c r="H24" s="2" t="s">
        <v>5</v>
      </c>
      <c r="I24" s="3">
        <v>5827</v>
      </c>
      <c r="J24" s="3">
        <v>1839</v>
      </c>
      <c r="K24" s="3">
        <v>2008</v>
      </c>
      <c r="L24" s="3">
        <v>784</v>
      </c>
      <c r="M24" s="3">
        <v>1196</v>
      </c>
      <c r="O24" s="2" t="s">
        <v>5</v>
      </c>
      <c r="P24" s="3">
        <f>Q24+R24+S24+T24</f>
        <v>2607</v>
      </c>
      <c r="Q24" s="3">
        <v>953</v>
      </c>
      <c r="R24" s="3">
        <v>542</v>
      </c>
      <c r="S24" s="3">
        <v>483</v>
      </c>
      <c r="T24" s="3">
        <v>629</v>
      </c>
    </row>
    <row r="25" spans="1:20" x14ac:dyDescent="0.3">
      <c r="A25" s="2" t="s">
        <v>6</v>
      </c>
      <c r="B25" s="3">
        <v>12</v>
      </c>
      <c r="C25" s="6">
        <v>4</v>
      </c>
      <c r="D25" s="4">
        <v>1</v>
      </c>
      <c r="E25" s="5">
        <v>7</v>
      </c>
      <c r="F25" s="3">
        <v>0</v>
      </c>
      <c r="H25" s="2" t="s">
        <v>6</v>
      </c>
      <c r="I25" s="3">
        <v>395</v>
      </c>
      <c r="J25" s="4">
        <v>86</v>
      </c>
      <c r="K25" s="6">
        <v>98</v>
      </c>
      <c r="L25" s="5">
        <v>147</v>
      </c>
      <c r="M25" s="3">
        <v>64</v>
      </c>
      <c r="O25" s="2" t="s">
        <v>6</v>
      </c>
      <c r="P25" s="3">
        <f>Q25+R25+S25+T25</f>
        <v>27</v>
      </c>
      <c r="Q25" s="5">
        <v>12</v>
      </c>
      <c r="R25" s="6">
        <v>5</v>
      </c>
      <c r="S25" s="6">
        <v>6</v>
      </c>
      <c r="T25" s="4">
        <v>4</v>
      </c>
    </row>
    <row r="26" spans="1:20" x14ac:dyDescent="0.3">
      <c r="A26" s="2" t="s">
        <v>7</v>
      </c>
      <c r="B26" s="3" t="s">
        <v>152</v>
      </c>
      <c r="C26" s="6" t="s">
        <v>153</v>
      </c>
      <c r="D26" s="4" t="s">
        <v>154</v>
      </c>
      <c r="E26" s="5" t="s">
        <v>155</v>
      </c>
      <c r="F26" s="3">
        <v>0</v>
      </c>
      <c r="H26" s="2" t="s">
        <v>7</v>
      </c>
      <c r="I26" s="3" t="s">
        <v>315</v>
      </c>
      <c r="J26" s="3" t="s">
        <v>576</v>
      </c>
      <c r="K26" s="4" t="s">
        <v>535</v>
      </c>
      <c r="L26" s="5" t="s">
        <v>1222</v>
      </c>
      <c r="M26" s="6" t="s">
        <v>904</v>
      </c>
      <c r="O26" s="2" t="s">
        <v>7</v>
      </c>
      <c r="P26" s="48">
        <f>P25/P24</f>
        <v>1.0356731875719217E-2</v>
      </c>
      <c r="Q26" s="5" t="s">
        <v>277</v>
      </c>
      <c r="R26" s="6" t="s">
        <v>229</v>
      </c>
      <c r="S26" s="6" t="s">
        <v>1255</v>
      </c>
      <c r="T26" s="4" t="s">
        <v>42</v>
      </c>
    </row>
    <row r="27" spans="1:20" x14ac:dyDescent="0.3">
      <c r="A27" s="2" t="s">
        <v>12</v>
      </c>
      <c r="B27" s="3" t="s">
        <v>148</v>
      </c>
      <c r="C27" s="6" t="s">
        <v>134</v>
      </c>
      <c r="D27" s="4" t="s">
        <v>154</v>
      </c>
      <c r="E27" s="5" t="s">
        <v>156</v>
      </c>
      <c r="F27" s="3">
        <v>0</v>
      </c>
      <c r="H27" s="2" t="s">
        <v>12</v>
      </c>
      <c r="I27" s="3" t="s">
        <v>357</v>
      </c>
      <c r="J27" s="4" t="s">
        <v>229</v>
      </c>
      <c r="K27" s="3" t="s">
        <v>99</v>
      </c>
      <c r="L27" s="5" t="s">
        <v>1223</v>
      </c>
      <c r="M27" s="6" t="s">
        <v>346</v>
      </c>
      <c r="O27" s="2" t="s">
        <v>12</v>
      </c>
      <c r="P27" s="48">
        <f>P30/P24</f>
        <v>9.2059838895281933E-3</v>
      </c>
      <c r="Q27" s="6" t="s">
        <v>806</v>
      </c>
      <c r="R27" s="6" t="s">
        <v>80</v>
      </c>
      <c r="S27" s="5" t="s">
        <v>1255</v>
      </c>
      <c r="T27" s="4" t="s">
        <v>42</v>
      </c>
    </row>
    <row r="28" spans="1:20" x14ac:dyDescent="0.3">
      <c r="A28" s="2" t="s">
        <v>17</v>
      </c>
      <c r="B28" s="3" t="s">
        <v>154</v>
      </c>
      <c r="C28" s="6" t="s">
        <v>102</v>
      </c>
      <c r="D28" s="3" t="s">
        <v>25</v>
      </c>
      <c r="E28" s="5" t="s">
        <v>157</v>
      </c>
      <c r="F28" s="3" t="s">
        <v>25</v>
      </c>
      <c r="H28" s="2" t="s">
        <v>17</v>
      </c>
      <c r="I28" s="3" t="s">
        <v>489</v>
      </c>
      <c r="J28" s="3" t="s">
        <v>143</v>
      </c>
      <c r="K28" s="5" t="s">
        <v>576</v>
      </c>
      <c r="L28" s="4" t="s">
        <v>1224</v>
      </c>
      <c r="M28" s="6" t="s">
        <v>847</v>
      </c>
      <c r="O28" s="2" t="s">
        <v>17</v>
      </c>
      <c r="P28" s="48">
        <f>P36/P24</f>
        <v>7.6716532412734941E-4</v>
      </c>
      <c r="Q28" s="5" t="s">
        <v>77</v>
      </c>
      <c r="R28" s="5" t="s">
        <v>109</v>
      </c>
      <c r="S28" s="3" t="s">
        <v>25</v>
      </c>
      <c r="T28" s="3" t="s">
        <v>25</v>
      </c>
    </row>
    <row r="29" spans="1:20" x14ac:dyDescent="0.3">
      <c r="A29" s="2" t="s">
        <v>22</v>
      </c>
      <c r="B29" s="3" t="s">
        <v>158</v>
      </c>
      <c r="C29" s="5" t="s">
        <v>102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48">
        <f>P39/P24</f>
        <v>1.1507479861910242E-3</v>
      </c>
      <c r="Q29" s="3" t="s">
        <v>25</v>
      </c>
      <c r="R29" s="5" t="s">
        <v>200</v>
      </c>
      <c r="S29" s="5" t="s">
        <v>77</v>
      </c>
      <c r="T29" s="3" t="s">
        <v>25</v>
      </c>
    </row>
    <row r="30" spans="1:20" x14ac:dyDescent="0.3">
      <c r="A30" s="7" t="s">
        <v>26</v>
      </c>
      <c r="B30" s="8">
        <v>9</v>
      </c>
      <c r="C30" s="8">
        <v>3</v>
      </c>
      <c r="D30" s="8">
        <v>1</v>
      </c>
      <c r="E30" s="8">
        <v>5</v>
      </c>
      <c r="F30" s="8">
        <v>0</v>
      </c>
      <c r="H30" s="7" t="s">
        <v>26</v>
      </c>
      <c r="I30" s="8">
        <v>151</v>
      </c>
      <c r="J30" s="8">
        <v>17</v>
      </c>
      <c r="K30" s="8">
        <v>4</v>
      </c>
      <c r="L30" s="8">
        <v>116</v>
      </c>
      <c r="M30" s="8">
        <v>14</v>
      </c>
      <c r="O30" s="7" t="s">
        <v>26</v>
      </c>
      <c r="P30" s="8">
        <f>Q30+R30+S30+T30</f>
        <v>24</v>
      </c>
      <c r="Q30" s="8">
        <v>10</v>
      </c>
      <c r="R30" s="8">
        <v>4</v>
      </c>
      <c r="S30" s="8">
        <v>6</v>
      </c>
      <c r="T30" s="8">
        <v>4</v>
      </c>
    </row>
    <row r="31" spans="1:20" x14ac:dyDescent="0.3">
      <c r="A31" s="9" t="s">
        <v>27</v>
      </c>
      <c r="B31" s="10">
        <v>4</v>
      </c>
      <c r="C31" s="10">
        <v>3</v>
      </c>
      <c r="D31" s="10">
        <v>1</v>
      </c>
      <c r="E31" s="10">
        <v>0</v>
      </c>
      <c r="F31" s="10">
        <v>0</v>
      </c>
      <c r="H31" s="9" t="s">
        <v>27</v>
      </c>
      <c r="I31" s="10">
        <v>33</v>
      </c>
      <c r="J31" s="10">
        <v>7</v>
      </c>
      <c r="K31" s="10">
        <v>3</v>
      </c>
      <c r="L31" s="10">
        <v>15</v>
      </c>
      <c r="M31" s="10">
        <v>8</v>
      </c>
      <c r="O31" s="9" t="s">
        <v>27</v>
      </c>
      <c r="P31" s="10">
        <f>Q31+R31+S31+T31</f>
        <v>21</v>
      </c>
      <c r="Q31" s="10">
        <v>9</v>
      </c>
      <c r="R31" s="10">
        <v>2</v>
      </c>
      <c r="S31" s="10">
        <v>6</v>
      </c>
      <c r="T31" s="10">
        <v>4</v>
      </c>
    </row>
    <row r="32" spans="1:20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H32" s="9" t="s">
        <v>28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O32" s="9" t="s">
        <v>28</v>
      </c>
      <c r="P32" s="10">
        <v>1</v>
      </c>
      <c r="Q32" s="10">
        <v>1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4</v>
      </c>
      <c r="C33" s="10">
        <v>0</v>
      </c>
      <c r="D33" s="10">
        <v>0</v>
      </c>
      <c r="E33" s="10">
        <v>4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1</v>
      </c>
      <c r="C34" s="10">
        <v>0</v>
      </c>
      <c r="D34" s="10">
        <v>0</v>
      </c>
      <c r="E34" s="10">
        <v>1</v>
      </c>
      <c r="F34" s="10">
        <v>0</v>
      </c>
      <c r="H34" s="9" t="s">
        <v>30</v>
      </c>
      <c r="I34" s="10">
        <v>118</v>
      </c>
      <c r="J34" s="10">
        <v>10</v>
      </c>
      <c r="K34" s="10">
        <v>1</v>
      </c>
      <c r="L34" s="10">
        <v>101</v>
      </c>
      <c r="M34" s="10">
        <v>6</v>
      </c>
      <c r="O34" s="9" t="s">
        <v>30</v>
      </c>
      <c r="P34" s="10">
        <v>0</v>
      </c>
      <c r="Q34" s="10">
        <v>0</v>
      </c>
      <c r="R34" s="10">
        <v>2</v>
      </c>
      <c r="S34" s="10">
        <v>0</v>
      </c>
      <c r="T34" s="10">
        <v>0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3</v>
      </c>
      <c r="C36" s="12">
        <v>1</v>
      </c>
      <c r="D36" s="12">
        <v>0</v>
      </c>
      <c r="E36" s="12">
        <v>2</v>
      </c>
      <c r="F36" s="12">
        <v>0</v>
      </c>
      <c r="H36" s="11" t="s">
        <v>32</v>
      </c>
      <c r="I36" s="12">
        <v>243</v>
      </c>
      <c r="J36" s="12">
        <v>68</v>
      </c>
      <c r="K36" s="12">
        <v>94</v>
      </c>
      <c r="L36" s="12">
        <v>31</v>
      </c>
      <c r="M36" s="12">
        <v>50</v>
      </c>
      <c r="O36" s="11" t="s">
        <v>32</v>
      </c>
      <c r="P36" s="12">
        <v>2</v>
      </c>
      <c r="Q36" s="12">
        <v>2</v>
      </c>
      <c r="R36" s="12">
        <v>1</v>
      </c>
      <c r="S36" s="12">
        <v>0</v>
      </c>
      <c r="T36" s="12">
        <v>0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17</v>
      </c>
      <c r="J37" s="14">
        <v>4</v>
      </c>
      <c r="K37" s="14">
        <v>5</v>
      </c>
      <c r="L37" s="14">
        <v>7</v>
      </c>
      <c r="M37" s="14">
        <v>1</v>
      </c>
      <c r="O37" s="13" t="s">
        <v>33</v>
      </c>
      <c r="P37" s="14">
        <v>1</v>
      </c>
      <c r="Q37" s="14">
        <v>1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3</v>
      </c>
      <c r="C38" s="14">
        <v>1</v>
      </c>
      <c r="D38" s="14">
        <v>0</v>
      </c>
      <c r="E38" s="14">
        <v>2</v>
      </c>
      <c r="F38" s="14">
        <v>0</v>
      </c>
      <c r="H38" s="13" t="s">
        <v>34</v>
      </c>
      <c r="I38" s="14">
        <v>226</v>
      </c>
      <c r="J38" s="14">
        <v>64</v>
      </c>
      <c r="K38" s="14">
        <v>89</v>
      </c>
      <c r="L38" s="14">
        <v>24</v>
      </c>
      <c r="M38" s="14">
        <v>49</v>
      </c>
      <c r="O38" s="13" t="s">
        <v>34</v>
      </c>
      <c r="P38" s="14">
        <v>1</v>
      </c>
      <c r="Q38" s="14">
        <v>1</v>
      </c>
      <c r="R38" s="14">
        <v>1</v>
      </c>
      <c r="S38" s="14">
        <v>0</v>
      </c>
      <c r="T38" s="14">
        <v>0</v>
      </c>
    </row>
    <row r="39" spans="1:20" x14ac:dyDescent="0.3">
      <c r="A39" s="15" t="s">
        <v>35</v>
      </c>
      <c r="B39" s="16">
        <v>1</v>
      </c>
      <c r="C39" s="16">
        <v>1</v>
      </c>
      <c r="D39" s="16">
        <v>0</v>
      </c>
      <c r="E39" s="16">
        <v>0</v>
      </c>
      <c r="F39" s="16">
        <v>0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f>Q39+R39+S39+T39</f>
        <v>3</v>
      </c>
      <c r="Q39" s="16">
        <v>0</v>
      </c>
      <c r="R39" s="16">
        <v>2</v>
      </c>
      <c r="S39" s="16">
        <v>1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1</v>
      </c>
      <c r="C41" s="18">
        <v>1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3</v>
      </c>
      <c r="Q41" s="112">
        <v>0</v>
      </c>
      <c r="R41" s="112">
        <v>2</v>
      </c>
      <c r="S41" s="112">
        <v>1</v>
      </c>
      <c r="T41" s="112">
        <v>0</v>
      </c>
    </row>
    <row r="42" spans="1:20" x14ac:dyDescent="0.3">
      <c r="A42" s="17" t="s">
        <v>38</v>
      </c>
      <c r="B42" s="172" t="s">
        <v>89</v>
      </c>
      <c r="C42" s="173"/>
      <c r="D42" s="173"/>
      <c r="E42" s="173"/>
      <c r="F42" s="173"/>
      <c r="H42" s="17" t="s">
        <v>38</v>
      </c>
      <c r="I42" s="167" t="s">
        <v>1034</v>
      </c>
      <c r="J42" s="168"/>
      <c r="K42" s="168"/>
      <c r="L42" s="168"/>
      <c r="M42" s="168"/>
      <c r="O42" s="17" t="s">
        <v>38</v>
      </c>
      <c r="P42" s="172" t="s">
        <v>89</v>
      </c>
      <c r="Q42" s="173"/>
      <c r="R42" s="173"/>
      <c r="S42" s="173"/>
      <c r="T42" s="173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71">
        <v>46115</v>
      </c>
      <c r="I43" s="171"/>
      <c r="J43" s="171"/>
      <c r="K43" s="171"/>
      <c r="L43" s="171"/>
      <c r="M43" s="171"/>
      <c r="O43" s="171">
        <v>46147</v>
      </c>
      <c r="P43" s="171"/>
      <c r="Q43" s="171"/>
      <c r="R43" s="171"/>
      <c r="S43" s="171"/>
      <c r="T43" s="171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871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871</v>
      </c>
      <c r="O44" s="1" t="s">
        <v>0</v>
      </c>
      <c r="P44" s="1" t="s">
        <v>1</v>
      </c>
      <c r="Q44" s="1" t="s">
        <v>2</v>
      </c>
      <c r="R44" s="1" t="s">
        <v>760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280</v>
      </c>
      <c r="C45" s="3">
        <v>125</v>
      </c>
      <c r="D45" s="3">
        <v>89</v>
      </c>
      <c r="E45" s="3">
        <v>66</v>
      </c>
      <c r="F45" s="3">
        <v>0</v>
      </c>
      <c r="H45" s="2" t="s">
        <v>5</v>
      </c>
      <c r="I45" s="3">
        <f>J45+K45+L45+M45</f>
        <v>4072</v>
      </c>
      <c r="J45" s="3">
        <v>1310</v>
      </c>
      <c r="K45" s="3">
        <v>1276</v>
      </c>
      <c r="L45" s="3">
        <v>799</v>
      </c>
      <c r="M45" s="3">
        <v>687</v>
      </c>
      <c r="O45" s="2" t="s">
        <v>5</v>
      </c>
      <c r="P45" s="3">
        <v>3604</v>
      </c>
      <c r="Q45" s="3">
        <v>780</v>
      </c>
      <c r="R45" s="3">
        <v>0</v>
      </c>
      <c r="S45" s="3">
        <v>1435</v>
      </c>
      <c r="T45" s="3">
        <v>1389</v>
      </c>
    </row>
    <row r="46" spans="1:20" x14ac:dyDescent="0.3">
      <c r="A46" s="2" t="s">
        <v>6</v>
      </c>
      <c r="B46" s="3">
        <v>5</v>
      </c>
      <c r="C46" s="3">
        <v>0</v>
      </c>
      <c r="D46" s="3">
        <v>0</v>
      </c>
      <c r="E46" s="5">
        <v>5</v>
      </c>
      <c r="F46" s="3">
        <v>0</v>
      </c>
      <c r="H46" s="2" t="s">
        <v>6</v>
      </c>
      <c r="I46" s="3">
        <f>J46+K46+L46+M46</f>
        <v>197</v>
      </c>
      <c r="J46" s="5">
        <v>67</v>
      </c>
      <c r="K46" s="6">
        <v>45</v>
      </c>
      <c r="L46" s="6">
        <v>40</v>
      </c>
      <c r="M46" s="6">
        <v>45</v>
      </c>
      <c r="O46" s="2" t="s">
        <v>6</v>
      </c>
      <c r="P46" s="3">
        <v>229</v>
      </c>
      <c r="Q46" s="4">
        <v>10</v>
      </c>
      <c r="R46" s="3">
        <v>0</v>
      </c>
      <c r="S46" s="5">
        <v>202</v>
      </c>
      <c r="T46" s="6">
        <v>17</v>
      </c>
    </row>
    <row r="47" spans="1:20" x14ac:dyDescent="0.3">
      <c r="A47" s="2" t="s">
        <v>7</v>
      </c>
      <c r="B47" s="3" t="s">
        <v>210</v>
      </c>
      <c r="C47" s="3" t="s">
        <v>25</v>
      </c>
      <c r="D47" s="3" t="s">
        <v>25</v>
      </c>
      <c r="E47" s="5" t="s">
        <v>211</v>
      </c>
      <c r="F47" s="3">
        <v>0</v>
      </c>
      <c r="H47" s="2" t="s">
        <v>7</v>
      </c>
      <c r="I47" s="48">
        <f>I46/I45</f>
        <v>4.8379174852652258E-2</v>
      </c>
      <c r="J47" s="5" t="s">
        <v>1245</v>
      </c>
      <c r="K47" s="4" t="s">
        <v>424</v>
      </c>
      <c r="L47" s="6" t="s">
        <v>274</v>
      </c>
      <c r="M47" s="5" t="s">
        <v>1268</v>
      </c>
      <c r="O47" s="2" t="s">
        <v>7</v>
      </c>
      <c r="P47" s="3" t="s">
        <v>600</v>
      </c>
      <c r="Q47" s="6" t="s">
        <v>434</v>
      </c>
      <c r="R47" s="3">
        <v>0</v>
      </c>
      <c r="S47" s="5" t="s">
        <v>1805</v>
      </c>
      <c r="T47" s="4" t="s">
        <v>1033</v>
      </c>
    </row>
    <row r="48" spans="1:20" x14ac:dyDescent="0.3">
      <c r="A48" s="2" t="s">
        <v>12</v>
      </c>
      <c r="B48" s="3" t="s">
        <v>210</v>
      </c>
      <c r="C48" s="3" t="s">
        <v>25</v>
      </c>
      <c r="D48" s="3" t="s">
        <v>25</v>
      </c>
      <c r="E48" s="5" t="s">
        <v>211</v>
      </c>
      <c r="F48" s="3">
        <v>0</v>
      </c>
      <c r="H48" s="2" t="s">
        <v>12</v>
      </c>
      <c r="I48" s="48">
        <f>I51/I45</f>
        <v>1.2770137524557957E-2</v>
      </c>
      <c r="J48" s="6" t="s">
        <v>1246</v>
      </c>
      <c r="K48" s="4" t="s">
        <v>863</v>
      </c>
      <c r="L48" s="5" t="s">
        <v>196</v>
      </c>
      <c r="M48" s="6" t="s">
        <v>117</v>
      </c>
      <c r="O48" s="2" t="s">
        <v>12</v>
      </c>
      <c r="P48" s="3" t="s">
        <v>1113</v>
      </c>
      <c r="Q48" s="6" t="s">
        <v>1283</v>
      </c>
      <c r="R48" s="3">
        <v>0</v>
      </c>
      <c r="S48" s="5" t="s">
        <v>719</v>
      </c>
      <c r="T48" s="4" t="s">
        <v>468</v>
      </c>
    </row>
    <row r="49" spans="1:20" x14ac:dyDescent="0.3">
      <c r="A49" s="2" t="s">
        <v>17</v>
      </c>
      <c r="B49" s="3" t="s">
        <v>25</v>
      </c>
      <c r="C49" s="3" t="s">
        <v>25</v>
      </c>
      <c r="D49" s="3" t="s">
        <v>25</v>
      </c>
      <c r="E49" s="3" t="s">
        <v>25</v>
      </c>
      <c r="F49" s="3" t="s">
        <v>25</v>
      </c>
      <c r="H49" s="2" t="s">
        <v>17</v>
      </c>
      <c r="I49" s="48">
        <f>I57/I45</f>
        <v>3.5117878192534382E-2</v>
      </c>
      <c r="J49" s="5" t="s">
        <v>1247</v>
      </c>
      <c r="K49" s="6" t="s">
        <v>145</v>
      </c>
      <c r="L49" s="6" t="s">
        <v>1248</v>
      </c>
      <c r="M49" s="5" t="s">
        <v>335</v>
      </c>
      <c r="O49" s="2" t="s">
        <v>17</v>
      </c>
      <c r="P49" s="3" t="s">
        <v>419</v>
      </c>
      <c r="Q49" s="4" t="s">
        <v>101</v>
      </c>
      <c r="R49" s="3" t="s">
        <v>25</v>
      </c>
      <c r="S49" s="5" t="s">
        <v>65</v>
      </c>
      <c r="T49" s="6" t="s">
        <v>227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25</v>
      </c>
      <c r="J50" s="3" t="s">
        <v>25</v>
      </c>
      <c r="K50" s="3" t="s">
        <v>25</v>
      </c>
      <c r="L50" s="3" t="s">
        <v>25</v>
      </c>
      <c r="M50" s="3" t="s">
        <v>25</v>
      </c>
      <c r="O50" s="2" t="s">
        <v>22</v>
      </c>
      <c r="P50" s="3" t="s">
        <v>268</v>
      </c>
      <c r="Q50" s="3" t="s">
        <v>25</v>
      </c>
      <c r="R50" s="3" t="s">
        <v>25</v>
      </c>
      <c r="S50" s="6" t="s">
        <v>138</v>
      </c>
      <c r="T50" s="5" t="s">
        <v>138</v>
      </c>
    </row>
    <row r="51" spans="1:20" x14ac:dyDescent="0.3">
      <c r="A51" s="7" t="s">
        <v>26</v>
      </c>
      <c r="B51" s="8">
        <v>5</v>
      </c>
      <c r="C51" s="8">
        <v>0</v>
      </c>
      <c r="D51" s="8">
        <v>0</v>
      </c>
      <c r="E51" s="8">
        <v>5</v>
      </c>
      <c r="F51" s="8">
        <v>0</v>
      </c>
      <c r="H51" s="7" t="s">
        <v>26</v>
      </c>
      <c r="I51" s="8">
        <f>J51+K51+L51+M51</f>
        <v>52</v>
      </c>
      <c r="J51" s="8">
        <v>17</v>
      </c>
      <c r="K51" s="8">
        <v>7</v>
      </c>
      <c r="L51" s="8">
        <v>16</v>
      </c>
      <c r="M51" s="8">
        <v>12</v>
      </c>
      <c r="O51" s="7" t="s">
        <v>26</v>
      </c>
      <c r="P51" s="8">
        <v>215</v>
      </c>
      <c r="Q51" s="8">
        <v>8</v>
      </c>
      <c r="R51" s="8">
        <v>0</v>
      </c>
      <c r="S51" s="8">
        <v>194</v>
      </c>
      <c r="T51" s="8">
        <v>13</v>
      </c>
    </row>
    <row r="52" spans="1:20" x14ac:dyDescent="0.3">
      <c r="A52" s="9" t="s">
        <v>27</v>
      </c>
      <c r="B52" s="10">
        <v>2</v>
      </c>
      <c r="C52" s="10">
        <v>0</v>
      </c>
      <c r="D52" s="10">
        <v>0</v>
      </c>
      <c r="E52" s="10">
        <v>2</v>
      </c>
      <c r="F52" s="10">
        <v>0</v>
      </c>
      <c r="H52" s="9" t="s">
        <v>27</v>
      </c>
      <c r="I52" s="10">
        <v>18</v>
      </c>
      <c r="J52" s="10">
        <v>11</v>
      </c>
      <c r="K52" s="10">
        <v>7</v>
      </c>
      <c r="L52" s="10">
        <v>7</v>
      </c>
      <c r="M52" s="10">
        <v>6</v>
      </c>
      <c r="O52" s="9" t="s">
        <v>27</v>
      </c>
      <c r="P52" s="10">
        <v>43</v>
      </c>
      <c r="Q52" s="10">
        <v>4</v>
      </c>
      <c r="R52" s="10">
        <v>0</v>
      </c>
      <c r="S52" s="10">
        <v>31</v>
      </c>
      <c r="T52" s="10">
        <v>8</v>
      </c>
    </row>
    <row r="53" spans="1:20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H53" s="9" t="s">
        <v>28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3</v>
      </c>
      <c r="C54" s="10">
        <v>0</v>
      </c>
      <c r="D54" s="10">
        <v>0</v>
      </c>
      <c r="E54" s="10">
        <v>3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H55" s="9" t="s">
        <v>30</v>
      </c>
      <c r="I55" s="10">
        <v>15</v>
      </c>
      <c r="J55" s="10">
        <v>6</v>
      </c>
      <c r="K55" s="10">
        <v>0</v>
      </c>
      <c r="L55" s="10">
        <v>9</v>
      </c>
      <c r="M55" s="10">
        <v>6</v>
      </c>
      <c r="O55" s="9" t="s">
        <v>30</v>
      </c>
      <c r="P55" s="10">
        <v>172</v>
      </c>
      <c r="Q55" s="10">
        <v>4</v>
      </c>
      <c r="R55" s="10">
        <v>0</v>
      </c>
      <c r="S55" s="10">
        <v>163</v>
      </c>
      <c r="T55" s="10">
        <v>5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H57" s="11" t="s">
        <v>32</v>
      </c>
      <c r="I57" s="12">
        <f>J57+K57+L57+M57</f>
        <v>143</v>
      </c>
      <c r="J57" s="12">
        <v>50</v>
      </c>
      <c r="K57" s="12">
        <v>37</v>
      </c>
      <c r="L57" s="12">
        <v>24</v>
      </c>
      <c r="M57" s="12">
        <v>32</v>
      </c>
      <c r="O57" s="11" t="s">
        <v>32</v>
      </c>
      <c r="P57" s="12">
        <v>14</v>
      </c>
      <c r="Q57" s="12">
        <v>2</v>
      </c>
      <c r="R57" s="12">
        <v>0</v>
      </c>
      <c r="S57" s="12">
        <v>8</v>
      </c>
      <c r="T57" s="12">
        <v>4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3</v>
      </c>
      <c r="Q58" s="14">
        <v>1</v>
      </c>
      <c r="R58" s="14">
        <v>0</v>
      </c>
      <c r="S58" s="14">
        <v>1</v>
      </c>
      <c r="T58" s="14">
        <v>1</v>
      </c>
    </row>
    <row r="59" spans="1:20" x14ac:dyDescent="0.3">
      <c r="A59" s="13" t="s">
        <v>34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H59" s="13" t="s">
        <v>34</v>
      </c>
      <c r="I59" s="14">
        <v>74</v>
      </c>
      <c r="J59" s="14">
        <v>50</v>
      </c>
      <c r="K59" s="14">
        <v>37</v>
      </c>
      <c r="L59" s="14">
        <v>24</v>
      </c>
      <c r="M59" s="14">
        <v>32</v>
      </c>
      <c r="O59" s="13" t="s">
        <v>34</v>
      </c>
      <c r="P59" s="14">
        <v>11</v>
      </c>
      <c r="Q59" s="14">
        <v>1</v>
      </c>
      <c r="R59" s="14">
        <v>0</v>
      </c>
      <c r="S59" s="14">
        <v>7</v>
      </c>
      <c r="T59" s="14">
        <v>3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O60" s="15" t="s">
        <v>35</v>
      </c>
      <c r="P60" s="16">
        <v>2</v>
      </c>
      <c r="Q60" s="16">
        <v>0</v>
      </c>
      <c r="R60" s="16">
        <v>0</v>
      </c>
      <c r="S60" s="16">
        <v>1</v>
      </c>
      <c r="T60" s="16">
        <v>1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O62" s="17" t="s">
        <v>37</v>
      </c>
      <c r="P62" s="112">
        <v>2</v>
      </c>
      <c r="Q62" s="112">
        <v>0</v>
      </c>
      <c r="R62" s="112">
        <v>0</v>
      </c>
      <c r="S62" s="112">
        <v>1</v>
      </c>
      <c r="T62" s="112">
        <v>1</v>
      </c>
    </row>
    <row r="63" spans="1:20" x14ac:dyDescent="0.3">
      <c r="A63" s="17" t="s">
        <v>38</v>
      </c>
      <c r="B63" s="172" t="s">
        <v>89</v>
      </c>
      <c r="C63" s="173"/>
      <c r="D63" s="173"/>
      <c r="E63" s="173"/>
      <c r="F63" s="173"/>
      <c r="H63" s="17" t="s">
        <v>38</v>
      </c>
      <c r="I63" s="172" t="s">
        <v>1249</v>
      </c>
      <c r="J63" s="173"/>
      <c r="K63" s="173"/>
      <c r="L63" s="173"/>
      <c r="M63" s="173"/>
      <c r="O63" s="17" t="s">
        <v>38</v>
      </c>
      <c r="P63" s="172" t="s">
        <v>89</v>
      </c>
      <c r="Q63" s="173"/>
      <c r="R63" s="173"/>
      <c r="S63" s="173"/>
      <c r="T63" s="173"/>
    </row>
    <row r="64" spans="1:20" ht="19.8" x14ac:dyDescent="0.3">
      <c r="A64" s="170">
        <v>46093</v>
      </c>
      <c r="B64" s="168"/>
      <c r="C64" s="168"/>
      <c r="D64" s="168"/>
      <c r="E64" s="168"/>
      <c r="F64" s="168"/>
      <c r="H64" s="171">
        <v>46116</v>
      </c>
      <c r="I64" s="171"/>
      <c r="J64" s="171"/>
      <c r="K64" s="171"/>
      <c r="L64" s="171"/>
      <c r="M64" s="171"/>
      <c r="O64" s="171">
        <v>46148</v>
      </c>
      <c r="P64" s="171"/>
      <c r="Q64" s="171"/>
      <c r="R64" s="171"/>
      <c r="S64" s="171"/>
      <c r="T64" s="171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871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4439</v>
      </c>
      <c r="C66" s="3">
        <v>1818</v>
      </c>
      <c r="D66" s="3">
        <v>1446</v>
      </c>
      <c r="E66" s="3">
        <v>670</v>
      </c>
      <c r="F66" s="3">
        <v>505</v>
      </c>
      <c r="H66" s="2" t="s">
        <v>5</v>
      </c>
      <c r="I66" s="3">
        <f>J66+K66+L66+M66</f>
        <v>1598</v>
      </c>
      <c r="J66" s="3">
        <v>662</v>
      </c>
      <c r="K66" s="3">
        <v>541</v>
      </c>
      <c r="L66" s="3">
        <v>283</v>
      </c>
      <c r="M66" s="3">
        <v>112</v>
      </c>
      <c r="O66" s="2" t="s">
        <v>5</v>
      </c>
      <c r="P66" s="3">
        <v>4165</v>
      </c>
      <c r="Q66" s="3">
        <v>2127</v>
      </c>
      <c r="R66" s="3">
        <v>0</v>
      </c>
      <c r="S66" s="3">
        <v>1095</v>
      </c>
      <c r="T66" s="3">
        <v>943</v>
      </c>
    </row>
    <row r="67" spans="1:20" x14ac:dyDescent="0.3">
      <c r="A67" s="2" t="s">
        <v>6</v>
      </c>
      <c r="B67" s="3">
        <v>105</v>
      </c>
      <c r="C67" s="5">
        <v>44</v>
      </c>
      <c r="D67" s="4">
        <v>20</v>
      </c>
      <c r="E67" s="6">
        <v>35</v>
      </c>
      <c r="F67" s="3">
        <v>6</v>
      </c>
      <c r="H67" s="2" t="s">
        <v>6</v>
      </c>
      <c r="I67" s="3">
        <f>J67+K67+L67+M67</f>
        <v>169</v>
      </c>
      <c r="J67" s="6">
        <v>33</v>
      </c>
      <c r="K67" s="6">
        <v>34</v>
      </c>
      <c r="L67" s="5">
        <v>87</v>
      </c>
      <c r="M67" s="4">
        <v>15</v>
      </c>
      <c r="O67" s="2" t="s">
        <v>6</v>
      </c>
      <c r="P67" s="3">
        <v>218</v>
      </c>
      <c r="Q67" s="6">
        <v>21</v>
      </c>
      <c r="R67" s="3">
        <v>0</v>
      </c>
      <c r="S67" s="5">
        <v>188</v>
      </c>
      <c r="T67" s="4">
        <v>9</v>
      </c>
    </row>
    <row r="68" spans="1:20" x14ac:dyDescent="0.3">
      <c r="A68" s="2" t="s">
        <v>7</v>
      </c>
      <c r="B68" s="3" t="s">
        <v>503</v>
      </c>
      <c r="C68" s="6" t="s">
        <v>120</v>
      </c>
      <c r="D68" s="4" t="s">
        <v>185</v>
      </c>
      <c r="E68" s="5" t="s">
        <v>504</v>
      </c>
      <c r="F68" s="3" t="s">
        <v>505</v>
      </c>
      <c r="H68" s="2" t="s">
        <v>7</v>
      </c>
      <c r="I68" s="48">
        <f>I67/I66</f>
        <v>0.10575719649561953</v>
      </c>
      <c r="J68" s="6" t="s">
        <v>549</v>
      </c>
      <c r="K68" s="6" t="s">
        <v>964</v>
      </c>
      <c r="L68" s="5" t="s">
        <v>1270</v>
      </c>
      <c r="M68" s="5" t="s">
        <v>1030</v>
      </c>
      <c r="O68" s="2" t="s">
        <v>7</v>
      </c>
      <c r="P68" s="3" t="s">
        <v>1052</v>
      </c>
      <c r="Q68" s="6" t="s">
        <v>794</v>
      </c>
      <c r="R68" s="3">
        <v>0</v>
      </c>
      <c r="S68" s="5" t="s">
        <v>1817</v>
      </c>
      <c r="T68" s="4" t="s">
        <v>404</v>
      </c>
    </row>
    <row r="69" spans="1:20" x14ac:dyDescent="0.3">
      <c r="A69" s="2" t="s">
        <v>12</v>
      </c>
      <c r="B69" s="3" t="s">
        <v>506</v>
      </c>
      <c r="C69" s="6" t="s">
        <v>272</v>
      </c>
      <c r="D69" s="3" t="s">
        <v>507</v>
      </c>
      <c r="E69" s="5" t="s">
        <v>508</v>
      </c>
      <c r="F69" s="4" t="s">
        <v>66</v>
      </c>
      <c r="H69" s="2" t="s">
        <v>12</v>
      </c>
      <c r="I69" s="48">
        <f>I72/I66</f>
        <v>4.9436795994993739E-2</v>
      </c>
      <c r="J69" s="6" t="s">
        <v>147</v>
      </c>
      <c r="K69" s="4" t="s">
        <v>80</v>
      </c>
      <c r="L69" s="5" t="s">
        <v>1271</v>
      </c>
      <c r="M69" s="6" t="s">
        <v>791</v>
      </c>
      <c r="O69" s="2" t="s">
        <v>12</v>
      </c>
      <c r="P69" s="3" t="s">
        <v>834</v>
      </c>
      <c r="Q69" s="4" t="s">
        <v>233</v>
      </c>
      <c r="R69" s="3">
        <v>0</v>
      </c>
      <c r="S69" s="5" t="s">
        <v>713</v>
      </c>
      <c r="T69" s="6" t="s">
        <v>404</v>
      </c>
    </row>
    <row r="70" spans="1:20" x14ac:dyDescent="0.3">
      <c r="A70" s="2" t="s">
        <v>17</v>
      </c>
      <c r="B70" s="3" t="s">
        <v>509</v>
      </c>
      <c r="C70" s="6" t="s">
        <v>510</v>
      </c>
      <c r="D70" s="4" t="s">
        <v>186</v>
      </c>
      <c r="E70" s="5" t="s">
        <v>511</v>
      </c>
      <c r="F70" s="3" t="s">
        <v>66</v>
      </c>
      <c r="H70" s="2" t="s">
        <v>17</v>
      </c>
      <c r="I70" s="48">
        <f>I78/I66</f>
        <v>5.6320400500625784E-2</v>
      </c>
      <c r="J70" s="6" t="s">
        <v>576</v>
      </c>
      <c r="K70" s="6" t="s">
        <v>326</v>
      </c>
      <c r="L70" s="5" t="s">
        <v>989</v>
      </c>
      <c r="M70" s="5" t="s">
        <v>1287</v>
      </c>
      <c r="O70" s="2" t="s">
        <v>17</v>
      </c>
      <c r="P70" s="3" t="s">
        <v>136</v>
      </c>
      <c r="Q70" s="6" t="s">
        <v>136</v>
      </c>
      <c r="R70" s="3" t="s">
        <v>25</v>
      </c>
      <c r="S70" s="5" t="s">
        <v>200</v>
      </c>
      <c r="T70" s="3" t="s">
        <v>25</v>
      </c>
    </row>
    <row r="71" spans="1:20" x14ac:dyDescent="0.3">
      <c r="A71" s="2" t="s">
        <v>22</v>
      </c>
      <c r="B71" s="3" t="s">
        <v>267</v>
      </c>
      <c r="C71" s="3" t="s">
        <v>25</v>
      </c>
      <c r="D71" s="5" t="s">
        <v>138</v>
      </c>
      <c r="E71" s="3" t="s">
        <v>25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158</v>
      </c>
      <c r="Q71" s="6" t="s">
        <v>158</v>
      </c>
      <c r="R71" s="3" t="s">
        <v>25</v>
      </c>
      <c r="S71" s="5" t="s">
        <v>84</v>
      </c>
      <c r="T71" s="3" t="s">
        <v>25</v>
      </c>
    </row>
    <row r="72" spans="1:20" x14ac:dyDescent="0.3">
      <c r="A72" s="7" t="s">
        <v>26</v>
      </c>
      <c r="B72" s="8">
        <v>46</v>
      </c>
      <c r="C72" s="8">
        <v>16</v>
      </c>
      <c r="D72" s="8">
        <v>6</v>
      </c>
      <c r="E72" s="8">
        <v>21</v>
      </c>
      <c r="F72" s="8">
        <v>3</v>
      </c>
      <c r="H72" s="7" t="s">
        <v>26</v>
      </c>
      <c r="I72" s="8">
        <f>J72+K72+L72+M72</f>
        <v>79</v>
      </c>
      <c r="J72" s="8">
        <v>2</v>
      </c>
      <c r="K72" s="8">
        <v>4</v>
      </c>
      <c r="L72" s="8">
        <v>70</v>
      </c>
      <c r="M72" s="8">
        <v>3</v>
      </c>
      <c r="O72" s="7" t="s">
        <v>26</v>
      </c>
      <c r="P72" s="8">
        <v>210</v>
      </c>
      <c r="Q72" s="8">
        <v>17</v>
      </c>
      <c r="R72" s="8">
        <v>0</v>
      </c>
      <c r="S72" s="8">
        <v>184</v>
      </c>
      <c r="T72" s="8">
        <v>9</v>
      </c>
    </row>
    <row r="73" spans="1:20" x14ac:dyDescent="0.3">
      <c r="A73" s="9" t="s">
        <v>27</v>
      </c>
      <c r="B73" s="10">
        <v>25</v>
      </c>
      <c r="C73" s="10">
        <v>13</v>
      </c>
      <c r="D73" s="10">
        <v>6</v>
      </c>
      <c r="E73" s="10">
        <v>3</v>
      </c>
      <c r="F73" s="10">
        <v>3</v>
      </c>
      <c r="H73" s="9" t="s">
        <v>27</v>
      </c>
      <c r="I73" s="10">
        <v>7</v>
      </c>
      <c r="J73" s="10">
        <v>2</v>
      </c>
      <c r="K73" s="10">
        <v>4</v>
      </c>
      <c r="L73" s="10">
        <v>5</v>
      </c>
      <c r="M73" s="10">
        <v>2</v>
      </c>
      <c r="O73" s="9" t="s">
        <v>27</v>
      </c>
      <c r="P73" s="10">
        <v>64</v>
      </c>
      <c r="Q73" s="10">
        <v>14</v>
      </c>
      <c r="R73" s="10">
        <v>0</v>
      </c>
      <c r="S73" s="10">
        <v>43</v>
      </c>
      <c r="T73" s="10">
        <v>7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O74" s="9" t="s">
        <v>28</v>
      </c>
      <c r="P74" s="10">
        <v>2</v>
      </c>
      <c r="Q74" s="10">
        <v>0</v>
      </c>
      <c r="R74" s="10">
        <v>0</v>
      </c>
      <c r="S74" s="10">
        <v>1</v>
      </c>
      <c r="T74" s="10">
        <v>1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21</v>
      </c>
      <c r="C76" s="10">
        <v>3</v>
      </c>
      <c r="D76" s="10">
        <v>0</v>
      </c>
      <c r="E76" s="10">
        <v>18</v>
      </c>
      <c r="F76" s="10">
        <v>0</v>
      </c>
      <c r="H76" s="9" t="s">
        <v>30</v>
      </c>
      <c r="I76" s="10">
        <v>65</v>
      </c>
      <c r="J76" s="10">
        <v>0</v>
      </c>
      <c r="K76" s="10">
        <v>0</v>
      </c>
      <c r="L76" s="10">
        <v>65</v>
      </c>
      <c r="M76" s="10">
        <v>1</v>
      </c>
      <c r="O76" s="9" t="s">
        <v>30</v>
      </c>
      <c r="P76" s="10">
        <v>144</v>
      </c>
      <c r="Q76" s="10">
        <v>3</v>
      </c>
      <c r="R76" s="10">
        <v>0</v>
      </c>
      <c r="S76" s="10">
        <v>140</v>
      </c>
      <c r="T76" s="10">
        <v>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59</v>
      </c>
      <c r="C78" s="12">
        <v>28</v>
      </c>
      <c r="D78" s="12">
        <v>14</v>
      </c>
      <c r="E78" s="12">
        <v>14</v>
      </c>
      <c r="F78" s="12">
        <v>3</v>
      </c>
      <c r="H78" s="11" t="s">
        <v>32</v>
      </c>
      <c r="I78" s="12">
        <f>J78+K78+L78+M78</f>
        <v>90</v>
      </c>
      <c r="J78" s="12">
        <v>31</v>
      </c>
      <c r="K78" s="12">
        <v>30</v>
      </c>
      <c r="L78" s="12">
        <v>17</v>
      </c>
      <c r="M78" s="12">
        <v>12</v>
      </c>
      <c r="O78" s="11" t="s">
        <v>32</v>
      </c>
      <c r="P78" s="12">
        <v>8</v>
      </c>
      <c r="Q78" s="12">
        <v>4</v>
      </c>
      <c r="R78" s="12">
        <v>0</v>
      </c>
      <c r="S78" s="12">
        <v>4</v>
      </c>
      <c r="T78" s="12">
        <v>0</v>
      </c>
    </row>
    <row r="79" spans="1:20" x14ac:dyDescent="0.3">
      <c r="A79" s="13" t="s">
        <v>33</v>
      </c>
      <c r="B79" s="14">
        <v>38</v>
      </c>
      <c r="C79" s="14">
        <v>18</v>
      </c>
      <c r="D79" s="14">
        <v>8</v>
      </c>
      <c r="E79" s="14">
        <v>10</v>
      </c>
      <c r="F79" s="14">
        <v>2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3</v>
      </c>
      <c r="Q79" s="14">
        <v>2</v>
      </c>
      <c r="R79" s="14">
        <v>0</v>
      </c>
      <c r="S79" s="14">
        <v>1</v>
      </c>
      <c r="T79" s="14">
        <v>0</v>
      </c>
    </row>
    <row r="80" spans="1:20" x14ac:dyDescent="0.3">
      <c r="A80" s="13" t="s">
        <v>34</v>
      </c>
      <c r="B80" s="14">
        <v>21</v>
      </c>
      <c r="C80" s="14">
        <v>10</v>
      </c>
      <c r="D80" s="14">
        <v>6</v>
      </c>
      <c r="E80" s="14">
        <v>4</v>
      </c>
      <c r="F80" s="14">
        <v>1</v>
      </c>
      <c r="H80" s="13" t="s">
        <v>34</v>
      </c>
      <c r="I80" s="14">
        <v>48</v>
      </c>
      <c r="J80" s="14">
        <v>31</v>
      </c>
      <c r="K80" s="14">
        <v>30</v>
      </c>
      <c r="L80" s="14">
        <v>17</v>
      </c>
      <c r="M80" s="14">
        <v>12</v>
      </c>
      <c r="O80" s="13" t="s">
        <v>34</v>
      </c>
      <c r="P80" s="14">
        <v>5</v>
      </c>
      <c r="Q80" s="14">
        <v>2</v>
      </c>
      <c r="R80" s="14">
        <v>0</v>
      </c>
      <c r="S80" s="14">
        <v>3</v>
      </c>
      <c r="T80" s="14">
        <v>0</v>
      </c>
    </row>
    <row r="81" spans="1:20" x14ac:dyDescent="0.3">
      <c r="A81" s="15" t="s">
        <v>35</v>
      </c>
      <c r="B81" s="16">
        <v>1</v>
      </c>
      <c r="C81" s="16">
        <v>0</v>
      </c>
      <c r="D81" s="16">
        <v>1</v>
      </c>
      <c r="E81" s="16">
        <v>0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2</v>
      </c>
      <c r="Q81" s="16">
        <v>1</v>
      </c>
      <c r="R81" s="16">
        <v>0</v>
      </c>
      <c r="S81" s="16">
        <v>1</v>
      </c>
      <c r="T81" s="16">
        <v>0</v>
      </c>
    </row>
    <row r="82" spans="1:20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1</v>
      </c>
      <c r="C83" s="18">
        <v>0</v>
      </c>
      <c r="D83" s="18">
        <v>1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2</v>
      </c>
      <c r="Q83" s="112">
        <v>1</v>
      </c>
      <c r="R83" s="112">
        <v>0</v>
      </c>
      <c r="S83" s="112">
        <v>1</v>
      </c>
      <c r="T83" s="112">
        <v>0</v>
      </c>
    </row>
    <row r="84" spans="1:20" x14ac:dyDescent="0.3">
      <c r="A84" s="17" t="s">
        <v>38</v>
      </c>
      <c r="B84" s="167" t="s">
        <v>89</v>
      </c>
      <c r="C84" s="168"/>
      <c r="D84" s="168"/>
      <c r="E84" s="168"/>
      <c r="F84" s="168"/>
      <c r="H84" s="17" t="s">
        <v>38</v>
      </c>
      <c r="I84" s="172" t="s">
        <v>1272</v>
      </c>
      <c r="J84" s="173"/>
      <c r="K84" s="173"/>
      <c r="L84" s="173"/>
      <c r="M84" s="173"/>
      <c r="O84" s="17" t="s">
        <v>38</v>
      </c>
      <c r="P84" s="172" t="s">
        <v>89</v>
      </c>
      <c r="Q84" s="173"/>
      <c r="R84" s="173"/>
      <c r="S84" s="173"/>
      <c r="T84" s="173"/>
    </row>
    <row r="85" spans="1:20" ht="19.8" x14ac:dyDescent="0.3">
      <c r="A85" s="170">
        <v>46094</v>
      </c>
      <c r="B85" s="168"/>
      <c r="C85" s="168"/>
      <c r="D85" s="168"/>
      <c r="E85" s="168"/>
      <c r="F85" s="168"/>
      <c r="H85" s="171">
        <v>46118</v>
      </c>
      <c r="I85" s="174"/>
      <c r="J85" s="174"/>
      <c r="K85" s="174"/>
      <c r="L85" s="174"/>
      <c r="M85" s="174"/>
      <c r="O85" s="170">
        <v>46149</v>
      </c>
      <c r="P85" s="170"/>
      <c r="Q85" s="170"/>
      <c r="R85" s="170"/>
      <c r="S85" s="170"/>
      <c r="T85" s="170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871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870</v>
      </c>
      <c r="T86" s="1" t="s">
        <v>4</v>
      </c>
    </row>
    <row r="87" spans="1:20" x14ac:dyDescent="0.3">
      <c r="A87" s="2" t="s">
        <v>5</v>
      </c>
      <c r="B87" s="3">
        <v>4803</v>
      </c>
      <c r="C87" s="3">
        <v>1966</v>
      </c>
      <c r="D87" s="3">
        <v>1671</v>
      </c>
      <c r="E87" s="3">
        <v>861</v>
      </c>
      <c r="F87" s="3">
        <v>305</v>
      </c>
      <c r="H87" s="2" t="s">
        <v>5</v>
      </c>
      <c r="I87" s="3">
        <f>J87+K87+L87+M87</f>
        <v>2319</v>
      </c>
      <c r="J87" s="3">
        <v>519</v>
      </c>
      <c r="K87" s="3">
        <v>983</v>
      </c>
      <c r="L87" s="3">
        <v>132</v>
      </c>
      <c r="M87" s="3">
        <v>685</v>
      </c>
      <c r="O87" s="2" t="s">
        <v>5</v>
      </c>
      <c r="P87" s="3">
        <v>3899</v>
      </c>
      <c r="Q87" s="3">
        <v>2276</v>
      </c>
      <c r="R87" s="3">
        <v>0</v>
      </c>
      <c r="S87" s="3">
        <v>0</v>
      </c>
      <c r="T87" s="3">
        <v>1623</v>
      </c>
    </row>
    <row r="88" spans="1:20" x14ac:dyDescent="0.3">
      <c r="A88" s="2" t="s">
        <v>6</v>
      </c>
      <c r="B88" s="3">
        <v>92</v>
      </c>
      <c r="C88" s="6">
        <v>27</v>
      </c>
      <c r="D88" s="4">
        <v>9</v>
      </c>
      <c r="E88" s="5">
        <v>52</v>
      </c>
      <c r="F88" s="3">
        <v>4</v>
      </c>
      <c r="H88" s="2" t="s">
        <v>6</v>
      </c>
      <c r="I88" s="3">
        <f>J88+K88+L88+M88</f>
        <v>54</v>
      </c>
      <c r="J88" s="4">
        <v>8</v>
      </c>
      <c r="K88" s="6">
        <v>14</v>
      </c>
      <c r="L88" s="5">
        <v>20</v>
      </c>
      <c r="M88" s="5">
        <v>12</v>
      </c>
      <c r="O88" s="2" t="s">
        <v>6</v>
      </c>
      <c r="P88" s="3">
        <v>46</v>
      </c>
      <c r="Q88" s="5">
        <v>23</v>
      </c>
      <c r="R88" s="3">
        <v>0</v>
      </c>
      <c r="S88" s="3">
        <v>0</v>
      </c>
      <c r="T88" s="5">
        <v>23</v>
      </c>
    </row>
    <row r="89" spans="1:20" x14ac:dyDescent="0.3">
      <c r="A89" s="2" t="s">
        <v>7</v>
      </c>
      <c r="B89" s="3" t="s">
        <v>475</v>
      </c>
      <c r="C89" s="6" t="s">
        <v>240</v>
      </c>
      <c r="D89" s="3" t="s">
        <v>354</v>
      </c>
      <c r="E89" s="5" t="s">
        <v>558</v>
      </c>
      <c r="F89" s="4" t="s">
        <v>559</v>
      </c>
      <c r="H89" s="2" t="s">
        <v>7</v>
      </c>
      <c r="I89" s="48">
        <f>I88/I87</f>
        <v>2.3285899094437259E-2</v>
      </c>
      <c r="J89" s="6" t="s">
        <v>510</v>
      </c>
      <c r="K89" s="4" t="s">
        <v>1296</v>
      </c>
      <c r="L89" s="5" t="s">
        <v>1297</v>
      </c>
      <c r="M89" s="5" t="s">
        <v>117</v>
      </c>
      <c r="O89" s="2" t="s">
        <v>7</v>
      </c>
      <c r="P89" s="3" t="s">
        <v>499</v>
      </c>
      <c r="Q89" s="6" t="s">
        <v>1282</v>
      </c>
      <c r="R89" s="3">
        <v>0</v>
      </c>
      <c r="S89" s="3">
        <v>0</v>
      </c>
      <c r="T89" s="5" t="s">
        <v>1296</v>
      </c>
    </row>
    <row r="90" spans="1:20" x14ac:dyDescent="0.3">
      <c r="A90" s="2" t="s">
        <v>12</v>
      </c>
      <c r="B90" s="3" t="s">
        <v>560</v>
      </c>
      <c r="C90" s="4" t="s">
        <v>416</v>
      </c>
      <c r="D90" s="3" t="s">
        <v>347</v>
      </c>
      <c r="E90" s="5" t="s">
        <v>535</v>
      </c>
      <c r="F90" s="6" t="s">
        <v>452</v>
      </c>
      <c r="H90" s="2" t="s">
        <v>12</v>
      </c>
      <c r="I90" s="48">
        <f>I93/I87</f>
        <v>9.0556274256144882E-3</v>
      </c>
      <c r="J90" s="4" t="s">
        <v>136</v>
      </c>
      <c r="K90" s="6" t="s">
        <v>74</v>
      </c>
      <c r="L90" s="5" t="s">
        <v>1298</v>
      </c>
      <c r="M90" s="5" t="s">
        <v>300</v>
      </c>
      <c r="O90" s="2" t="s">
        <v>12</v>
      </c>
      <c r="P90" s="3" t="s">
        <v>41</v>
      </c>
      <c r="Q90" s="6" t="s">
        <v>186</v>
      </c>
      <c r="R90" s="3">
        <v>0</v>
      </c>
      <c r="S90" s="3">
        <v>0</v>
      </c>
      <c r="T90" s="5" t="s">
        <v>248</v>
      </c>
    </row>
    <row r="91" spans="1:20" x14ac:dyDescent="0.3">
      <c r="A91" s="2" t="s">
        <v>17</v>
      </c>
      <c r="B91" s="3" t="s">
        <v>87</v>
      </c>
      <c r="C91" s="6" t="s">
        <v>62</v>
      </c>
      <c r="D91" s="3" t="s">
        <v>147</v>
      </c>
      <c r="E91" s="5" t="s">
        <v>407</v>
      </c>
      <c r="F91" s="4" t="s">
        <v>418</v>
      </c>
      <c r="H91" s="2" t="s">
        <v>17</v>
      </c>
      <c r="I91" s="48">
        <f>I99/I87</f>
        <v>1.3367830961621389E-2</v>
      </c>
      <c r="J91" s="6" t="s">
        <v>582</v>
      </c>
      <c r="K91" s="4" t="s">
        <v>229</v>
      </c>
      <c r="L91" s="5" t="s">
        <v>302</v>
      </c>
      <c r="M91" s="5" t="s">
        <v>46</v>
      </c>
      <c r="O91" s="2" t="s">
        <v>17</v>
      </c>
      <c r="P91" s="3" t="s">
        <v>158</v>
      </c>
      <c r="Q91" s="6" t="s">
        <v>257</v>
      </c>
      <c r="R91" s="3" t="s">
        <v>25</v>
      </c>
      <c r="S91" s="3" t="s">
        <v>25</v>
      </c>
      <c r="T91" s="5" t="s">
        <v>268</v>
      </c>
    </row>
    <row r="92" spans="1:20" x14ac:dyDescent="0.3">
      <c r="A92" s="2" t="s">
        <v>22</v>
      </c>
      <c r="B92" s="3" t="s">
        <v>136</v>
      </c>
      <c r="C92" s="4" t="s">
        <v>99</v>
      </c>
      <c r="D92" s="3" t="s">
        <v>268</v>
      </c>
      <c r="E92" s="6" t="s">
        <v>266</v>
      </c>
      <c r="F92" s="5" t="s">
        <v>416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62</v>
      </c>
      <c r="C93" s="8">
        <v>13</v>
      </c>
      <c r="D93" s="8">
        <v>4</v>
      </c>
      <c r="E93" s="8">
        <v>42</v>
      </c>
      <c r="F93" s="8">
        <v>3</v>
      </c>
      <c r="H93" s="7" t="s">
        <v>26</v>
      </c>
      <c r="I93" s="8">
        <f>J93+K93+L93+M93</f>
        <v>21</v>
      </c>
      <c r="J93" s="8">
        <v>1</v>
      </c>
      <c r="K93" s="8">
        <v>3</v>
      </c>
      <c r="L93" s="8">
        <v>12</v>
      </c>
      <c r="M93" s="8">
        <v>5</v>
      </c>
      <c r="O93" s="7" t="s">
        <v>26</v>
      </c>
      <c r="P93" s="8">
        <v>44</v>
      </c>
      <c r="Q93" s="8">
        <v>22</v>
      </c>
      <c r="R93" s="8">
        <v>0</v>
      </c>
      <c r="S93" s="8">
        <v>0</v>
      </c>
      <c r="T93" s="8">
        <v>22</v>
      </c>
    </row>
    <row r="94" spans="1:20" x14ac:dyDescent="0.3">
      <c r="A94" s="9" t="s">
        <v>27</v>
      </c>
      <c r="B94" s="10">
        <v>36</v>
      </c>
      <c r="C94" s="10">
        <v>13</v>
      </c>
      <c r="D94" s="10">
        <v>4</v>
      </c>
      <c r="E94" s="10">
        <v>16</v>
      </c>
      <c r="F94" s="10">
        <v>3</v>
      </c>
      <c r="H94" s="9" t="s">
        <v>27</v>
      </c>
      <c r="I94" s="10">
        <v>5</v>
      </c>
      <c r="J94" s="10">
        <v>1</v>
      </c>
      <c r="K94" s="10">
        <v>3</v>
      </c>
      <c r="L94" s="10">
        <v>1</v>
      </c>
      <c r="M94" s="10">
        <v>4</v>
      </c>
      <c r="O94" s="9" t="s">
        <v>27</v>
      </c>
      <c r="P94" s="10">
        <v>37</v>
      </c>
      <c r="Q94" s="10">
        <v>18</v>
      </c>
      <c r="R94" s="10">
        <v>0</v>
      </c>
      <c r="S94" s="10">
        <v>0</v>
      </c>
      <c r="T94" s="10">
        <v>19</v>
      </c>
    </row>
    <row r="95" spans="1:20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2</v>
      </c>
      <c r="Q95" s="10">
        <v>2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26</v>
      </c>
      <c r="C97" s="10">
        <v>0</v>
      </c>
      <c r="D97" s="10">
        <v>0</v>
      </c>
      <c r="E97" s="10">
        <v>26</v>
      </c>
      <c r="F97" s="10">
        <v>0</v>
      </c>
      <c r="H97" s="9" t="s">
        <v>30</v>
      </c>
      <c r="I97" s="10">
        <v>11</v>
      </c>
      <c r="J97" s="10">
        <v>0</v>
      </c>
      <c r="K97" s="10">
        <v>0</v>
      </c>
      <c r="L97" s="10">
        <v>11</v>
      </c>
      <c r="M97" s="10">
        <v>1</v>
      </c>
      <c r="O97" s="9" t="s">
        <v>30</v>
      </c>
      <c r="P97" s="10">
        <v>5</v>
      </c>
      <c r="Q97" s="10">
        <v>2</v>
      </c>
      <c r="R97" s="10">
        <v>0</v>
      </c>
      <c r="S97" s="10">
        <v>0</v>
      </c>
      <c r="T97" s="10">
        <v>3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30</v>
      </c>
      <c r="C99" s="12">
        <v>14</v>
      </c>
      <c r="D99" s="12">
        <v>5</v>
      </c>
      <c r="E99" s="12">
        <v>10</v>
      </c>
      <c r="F99" s="12">
        <v>1</v>
      </c>
      <c r="H99" s="11" t="s">
        <v>32</v>
      </c>
      <c r="I99" s="12">
        <f>J99+K99+L99+M99</f>
        <v>31</v>
      </c>
      <c r="J99" s="12">
        <v>7</v>
      </c>
      <c r="K99" s="12">
        <v>9</v>
      </c>
      <c r="L99" s="12">
        <v>8</v>
      </c>
      <c r="M99" s="12">
        <v>7</v>
      </c>
      <c r="O99" s="11" t="s">
        <v>32</v>
      </c>
      <c r="P99" s="12">
        <v>2</v>
      </c>
      <c r="Q99" s="12">
        <v>1</v>
      </c>
      <c r="R99" s="12">
        <v>0</v>
      </c>
      <c r="S99" s="12">
        <v>0</v>
      </c>
      <c r="T99" s="12">
        <v>1</v>
      </c>
    </row>
    <row r="100" spans="1:20" x14ac:dyDescent="0.3">
      <c r="A100" s="13" t="s">
        <v>33</v>
      </c>
      <c r="B100" s="14">
        <v>20</v>
      </c>
      <c r="C100" s="14">
        <v>10</v>
      </c>
      <c r="D100" s="14">
        <v>1</v>
      </c>
      <c r="E100" s="14">
        <v>8</v>
      </c>
      <c r="F100" s="14">
        <v>1</v>
      </c>
      <c r="H100" s="13" t="s">
        <v>33</v>
      </c>
      <c r="I100" s="14">
        <v>1</v>
      </c>
      <c r="J100" s="14">
        <v>1</v>
      </c>
      <c r="K100" s="14">
        <v>0</v>
      </c>
      <c r="L100" s="14">
        <v>0</v>
      </c>
      <c r="M100" s="14">
        <v>1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10</v>
      </c>
      <c r="C101" s="14">
        <v>4</v>
      </c>
      <c r="D101" s="14">
        <v>4</v>
      </c>
      <c r="E101" s="14">
        <v>2</v>
      </c>
      <c r="F101" s="14">
        <v>0</v>
      </c>
      <c r="H101" s="13" t="s">
        <v>34</v>
      </c>
      <c r="I101" s="14">
        <v>23</v>
      </c>
      <c r="J101" s="14">
        <v>6</v>
      </c>
      <c r="K101" s="14">
        <v>9</v>
      </c>
      <c r="L101" s="14">
        <v>8</v>
      </c>
      <c r="M101" s="14">
        <v>6</v>
      </c>
      <c r="O101" s="13" t="s">
        <v>34</v>
      </c>
      <c r="P101" s="14">
        <v>2</v>
      </c>
      <c r="Q101" s="14">
        <v>1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9</v>
      </c>
      <c r="C102" s="16">
        <v>4</v>
      </c>
      <c r="D102" s="16">
        <v>1</v>
      </c>
      <c r="E102" s="16">
        <v>2</v>
      </c>
      <c r="F102" s="16">
        <v>2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9</v>
      </c>
      <c r="C104" s="18">
        <v>4</v>
      </c>
      <c r="D104" s="18">
        <v>1</v>
      </c>
      <c r="E104" s="18">
        <v>2</v>
      </c>
      <c r="F104" s="18">
        <v>2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7" t="s">
        <v>89</v>
      </c>
      <c r="C105" s="168"/>
      <c r="D105" s="168"/>
      <c r="E105" s="168"/>
      <c r="F105" s="168"/>
      <c r="H105" s="17" t="s">
        <v>38</v>
      </c>
      <c r="I105" s="172" t="s">
        <v>1272</v>
      </c>
      <c r="J105" s="173"/>
      <c r="K105" s="173"/>
      <c r="L105" s="173"/>
      <c r="M105" s="173"/>
      <c r="O105" s="17" t="s">
        <v>38</v>
      </c>
      <c r="P105" s="175" t="s">
        <v>89</v>
      </c>
      <c r="Q105" s="176"/>
      <c r="R105" s="176"/>
      <c r="S105" s="176"/>
      <c r="T105" s="176"/>
    </row>
    <row r="106" spans="1:20" ht="19.8" x14ac:dyDescent="0.3">
      <c r="A106" s="170">
        <v>46095</v>
      </c>
      <c r="B106" s="168"/>
      <c r="C106" s="168"/>
      <c r="D106" s="168"/>
      <c r="E106" s="168"/>
      <c r="F106" s="168"/>
      <c r="H106" s="170">
        <v>46119</v>
      </c>
      <c r="I106" s="169"/>
      <c r="J106" s="169"/>
      <c r="K106" s="169"/>
      <c r="L106" s="169"/>
      <c r="M106" s="169"/>
      <c r="O106" s="170">
        <v>46150</v>
      </c>
      <c r="P106" s="168"/>
      <c r="Q106" s="168"/>
      <c r="R106" s="168"/>
      <c r="S106" s="168"/>
      <c r="T106" s="168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870</v>
      </c>
      <c r="M107" s="1" t="s">
        <v>871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5046</v>
      </c>
      <c r="C108" s="3">
        <v>1885</v>
      </c>
      <c r="D108" s="3">
        <v>1552</v>
      </c>
      <c r="E108" s="3">
        <v>1083</v>
      </c>
      <c r="F108" s="3">
        <v>526</v>
      </c>
      <c r="H108" s="2" t="s">
        <v>5</v>
      </c>
      <c r="I108" s="3">
        <f>J108+K108+M108</f>
        <v>4571</v>
      </c>
      <c r="J108" s="3">
        <v>1073</v>
      </c>
      <c r="K108" s="3">
        <v>1957</v>
      </c>
      <c r="L108" s="3">
        <v>0</v>
      </c>
      <c r="M108" s="3">
        <v>1541</v>
      </c>
      <c r="O108" s="2" t="s">
        <v>5</v>
      </c>
      <c r="P108" s="3">
        <v>5519</v>
      </c>
      <c r="Q108" s="3">
        <v>2170</v>
      </c>
      <c r="R108" s="3">
        <v>1885</v>
      </c>
      <c r="S108" s="3">
        <v>1</v>
      </c>
      <c r="T108" s="3">
        <v>1463</v>
      </c>
    </row>
    <row r="109" spans="1:20" x14ac:dyDescent="0.3">
      <c r="A109" s="2" t="s">
        <v>6</v>
      </c>
      <c r="B109" s="3">
        <v>273</v>
      </c>
      <c r="C109" s="6">
        <v>25</v>
      </c>
      <c r="D109" s="3">
        <v>8</v>
      </c>
      <c r="E109" s="5">
        <v>228</v>
      </c>
      <c r="F109" s="4">
        <v>12</v>
      </c>
      <c r="H109" s="2" t="s">
        <v>6</v>
      </c>
      <c r="I109" s="3">
        <f>J109+K109+M109</f>
        <v>22</v>
      </c>
      <c r="J109" s="6">
        <v>4</v>
      </c>
      <c r="K109" s="5">
        <v>7</v>
      </c>
      <c r="L109" s="3">
        <v>0</v>
      </c>
      <c r="M109" s="5">
        <v>11</v>
      </c>
      <c r="O109" s="2" t="s">
        <v>6</v>
      </c>
      <c r="P109" s="3">
        <v>50</v>
      </c>
      <c r="Q109" s="6">
        <v>17</v>
      </c>
      <c r="R109" s="5">
        <v>20</v>
      </c>
      <c r="S109" s="3">
        <v>1</v>
      </c>
      <c r="T109" s="4">
        <v>12</v>
      </c>
    </row>
    <row r="110" spans="1:20" x14ac:dyDescent="0.3">
      <c r="A110" s="2" t="s">
        <v>7</v>
      </c>
      <c r="B110" s="3" t="s">
        <v>255</v>
      </c>
      <c r="C110" s="4" t="s">
        <v>509</v>
      </c>
      <c r="D110" s="3" t="s">
        <v>591</v>
      </c>
      <c r="E110" s="5" t="s">
        <v>592</v>
      </c>
      <c r="F110" s="6" t="s">
        <v>201</v>
      </c>
      <c r="H110" s="2" t="s">
        <v>7</v>
      </c>
      <c r="I110" s="48">
        <f>I109/I108</f>
        <v>4.8129512141763288E-3</v>
      </c>
      <c r="J110" s="5" t="s">
        <v>200</v>
      </c>
      <c r="K110" s="6" t="s">
        <v>134</v>
      </c>
      <c r="L110" s="3">
        <v>0</v>
      </c>
      <c r="M110" s="5" t="s">
        <v>62</v>
      </c>
      <c r="O110" s="2" t="s">
        <v>7</v>
      </c>
      <c r="P110" s="3" t="s">
        <v>887</v>
      </c>
      <c r="Q110" s="3" t="s">
        <v>1087</v>
      </c>
      <c r="R110" s="6" t="s">
        <v>405</v>
      </c>
      <c r="S110" s="5" t="s">
        <v>48</v>
      </c>
      <c r="T110" s="4" t="s">
        <v>371</v>
      </c>
    </row>
    <row r="111" spans="1:20" x14ac:dyDescent="0.3">
      <c r="A111" s="2" t="s">
        <v>12</v>
      </c>
      <c r="B111" s="3" t="s">
        <v>593</v>
      </c>
      <c r="C111" s="4" t="s">
        <v>493</v>
      </c>
      <c r="D111" s="3" t="s">
        <v>136</v>
      </c>
      <c r="E111" s="5" t="s">
        <v>594</v>
      </c>
      <c r="F111" s="6" t="s">
        <v>537</v>
      </c>
      <c r="H111" s="2" t="s">
        <v>12</v>
      </c>
      <c r="I111" s="48">
        <f>I114/I108</f>
        <v>2.4064756070881644E-3</v>
      </c>
      <c r="J111" s="5" t="s">
        <v>595</v>
      </c>
      <c r="K111" s="3" t="s">
        <v>25</v>
      </c>
      <c r="L111" s="3">
        <v>0</v>
      </c>
      <c r="M111" s="5" t="s">
        <v>591</v>
      </c>
      <c r="O111" s="2" t="s">
        <v>12</v>
      </c>
      <c r="P111" s="3" t="s">
        <v>137</v>
      </c>
      <c r="Q111" s="4" t="s">
        <v>654</v>
      </c>
      <c r="R111" s="5" t="s">
        <v>580</v>
      </c>
      <c r="S111" s="3" t="s">
        <v>25</v>
      </c>
      <c r="T111" s="6" t="s">
        <v>863</v>
      </c>
    </row>
    <row r="112" spans="1:20" x14ac:dyDescent="0.3">
      <c r="A112" s="2" t="s">
        <v>17</v>
      </c>
      <c r="B112" s="3" t="s">
        <v>134</v>
      </c>
      <c r="C112" s="5" t="s">
        <v>78</v>
      </c>
      <c r="D112" s="4" t="s">
        <v>146</v>
      </c>
      <c r="E112" s="3" t="s">
        <v>595</v>
      </c>
      <c r="F112" s="6" t="s">
        <v>150</v>
      </c>
      <c r="H112" s="2" t="s">
        <v>17</v>
      </c>
      <c r="I112" s="48">
        <f>I120/I108</f>
        <v>2.4064756070881644E-3</v>
      </c>
      <c r="J112" s="6" t="s">
        <v>84</v>
      </c>
      <c r="K112" s="5" t="s">
        <v>134</v>
      </c>
      <c r="L112" s="3" t="s">
        <v>25</v>
      </c>
      <c r="M112" s="5" t="s">
        <v>136</v>
      </c>
      <c r="O112" s="2" t="s">
        <v>17</v>
      </c>
      <c r="P112" s="3" t="s">
        <v>418</v>
      </c>
      <c r="Q112" s="4" t="s">
        <v>595</v>
      </c>
      <c r="R112" s="6" t="s">
        <v>200</v>
      </c>
      <c r="S112" s="5" t="s">
        <v>48</v>
      </c>
      <c r="T112" s="3" t="s">
        <v>88</v>
      </c>
    </row>
    <row r="113" spans="1:20" x14ac:dyDescent="0.3">
      <c r="A113" s="2" t="s">
        <v>22</v>
      </c>
      <c r="B113" s="3" t="s">
        <v>591</v>
      </c>
      <c r="C113" s="5" t="s">
        <v>137</v>
      </c>
      <c r="D113" s="6" t="s">
        <v>137</v>
      </c>
      <c r="E113" s="3" t="s">
        <v>595</v>
      </c>
      <c r="F113" s="4" t="s">
        <v>596</v>
      </c>
      <c r="H113" s="2" t="s">
        <v>22</v>
      </c>
      <c r="I113" s="3" t="s">
        <v>552</v>
      </c>
      <c r="J113" s="5" t="s">
        <v>84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138</v>
      </c>
      <c r="Q113" s="6" t="s">
        <v>84</v>
      </c>
      <c r="R113" s="4" t="s">
        <v>158</v>
      </c>
      <c r="S113" s="5" t="s">
        <v>48</v>
      </c>
      <c r="T113" s="3" t="s">
        <v>25</v>
      </c>
    </row>
    <row r="114" spans="1:20" x14ac:dyDescent="0.3">
      <c r="A114" s="7" t="s">
        <v>26</v>
      </c>
      <c r="B114" s="8">
        <v>255</v>
      </c>
      <c r="C114" s="8">
        <v>17</v>
      </c>
      <c r="D114" s="8">
        <v>3</v>
      </c>
      <c r="E114" s="8">
        <v>225</v>
      </c>
      <c r="F114" s="8">
        <v>10</v>
      </c>
      <c r="H114" s="7" t="s">
        <v>26</v>
      </c>
      <c r="I114" s="8">
        <v>11</v>
      </c>
      <c r="J114" s="8">
        <v>3</v>
      </c>
      <c r="K114" s="8">
        <v>0</v>
      </c>
      <c r="L114" s="8">
        <v>0</v>
      </c>
      <c r="M114" s="8">
        <v>8</v>
      </c>
      <c r="O114" s="7" t="s">
        <v>26</v>
      </c>
      <c r="P114" s="8">
        <v>32</v>
      </c>
      <c r="Q114" s="8">
        <v>11</v>
      </c>
      <c r="R114" s="8">
        <v>13</v>
      </c>
      <c r="S114" s="8">
        <v>0</v>
      </c>
      <c r="T114" s="8">
        <v>8</v>
      </c>
    </row>
    <row r="115" spans="1:20" x14ac:dyDescent="0.3">
      <c r="A115" s="9" t="s">
        <v>27</v>
      </c>
      <c r="B115" s="10">
        <v>58</v>
      </c>
      <c r="C115" s="10">
        <v>15</v>
      </c>
      <c r="D115" s="10">
        <v>3</v>
      </c>
      <c r="E115" s="10">
        <v>31</v>
      </c>
      <c r="F115" s="10">
        <v>9</v>
      </c>
      <c r="H115" s="9" t="s">
        <v>27</v>
      </c>
      <c r="I115" s="10">
        <v>8</v>
      </c>
      <c r="J115" s="10">
        <v>3</v>
      </c>
      <c r="K115" s="10">
        <v>0</v>
      </c>
      <c r="L115" s="10">
        <v>0</v>
      </c>
      <c r="M115" s="10">
        <v>5</v>
      </c>
      <c r="O115" s="9" t="s">
        <v>27</v>
      </c>
      <c r="P115" s="10">
        <v>26</v>
      </c>
      <c r="Q115" s="10">
        <v>7</v>
      </c>
      <c r="R115" s="10">
        <v>13</v>
      </c>
      <c r="S115" s="10">
        <v>0</v>
      </c>
      <c r="T115" s="10">
        <v>6</v>
      </c>
    </row>
    <row r="116" spans="1:20" x14ac:dyDescent="0.3">
      <c r="A116" s="9" t="s">
        <v>28</v>
      </c>
      <c r="B116" s="10">
        <v>2</v>
      </c>
      <c r="C116" s="10">
        <v>1</v>
      </c>
      <c r="D116" s="10">
        <v>0</v>
      </c>
      <c r="E116" s="10">
        <v>1</v>
      </c>
      <c r="F116" s="10">
        <v>0</v>
      </c>
      <c r="H116" s="9" t="s">
        <v>28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O116" s="9" t="s">
        <v>28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195</v>
      </c>
      <c r="C118" s="10">
        <v>1</v>
      </c>
      <c r="D118" s="10">
        <v>0</v>
      </c>
      <c r="E118" s="10">
        <v>193</v>
      </c>
      <c r="F118" s="10">
        <v>1</v>
      </c>
      <c r="H118" s="9" t="s">
        <v>30</v>
      </c>
      <c r="I118" s="10">
        <v>3</v>
      </c>
      <c r="J118" s="10">
        <v>0</v>
      </c>
      <c r="K118" s="10">
        <v>0</v>
      </c>
      <c r="L118" s="10">
        <v>0</v>
      </c>
      <c r="M118" s="10">
        <v>3</v>
      </c>
      <c r="O118" s="9" t="s">
        <v>30</v>
      </c>
      <c r="P118" s="10">
        <v>6</v>
      </c>
      <c r="Q118" s="10">
        <v>4</v>
      </c>
      <c r="R118" s="10">
        <v>0</v>
      </c>
      <c r="S118" s="10">
        <v>0</v>
      </c>
      <c r="T118" s="10">
        <v>2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18</v>
      </c>
      <c r="C120" s="12">
        <v>8</v>
      </c>
      <c r="D120" s="12">
        <v>5</v>
      </c>
      <c r="E120" s="12">
        <v>3</v>
      </c>
      <c r="F120" s="12">
        <v>2</v>
      </c>
      <c r="H120" s="11" t="s">
        <v>32</v>
      </c>
      <c r="I120" s="12">
        <v>11</v>
      </c>
      <c r="J120" s="12">
        <v>1</v>
      </c>
      <c r="K120" s="12">
        <v>7</v>
      </c>
      <c r="L120" s="12">
        <v>0</v>
      </c>
      <c r="M120" s="12">
        <v>3</v>
      </c>
      <c r="O120" s="11" t="s">
        <v>32</v>
      </c>
      <c r="P120" s="12">
        <v>18</v>
      </c>
      <c r="Q120" s="12">
        <v>6</v>
      </c>
      <c r="R120" s="12">
        <v>7</v>
      </c>
      <c r="S120" s="12">
        <v>1</v>
      </c>
      <c r="T120" s="12">
        <v>4</v>
      </c>
    </row>
    <row r="121" spans="1:20" x14ac:dyDescent="0.3">
      <c r="A121" s="13" t="s">
        <v>33</v>
      </c>
      <c r="B121" s="14">
        <v>4</v>
      </c>
      <c r="C121" s="14">
        <v>3</v>
      </c>
      <c r="D121" s="14">
        <v>1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3</v>
      </c>
      <c r="Q121" s="14">
        <v>2</v>
      </c>
      <c r="R121" s="14">
        <v>0</v>
      </c>
      <c r="S121" s="14">
        <v>0</v>
      </c>
      <c r="T121" s="14">
        <v>1</v>
      </c>
    </row>
    <row r="122" spans="1:20" x14ac:dyDescent="0.3">
      <c r="A122" s="13" t="s">
        <v>34</v>
      </c>
      <c r="B122" s="14">
        <v>14</v>
      </c>
      <c r="C122" s="14">
        <v>5</v>
      </c>
      <c r="D122" s="14">
        <v>4</v>
      </c>
      <c r="E122" s="14">
        <v>3</v>
      </c>
      <c r="F122" s="14">
        <v>2</v>
      </c>
      <c r="H122" s="13" t="s">
        <v>34</v>
      </c>
      <c r="I122" s="14">
        <v>11</v>
      </c>
      <c r="J122" s="14">
        <v>1</v>
      </c>
      <c r="K122" s="14">
        <v>7</v>
      </c>
      <c r="L122" s="14">
        <v>0</v>
      </c>
      <c r="M122" s="14">
        <v>3</v>
      </c>
      <c r="O122" s="13" t="s">
        <v>34</v>
      </c>
      <c r="P122" s="14">
        <v>15</v>
      </c>
      <c r="Q122" s="14">
        <v>4</v>
      </c>
      <c r="R122" s="14">
        <v>7</v>
      </c>
      <c r="S122" s="14">
        <v>1</v>
      </c>
      <c r="T122" s="14">
        <v>3</v>
      </c>
    </row>
    <row r="123" spans="1:20" x14ac:dyDescent="0.3">
      <c r="A123" s="15" t="s">
        <v>35</v>
      </c>
      <c r="B123" s="16">
        <v>26</v>
      </c>
      <c r="C123" s="16">
        <v>11</v>
      </c>
      <c r="D123" s="16">
        <v>9</v>
      </c>
      <c r="E123" s="16">
        <v>3</v>
      </c>
      <c r="F123" s="16">
        <v>3</v>
      </c>
      <c r="H123" s="15" t="s">
        <v>35</v>
      </c>
      <c r="I123" s="16">
        <v>1</v>
      </c>
      <c r="J123" s="16">
        <v>1</v>
      </c>
      <c r="K123" s="16">
        <v>0</v>
      </c>
      <c r="L123" s="16">
        <v>0</v>
      </c>
      <c r="M123" s="16">
        <v>0</v>
      </c>
      <c r="O123" s="15" t="s">
        <v>35</v>
      </c>
      <c r="P123" s="16">
        <v>4</v>
      </c>
      <c r="Q123" s="16">
        <v>2</v>
      </c>
      <c r="R123" s="16">
        <v>1</v>
      </c>
      <c r="S123" s="16">
        <v>1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26</v>
      </c>
      <c r="C125" s="18">
        <v>11</v>
      </c>
      <c r="D125" s="18">
        <v>9</v>
      </c>
      <c r="E125" s="18">
        <v>3</v>
      </c>
      <c r="F125" s="18">
        <v>3</v>
      </c>
      <c r="H125" s="17" t="s">
        <v>37</v>
      </c>
      <c r="I125" s="78">
        <v>1</v>
      </c>
      <c r="J125" s="78">
        <v>1</v>
      </c>
      <c r="K125" s="78">
        <v>0</v>
      </c>
      <c r="L125" s="78">
        <v>0</v>
      </c>
      <c r="M125" s="78">
        <v>0</v>
      </c>
      <c r="O125" s="17" t="s">
        <v>37</v>
      </c>
      <c r="P125" s="112">
        <v>4</v>
      </c>
      <c r="Q125" s="112">
        <v>2</v>
      </c>
      <c r="R125" s="112">
        <v>1</v>
      </c>
      <c r="S125" s="112">
        <v>1</v>
      </c>
      <c r="T125" s="112">
        <v>0</v>
      </c>
    </row>
    <row r="126" spans="1:20" x14ac:dyDescent="0.3">
      <c r="A126" s="17" t="s">
        <v>38</v>
      </c>
      <c r="B126" s="167" t="s">
        <v>89</v>
      </c>
      <c r="C126" s="168"/>
      <c r="D126" s="168"/>
      <c r="E126" s="168"/>
      <c r="F126" s="168"/>
      <c r="H126" s="17" t="s">
        <v>38</v>
      </c>
      <c r="I126" s="175" t="s">
        <v>1272</v>
      </c>
      <c r="J126" s="176"/>
      <c r="K126" s="176"/>
      <c r="L126" s="176"/>
      <c r="M126" s="176"/>
      <c r="O126" s="17" t="s">
        <v>38</v>
      </c>
      <c r="P126" s="167" t="s">
        <v>89</v>
      </c>
      <c r="Q126" s="168"/>
      <c r="R126" s="168"/>
      <c r="S126" s="168"/>
      <c r="T126" s="168"/>
    </row>
    <row r="127" spans="1:20" ht="19.8" x14ac:dyDescent="0.3">
      <c r="A127" s="170">
        <v>46097</v>
      </c>
      <c r="B127" s="168"/>
      <c r="C127" s="168"/>
      <c r="D127" s="168"/>
      <c r="E127" s="168"/>
      <c r="F127" s="168"/>
      <c r="H127" s="171">
        <v>46120</v>
      </c>
      <c r="I127" s="174"/>
      <c r="J127" s="174"/>
      <c r="K127" s="174"/>
      <c r="L127" s="174"/>
      <c r="M127" s="174"/>
      <c r="O127" s="170">
        <v>46151</v>
      </c>
      <c r="P127" s="170"/>
      <c r="Q127" s="170"/>
      <c r="R127" s="170"/>
      <c r="S127" s="170"/>
      <c r="T127" s="170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871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870</v>
      </c>
      <c r="T128" s="1" t="s">
        <v>4</v>
      </c>
    </row>
    <row r="129" spans="1:20" x14ac:dyDescent="0.3">
      <c r="A129" s="2" t="s">
        <v>5</v>
      </c>
      <c r="B129" s="3">
        <v>2649</v>
      </c>
      <c r="C129" s="3">
        <v>1111</v>
      </c>
      <c r="D129" s="3">
        <v>921</v>
      </c>
      <c r="E129" s="3">
        <v>443</v>
      </c>
      <c r="F129" s="3">
        <v>174</v>
      </c>
      <c r="H129" s="2" t="s">
        <v>5</v>
      </c>
      <c r="I129" s="3">
        <f>J129+K129+L129+M129</f>
        <v>5248</v>
      </c>
      <c r="J129" s="3">
        <v>1769</v>
      </c>
      <c r="K129" s="3">
        <v>1812</v>
      </c>
      <c r="L129" s="3">
        <v>65</v>
      </c>
      <c r="M129" s="3">
        <v>1602</v>
      </c>
      <c r="O129" s="2" t="s">
        <v>5</v>
      </c>
      <c r="P129" s="3">
        <v>5679</v>
      </c>
      <c r="Q129" s="3">
        <v>2262</v>
      </c>
      <c r="R129" s="3">
        <v>1937</v>
      </c>
      <c r="S129" s="3">
        <v>0</v>
      </c>
      <c r="T129" s="3">
        <v>1480</v>
      </c>
    </row>
    <row r="130" spans="1:20" x14ac:dyDescent="0.3">
      <c r="A130" s="2" t="s">
        <v>6</v>
      </c>
      <c r="B130" s="3">
        <v>17</v>
      </c>
      <c r="C130" s="6">
        <v>5</v>
      </c>
      <c r="D130" s="4">
        <v>2</v>
      </c>
      <c r="E130" s="5">
        <v>10</v>
      </c>
      <c r="F130" s="3">
        <v>0</v>
      </c>
      <c r="H130" s="2" t="s">
        <v>6</v>
      </c>
      <c r="I130" s="3">
        <f>J130+K130+L130+M130</f>
        <v>60</v>
      </c>
      <c r="J130" s="5">
        <v>11</v>
      </c>
      <c r="K130" s="6">
        <v>23</v>
      </c>
      <c r="L130" s="6">
        <v>1</v>
      </c>
      <c r="M130" s="5">
        <v>25</v>
      </c>
      <c r="O130" s="2" t="s">
        <v>6</v>
      </c>
      <c r="P130" s="3">
        <v>47</v>
      </c>
      <c r="Q130" s="5">
        <v>21</v>
      </c>
      <c r="R130" s="4">
        <v>11</v>
      </c>
      <c r="S130" s="3">
        <v>0</v>
      </c>
      <c r="T130" s="6">
        <v>15</v>
      </c>
    </row>
    <row r="131" spans="1:20" x14ac:dyDescent="0.3">
      <c r="A131" s="2" t="s">
        <v>7</v>
      </c>
      <c r="B131" s="3" t="s">
        <v>42</v>
      </c>
      <c r="C131" s="6" t="s">
        <v>241</v>
      </c>
      <c r="D131" s="4" t="s">
        <v>122</v>
      </c>
      <c r="E131" s="5" t="s">
        <v>403</v>
      </c>
      <c r="F131" s="3" t="s">
        <v>25</v>
      </c>
      <c r="H131" s="2" t="s">
        <v>7</v>
      </c>
      <c r="I131" s="48">
        <f>I130/I129</f>
        <v>1.1432926829268292E-2</v>
      </c>
      <c r="J131" s="6" t="s">
        <v>87</v>
      </c>
      <c r="K131" s="6" t="s">
        <v>851</v>
      </c>
      <c r="L131" s="5" t="s">
        <v>510</v>
      </c>
      <c r="M131" s="5" t="s">
        <v>183</v>
      </c>
      <c r="O131" s="2" t="s">
        <v>7</v>
      </c>
      <c r="P131" s="3" t="s">
        <v>697</v>
      </c>
      <c r="Q131" s="6" t="s">
        <v>850</v>
      </c>
      <c r="R131" s="4" t="s">
        <v>596</v>
      </c>
      <c r="S131" s="3">
        <v>0</v>
      </c>
      <c r="T131" s="5" t="s">
        <v>1282</v>
      </c>
    </row>
    <row r="132" spans="1:20" x14ac:dyDescent="0.3">
      <c r="A132" s="2" t="s">
        <v>12</v>
      </c>
      <c r="B132" s="3" t="s">
        <v>241</v>
      </c>
      <c r="C132" s="6" t="s">
        <v>109</v>
      </c>
      <c r="D132" s="3" t="s">
        <v>25</v>
      </c>
      <c r="E132" s="5" t="s">
        <v>403</v>
      </c>
      <c r="F132" s="3" t="s">
        <v>25</v>
      </c>
      <c r="H132" s="2" t="s">
        <v>12</v>
      </c>
      <c r="I132" s="48">
        <f>I135/I129</f>
        <v>5.1448170731707319E-3</v>
      </c>
      <c r="J132" s="6" t="s">
        <v>100</v>
      </c>
      <c r="K132" s="6" t="s">
        <v>595</v>
      </c>
      <c r="L132" s="5" t="s">
        <v>510</v>
      </c>
      <c r="M132" s="5" t="s">
        <v>468</v>
      </c>
      <c r="O132" s="2" t="s">
        <v>12</v>
      </c>
      <c r="P132" s="3" t="s">
        <v>76</v>
      </c>
      <c r="Q132" s="6" t="s">
        <v>466</v>
      </c>
      <c r="R132" s="4" t="s">
        <v>134</v>
      </c>
      <c r="S132" s="3">
        <v>0</v>
      </c>
      <c r="T132" s="5" t="s">
        <v>551</v>
      </c>
    </row>
    <row r="133" spans="1:20" x14ac:dyDescent="0.3">
      <c r="A133" s="2" t="s">
        <v>17</v>
      </c>
      <c r="B133" s="3" t="s">
        <v>136</v>
      </c>
      <c r="C133" s="5" t="s">
        <v>88</v>
      </c>
      <c r="D133" s="6" t="s">
        <v>122</v>
      </c>
      <c r="E133" s="3" t="s">
        <v>25</v>
      </c>
      <c r="F133" s="3" t="s">
        <v>25</v>
      </c>
      <c r="H133" s="2" t="s">
        <v>17</v>
      </c>
      <c r="I133" s="48">
        <f>I141/I129</f>
        <v>6.0975609756097563E-3</v>
      </c>
      <c r="J133" s="5" t="s">
        <v>595</v>
      </c>
      <c r="K133" s="5" t="s">
        <v>794</v>
      </c>
      <c r="L133" s="3" t="s">
        <v>25</v>
      </c>
      <c r="M133" s="6" t="s">
        <v>65</v>
      </c>
      <c r="O133" s="2" t="s">
        <v>17</v>
      </c>
      <c r="P133" s="3" t="s">
        <v>418</v>
      </c>
      <c r="Q133" s="6" t="s">
        <v>491</v>
      </c>
      <c r="R133" s="4" t="s">
        <v>77</v>
      </c>
      <c r="S133" s="3" t="s">
        <v>25</v>
      </c>
      <c r="T133" s="5" t="s">
        <v>507</v>
      </c>
    </row>
    <row r="134" spans="1:20" x14ac:dyDescent="0.3">
      <c r="A134" s="2" t="s">
        <v>22</v>
      </c>
      <c r="B134" s="3" t="s">
        <v>42</v>
      </c>
      <c r="C134" s="6" t="s">
        <v>152</v>
      </c>
      <c r="D134" s="5" t="s">
        <v>607</v>
      </c>
      <c r="E134" s="3" t="s">
        <v>241</v>
      </c>
      <c r="F134" s="4" t="s">
        <v>596</v>
      </c>
      <c r="H134" s="2" t="s">
        <v>22</v>
      </c>
      <c r="I134" s="48">
        <f>I144/I129</f>
        <v>1.9054878048780488E-4</v>
      </c>
      <c r="J134" s="3" t="s">
        <v>25</v>
      </c>
      <c r="K134" s="3" t="s">
        <v>25</v>
      </c>
      <c r="L134" s="3" t="s">
        <v>25</v>
      </c>
      <c r="M134" s="5" t="s">
        <v>268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12</v>
      </c>
      <c r="C135" s="8">
        <v>2</v>
      </c>
      <c r="D135" s="8">
        <v>0</v>
      </c>
      <c r="E135" s="8">
        <v>10</v>
      </c>
      <c r="F135" s="8">
        <v>0</v>
      </c>
      <c r="H135" s="7" t="s">
        <v>26</v>
      </c>
      <c r="I135" s="8">
        <f>J135+K135+L135+M135</f>
        <v>27</v>
      </c>
      <c r="J135" s="8">
        <v>6</v>
      </c>
      <c r="K135" s="8">
        <v>5</v>
      </c>
      <c r="L135" s="8">
        <v>1</v>
      </c>
      <c r="M135" s="8">
        <v>15</v>
      </c>
      <c r="O135" s="7" t="s">
        <v>26</v>
      </c>
      <c r="P135" s="8">
        <v>28</v>
      </c>
      <c r="Q135" s="8">
        <v>12</v>
      </c>
      <c r="R135" s="8">
        <v>7</v>
      </c>
      <c r="S135" s="8">
        <v>0</v>
      </c>
      <c r="T135" s="8">
        <v>9</v>
      </c>
    </row>
    <row r="136" spans="1:20" x14ac:dyDescent="0.3">
      <c r="A136" s="9" t="s">
        <v>27</v>
      </c>
      <c r="B136" s="10">
        <v>9</v>
      </c>
      <c r="C136" s="10">
        <v>2</v>
      </c>
      <c r="D136" s="10">
        <v>0</v>
      </c>
      <c r="E136" s="10">
        <v>7</v>
      </c>
      <c r="F136" s="10">
        <v>0</v>
      </c>
      <c r="H136" s="9" t="s">
        <v>27</v>
      </c>
      <c r="I136" s="10">
        <v>3</v>
      </c>
      <c r="J136" s="10">
        <v>3</v>
      </c>
      <c r="K136" s="10">
        <v>5</v>
      </c>
      <c r="L136" s="10">
        <v>0</v>
      </c>
      <c r="M136" s="10">
        <v>10</v>
      </c>
      <c r="O136" s="9" t="s">
        <v>27</v>
      </c>
      <c r="P136" s="10">
        <v>22</v>
      </c>
      <c r="Q136" s="10">
        <v>10</v>
      </c>
      <c r="R136" s="10">
        <v>5</v>
      </c>
      <c r="S136" s="10">
        <v>0</v>
      </c>
      <c r="T136" s="10">
        <v>7</v>
      </c>
    </row>
    <row r="137" spans="1:20" x14ac:dyDescent="0.3">
      <c r="A137" s="9" t="s">
        <v>28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1</v>
      </c>
      <c r="O137" s="9" t="s">
        <v>28</v>
      </c>
      <c r="P137" s="10">
        <v>1</v>
      </c>
      <c r="Q137" s="10">
        <v>0</v>
      </c>
      <c r="R137" s="10">
        <v>1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3</v>
      </c>
      <c r="C139" s="10">
        <v>0</v>
      </c>
      <c r="D139" s="10">
        <v>0</v>
      </c>
      <c r="E139" s="10">
        <v>3</v>
      </c>
      <c r="F139" s="10">
        <v>0</v>
      </c>
      <c r="H139" s="9" t="s">
        <v>30</v>
      </c>
      <c r="I139" s="10">
        <v>4</v>
      </c>
      <c r="J139" s="10">
        <v>3</v>
      </c>
      <c r="K139" s="10">
        <v>0</v>
      </c>
      <c r="L139" s="10">
        <v>1</v>
      </c>
      <c r="M139" s="10">
        <v>4</v>
      </c>
      <c r="O139" s="9" t="s">
        <v>30</v>
      </c>
      <c r="P139" s="10">
        <v>5</v>
      </c>
      <c r="Q139" s="10">
        <v>2</v>
      </c>
      <c r="R139" s="10">
        <v>1</v>
      </c>
      <c r="S139" s="10">
        <v>0</v>
      </c>
      <c r="T139" s="10">
        <v>2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5</v>
      </c>
      <c r="C141" s="12">
        <v>3</v>
      </c>
      <c r="D141" s="12">
        <v>2</v>
      </c>
      <c r="E141" s="12">
        <v>0</v>
      </c>
      <c r="F141" s="12">
        <v>0</v>
      </c>
      <c r="H141" s="11" t="s">
        <v>32</v>
      </c>
      <c r="I141" s="12">
        <f>J141+K141+L141+M141</f>
        <v>32</v>
      </c>
      <c r="J141" s="12">
        <v>5</v>
      </c>
      <c r="K141" s="12">
        <v>18</v>
      </c>
      <c r="L141" s="12">
        <v>0</v>
      </c>
      <c r="M141" s="12">
        <v>9</v>
      </c>
      <c r="O141" s="11" t="s">
        <v>32</v>
      </c>
      <c r="P141" s="12">
        <v>19</v>
      </c>
      <c r="Q141" s="12">
        <v>9</v>
      </c>
      <c r="R141" s="12">
        <v>4</v>
      </c>
      <c r="S141" s="12">
        <v>0</v>
      </c>
      <c r="T141" s="12">
        <v>6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7</v>
      </c>
      <c r="Q142" s="14">
        <v>3</v>
      </c>
      <c r="R142" s="14">
        <v>1</v>
      </c>
      <c r="S142" s="14">
        <v>0</v>
      </c>
      <c r="T142" s="14">
        <v>3</v>
      </c>
    </row>
    <row r="143" spans="1:20" x14ac:dyDescent="0.3">
      <c r="A143" s="13" t="s">
        <v>34</v>
      </c>
      <c r="B143" s="14">
        <v>5</v>
      </c>
      <c r="C143" s="14">
        <v>3</v>
      </c>
      <c r="D143" s="14">
        <v>2</v>
      </c>
      <c r="E143" s="14">
        <v>0</v>
      </c>
      <c r="F143" s="14">
        <v>0</v>
      </c>
      <c r="H143" s="13" t="s">
        <v>34</v>
      </c>
      <c r="I143" s="14">
        <v>32</v>
      </c>
      <c r="J143" s="14">
        <v>5</v>
      </c>
      <c r="K143" s="14">
        <v>18</v>
      </c>
      <c r="L143" s="14">
        <v>0</v>
      </c>
      <c r="M143" s="14">
        <v>9</v>
      </c>
      <c r="O143" s="13" t="s">
        <v>34</v>
      </c>
      <c r="P143" s="14">
        <v>12</v>
      </c>
      <c r="Q143" s="14">
        <v>6</v>
      </c>
      <c r="R143" s="14">
        <v>3</v>
      </c>
      <c r="S143" s="14">
        <v>0</v>
      </c>
      <c r="T143" s="14">
        <v>3</v>
      </c>
    </row>
    <row r="144" spans="1:20" x14ac:dyDescent="0.3">
      <c r="A144" s="15" t="s">
        <v>35</v>
      </c>
      <c r="B144" s="16">
        <v>17</v>
      </c>
      <c r="C144" s="16">
        <v>7</v>
      </c>
      <c r="D144" s="16">
        <v>7</v>
      </c>
      <c r="E144" s="16">
        <v>2</v>
      </c>
      <c r="F144" s="16">
        <v>1</v>
      </c>
      <c r="H144" s="15" t="s">
        <v>35</v>
      </c>
      <c r="I144" s="16">
        <v>1</v>
      </c>
      <c r="J144" s="16">
        <v>0</v>
      </c>
      <c r="K144" s="16">
        <v>0</v>
      </c>
      <c r="L144" s="16">
        <v>0</v>
      </c>
      <c r="M144" s="16">
        <v>1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17</v>
      </c>
      <c r="C146" s="18">
        <v>7</v>
      </c>
      <c r="D146" s="18">
        <v>7</v>
      </c>
      <c r="E146" s="18">
        <v>2</v>
      </c>
      <c r="F146" s="18">
        <v>1</v>
      </c>
      <c r="H146" s="17" t="s">
        <v>37</v>
      </c>
      <c r="I146" s="78">
        <v>1</v>
      </c>
      <c r="J146" s="78">
        <v>0</v>
      </c>
      <c r="K146" s="78">
        <v>0</v>
      </c>
      <c r="L146" s="78">
        <v>0</v>
      </c>
      <c r="M146" s="78">
        <v>1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7" t="s">
        <v>89</v>
      </c>
      <c r="C147" s="168"/>
      <c r="D147" s="168"/>
      <c r="E147" s="168"/>
      <c r="F147" s="168"/>
      <c r="H147" s="17" t="s">
        <v>38</v>
      </c>
      <c r="I147" s="172" t="s">
        <v>1272</v>
      </c>
      <c r="J147" s="173"/>
      <c r="K147" s="173"/>
      <c r="L147" s="173"/>
      <c r="M147" s="173"/>
      <c r="O147" s="17" t="s">
        <v>38</v>
      </c>
      <c r="P147" s="175" t="s">
        <v>89</v>
      </c>
      <c r="Q147" s="176"/>
      <c r="R147" s="176"/>
      <c r="S147" s="176"/>
      <c r="T147" s="176"/>
    </row>
    <row r="148" spans="1:20" ht="19.8" x14ac:dyDescent="0.3">
      <c r="A148" s="170">
        <v>46098</v>
      </c>
      <c r="B148" s="168"/>
      <c r="C148" s="168"/>
      <c r="D148" s="168"/>
      <c r="E148" s="168"/>
      <c r="F148" s="168"/>
      <c r="H148" s="171">
        <v>46121</v>
      </c>
      <c r="I148" s="174"/>
      <c r="J148" s="174"/>
      <c r="K148" s="174"/>
      <c r="L148" s="174"/>
      <c r="M148" s="174"/>
      <c r="O148" s="171">
        <v>46153</v>
      </c>
      <c r="P148" s="171"/>
      <c r="Q148" s="171"/>
      <c r="R148" s="171"/>
      <c r="S148" s="171"/>
      <c r="T148" s="171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870</v>
      </c>
      <c r="M149" s="1" t="s">
        <v>871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870</v>
      </c>
      <c r="T149" s="1" t="s">
        <v>4</v>
      </c>
    </row>
    <row r="150" spans="1:20" x14ac:dyDescent="0.3">
      <c r="A150" s="2" t="s">
        <v>5</v>
      </c>
      <c r="B150" s="3">
        <v>5254</v>
      </c>
      <c r="C150" s="3">
        <v>1961</v>
      </c>
      <c r="D150" s="3">
        <v>1509</v>
      </c>
      <c r="E150" s="3">
        <v>1142</v>
      </c>
      <c r="F150" s="3">
        <v>642</v>
      </c>
      <c r="H150" s="2" t="s">
        <v>5</v>
      </c>
      <c r="I150" s="3">
        <f>J150+K150+M150</f>
        <v>4925</v>
      </c>
      <c r="J150" s="3">
        <v>1640</v>
      </c>
      <c r="K150" s="3">
        <v>1765</v>
      </c>
      <c r="L150" s="3">
        <v>0</v>
      </c>
      <c r="M150" s="3">
        <v>1520</v>
      </c>
      <c r="O150" s="2" t="s">
        <v>5</v>
      </c>
      <c r="P150" s="3">
        <v>2899</v>
      </c>
      <c r="Q150" s="3">
        <v>703</v>
      </c>
      <c r="R150" s="3">
        <v>1146</v>
      </c>
      <c r="S150" s="3">
        <v>0</v>
      </c>
      <c r="T150" s="3">
        <v>1050</v>
      </c>
    </row>
    <row r="151" spans="1:20" x14ac:dyDescent="0.3">
      <c r="A151" s="2" t="s">
        <v>6</v>
      </c>
      <c r="B151" s="3">
        <v>102</v>
      </c>
      <c r="C151" s="4">
        <v>12</v>
      </c>
      <c r="D151" s="3">
        <v>10</v>
      </c>
      <c r="E151" s="5">
        <v>66</v>
      </c>
      <c r="F151" s="6">
        <v>14</v>
      </c>
      <c r="H151" s="2" t="s">
        <v>6</v>
      </c>
      <c r="I151" s="3">
        <f>J151+K151+M151</f>
        <v>42</v>
      </c>
      <c r="J151" s="5">
        <v>6</v>
      </c>
      <c r="K151" s="6">
        <v>11</v>
      </c>
      <c r="L151" s="3">
        <v>0</v>
      </c>
      <c r="M151" s="5">
        <v>25</v>
      </c>
      <c r="O151" s="2" t="s">
        <v>6</v>
      </c>
      <c r="P151" s="3">
        <v>33</v>
      </c>
      <c r="Q151" s="6">
        <v>9</v>
      </c>
      <c r="R151" s="4">
        <v>8</v>
      </c>
      <c r="S151" s="3">
        <v>0</v>
      </c>
      <c r="T151" s="5">
        <v>16</v>
      </c>
    </row>
    <row r="152" spans="1:20" x14ac:dyDescent="0.3">
      <c r="A152" s="2" t="s">
        <v>7</v>
      </c>
      <c r="B152" s="3" t="s">
        <v>131</v>
      </c>
      <c r="C152" s="3" t="s">
        <v>551</v>
      </c>
      <c r="D152" s="4" t="s">
        <v>416</v>
      </c>
      <c r="E152" s="5" t="s">
        <v>663</v>
      </c>
      <c r="F152" s="6" t="s">
        <v>59</v>
      </c>
      <c r="H152" s="2" t="s">
        <v>7</v>
      </c>
      <c r="I152" s="48">
        <f>I151/I150</f>
        <v>8.5279187817258878E-3</v>
      </c>
      <c r="J152" s="5" t="s">
        <v>200</v>
      </c>
      <c r="K152" s="6" t="s">
        <v>87</v>
      </c>
      <c r="L152" s="3">
        <v>0</v>
      </c>
      <c r="M152" s="5" t="s">
        <v>238</v>
      </c>
      <c r="O152" s="2" t="s">
        <v>7</v>
      </c>
      <c r="P152" s="3" t="s">
        <v>363</v>
      </c>
      <c r="Q152" s="6" t="s">
        <v>434</v>
      </c>
      <c r="R152" s="4" t="s">
        <v>484</v>
      </c>
      <c r="S152" s="3">
        <v>0</v>
      </c>
      <c r="T152" s="5" t="s">
        <v>1364</v>
      </c>
    </row>
    <row r="153" spans="1:20" x14ac:dyDescent="0.3">
      <c r="A153" s="2" t="s">
        <v>12</v>
      </c>
      <c r="B153" s="3" t="s">
        <v>236</v>
      </c>
      <c r="C153" s="4" t="s">
        <v>507</v>
      </c>
      <c r="D153" s="3" t="s">
        <v>25</v>
      </c>
      <c r="E153" s="5" t="s">
        <v>679</v>
      </c>
      <c r="F153" s="6" t="s">
        <v>183</v>
      </c>
      <c r="H153" s="2" t="s">
        <v>12</v>
      </c>
      <c r="I153" s="48">
        <f>I156/I150</f>
        <v>5.076142131979695E-3</v>
      </c>
      <c r="J153" s="5" t="s">
        <v>109</v>
      </c>
      <c r="K153" s="6" t="s">
        <v>595</v>
      </c>
      <c r="L153" s="3">
        <v>0</v>
      </c>
      <c r="M153" s="5" t="s">
        <v>1373</v>
      </c>
      <c r="O153" s="2" t="s">
        <v>12</v>
      </c>
      <c r="P153" s="3" t="s">
        <v>1409</v>
      </c>
      <c r="Q153" s="6" t="s">
        <v>1409</v>
      </c>
      <c r="R153" s="4" t="s">
        <v>551</v>
      </c>
      <c r="S153" s="3">
        <v>0</v>
      </c>
      <c r="T153" s="5" t="s">
        <v>1075</v>
      </c>
    </row>
    <row r="154" spans="1:20" x14ac:dyDescent="0.3">
      <c r="A154" s="2" t="s">
        <v>17</v>
      </c>
      <c r="B154" s="3" t="s">
        <v>153</v>
      </c>
      <c r="C154" s="3" t="s">
        <v>99</v>
      </c>
      <c r="D154" s="5" t="s">
        <v>416</v>
      </c>
      <c r="E154" s="4" t="s">
        <v>551</v>
      </c>
      <c r="F154" s="6" t="s">
        <v>87</v>
      </c>
      <c r="H154" s="2" t="s">
        <v>17</v>
      </c>
      <c r="I154" s="48">
        <f>I162/I150</f>
        <v>2.8426395939086294E-3</v>
      </c>
      <c r="J154" s="5" t="s">
        <v>109</v>
      </c>
      <c r="K154" s="6" t="s">
        <v>266</v>
      </c>
      <c r="L154" s="3" t="s">
        <v>25</v>
      </c>
      <c r="M154" s="5" t="s">
        <v>317</v>
      </c>
      <c r="O154" s="2" t="s">
        <v>17</v>
      </c>
      <c r="P154" s="3" t="s">
        <v>310</v>
      </c>
      <c r="Q154" s="5" t="s">
        <v>595</v>
      </c>
      <c r="R154" s="4" t="s">
        <v>84</v>
      </c>
      <c r="S154" s="3" t="s">
        <v>25</v>
      </c>
      <c r="T154" s="6" t="s">
        <v>81</v>
      </c>
    </row>
    <row r="155" spans="1:20" x14ac:dyDescent="0.3">
      <c r="A155" s="2" t="s">
        <v>22</v>
      </c>
      <c r="B155" s="3" t="s">
        <v>580</v>
      </c>
      <c r="C155" s="5" t="s">
        <v>229</v>
      </c>
      <c r="D155" s="4" t="s">
        <v>466</v>
      </c>
      <c r="E155" s="3" t="s">
        <v>466</v>
      </c>
      <c r="F155" s="6" t="s">
        <v>87</v>
      </c>
      <c r="H155" s="2" t="s">
        <v>22</v>
      </c>
      <c r="I155" s="3" t="s">
        <v>25</v>
      </c>
      <c r="J155" s="3" t="s">
        <v>25</v>
      </c>
      <c r="K155" s="6" t="s">
        <v>268</v>
      </c>
      <c r="L155" s="3" t="s">
        <v>25</v>
      </c>
      <c r="M155" s="5" t="s">
        <v>138</v>
      </c>
      <c r="O155" s="2" t="s">
        <v>22</v>
      </c>
      <c r="P155" s="3" t="s">
        <v>138</v>
      </c>
      <c r="Q155" s="5" t="s">
        <v>310</v>
      </c>
      <c r="R155" s="6" t="s">
        <v>84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77</v>
      </c>
      <c r="C156" s="8">
        <v>8</v>
      </c>
      <c r="D156" s="8">
        <v>0</v>
      </c>
      <c r="E156" s="8">
        <v>59</v>
      </c>
      <c r="F156" s="8">
        <v>10</v>
      </c>
      <c r="H156" s="7" t="s">
        <v>26</v>
      </c>
      <c r="I156" s="8">
        <f>J156+K156+M156</f>
        <v>25</v>
      </c>
      <c r="J156" s="8">
        <v>3</v>
      </c>
      <c r="K156" s="8">
        <v>5</v>
      </c>
      <c r="L156" s="8">
        <v>0</v>
      </c>
      <c r="M156" s="8">
        <v>17</v>
      </c>
      <c r="O156" s="7" t="s">
        <v>26</v>
      </c>
      <c r="P156" s="8">
        <v>29</v>
      </c>
      <c r="Q156" s="8">
        <v>7</v>
      </c>
      <c r="R156" s="8">
        <v>7</v>
      </c>
      <c r="S156" s="8">
        <v>0</v>
      </c>
      <c r="T156" s="8">
        <v>15</v>
      </c>
    </row>
    <row r="157" spans="1:20" x14ac:dyDescent="0.3">
      <c r="A157" s="9" t="s">
        <v>27</v>
      </c>
      <c r="B157" s="10">
        <v>27</v>
      </c>
      <c r="C157" s="10">
        <v>7</v>
      </c>
      <c r="D157" s="10">
        <v>0</v>
      </c>
      <c r="E157" s="10">
        <v>16</v>
      </c>
      <c r="F157" s="10">
        <v>4</v>
      </c>
      <c r="H157" s="9" t="s">
        <v>27</v>
      </c>
      <c r="I157" s="10">
        <v>2</v>
      </c>
      <c r="J157" s="10">
        <v>2</v>
      </c>
      <c r="K157" s="10">
        <v>5</v>
      </c>
      <c r="L157" s="10">
        <v>0</v>
      </c>
      <c r="M157" s="10">
        <v>14</v>
      </c>
      <c r="O157" s="9" t="s">
        <v>27</v>
      </c>
      <c r="P157" s="10">
        <v>23</v>
      </c>
      <c r="Q157" s="10">
        <v>7</v>
      </c>
      <c r="R157" s="10">
        <v>7</v>
      </c>
      <c r="S157" s="10">
        <v>0</v>
      </c>
      <c r="T157" s="10">
        <v>9</v>
      </c>
    </row>
    <row r="158" spans="1:20" x14ac:dyDescent="0.3">
      <c r="A158" s="9" t="s">
        <v>28</v>
      </c>
      <c r="B158" s="10">
        <v>0</v>
      </c>
      <c r="C158" s="10">
        <v>0</v>
      </c>
      <c r="D158" s="10">
        <v>0</v>
      </c>
      <c r="E158" s="10">
        <v>0</v>
      </c>
      <c r="F158" s="10">
        <v>0</v>
      </c>
      <c r="H158" s="9" t="s">
        <v>28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O158" s="9" t="s">
        <v>28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50</v>
      </c>
      <c r="C160" s="10">
        <v>1</v>
      </c>
      <c r="D160" s="10">
        <v>0</v>
      </c>
      <c r="E160" s="10">
        <v>43</v>
      </c>
      <c r="F160" s="10">
        <v>6</v>
      </c>
      <c r="H160" s="9" t="s">
        <v>30</v>
      </c>
      <c r="I160" s="10">
        <v>1</v>
      </c>
      <c r="J160" s="10">
        <v>1</v>
      </c>
      <c r="K160" s="10">
        <v>0</v>
      </c>
      <c r="L160" s="10">
        <v>0</v>
      </c>
      <c r="M160" s="10">
        <v>3</v>
      </c>
      <c r="O160" s="9" t="s">
        <v>30</v>
      </c>
      <c r="P160" s="10">
        <v>6</v>
      </c>
      <c r="Q160" s="10">
        <v>0</v>
      </c>
      <c r="R160" s="10">
        <v>0</v>
      </c>
      <c r="S160" s="10">
        <v>0</v>
      </c>
      <c r="T160" s="10">
        <v>6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25</v>
      </c>
      <c r="C162" s="12">
        <v>4</v>
      </c>
      <c r="D162" s="12">
        <v>10</v>
      </c>
      <c r="E162" s="12">
        <v>7</v>
      </c>
      <c r="F162" s="12">
        <v>4</v>
      </c>
      <c r="H162" s="11" t="s">
        <v>32</v>
      </c>
      <c r="I162" s="12">
        <f>K162+J162+M162</f>
        <v>14</v>
      </c>
      <c r="J162" s="12">
        <v>3</v>
      </c>
      <c r="K162" s="12">
        <v>4</v>
      </c>
      <c r="L162" s="12">
        <v>0</v>
      </c>
      <c r="M162" s="12">
        <v>7</v>
      </c>
      <c r="O162" s="11" t="s">
        <v>32</v>
      </c>
      <c r="P162" s="12">
        <v>4</v>
      </c>
      <c r="Q162" s="12">
        <v>2</v>
      </c>
      <c r="R162" s="12">
        <v>1</v>
      </c>
      <c r="S162" s="12">
        <v>0</v>
      </c>
      <c r="T162" s="12">
        <v>1</v>
      </c>
    </row>
    <row r="163" spans="1:20" x14ac:dyDescent="0.3">
      <c r="A163" s="13" t="s">
        <v>33</v>
      </c>
      <c r="B163" s="14">
        <v>2</v>
      </c>
      <c r="C163" s="14">
        <v>0</v>
      </c>
      <c r="D163" s="14">
        <v>0</v>
      </c>
      <c r="E163" s="14">
        <v>2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2</v>
      </c>
      <c r="Q163" s="14">
        <v>1</v>
      </c>
      <c r="R163" s="14">
        <v>1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23</v>
      </c>
      <c r="C164" s="14">
        <v>4</v>
      </c>
      <c r="D164" s="14">
        <v>10</v>
      </c>
      <c r="E164" s="14">
        <v>5</v>
      </c>
      <c r="F164" s="14">
        <v>4</v>
      </c>
      <c r="H164" s="13" t="s">
        <v>34</v>
      </c>
      <c r="I164" s="14">
        <v>14</v>
      </c>
      <c r="J164" s="14">
        <v>3</v>
      </c>
      <c r="K164" s="14">
        <v>4</v>
      </c>
      <c r="L164" s="14">
        <v>0</v>
      </c>
      <c r="M164" s="14">
        <v>7</v>
      </c>
      <c r="O164" s="13" t="s">
        <v>34</v>
      </c>
      <c r="P164" s="14">
        <v>2</v>
      </c>
      <c r="Q164" s="14">
        <v>1</v>
      </c>
      <c r="R164" s="14">
        <v>0</v>
      </c>
      <c r="S164" s="14">
        <v>0</v>
      </c>
      <c r="T164" s="14">
        <v>1</v>
      </c>
    </row>
    <row r="165" spans="1:20" x14ac:dyDescent="0.3">
      <c r="A165" s="15" t="s">
        <v>35</v>
      </c>
      <c r="B165" s="16">
        <v>36</v>
      </c>
      <c r="C165" s="16">
        <v>18</v>
      </c>
      <c r="D165" s="16">
        <v>8</v>
      </c>
      <c r="E165" s="16">
        <v>6</v>
      </c>
      <c r="F165" s="16">
        <v>4</v>
      </c>
      <c r="H165" s="15" t="s">
        <v>35</v>
      </c>
      <c r="I165" s="16">
        <f>2</f>
        <v>2</v>
      </c>
      <c r="J165" s="16">
        <v>0</v>
      </c>
      <c r="K165" s="16">
        <v>1</v>
      </c>
      <c r="L165" s="16">
        <v>0</v>
      </c>
      <c r="M165" s="16">
        <v>1</v>
      </c>
      <c r="O165" s="15" t="s">
        <v>35</v>
      </c>
      <c r="P165" s="16">
        <v>2</v>
      </c>
      <c r="Q165" s="16">
        <v>1</v>
      </c>
      <c r="R165" s="16">
        <v>1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36</v>
      </c>
      <c r="C167" s="18">
        <v>18</v>
      </c>
      <c r="D167" s="18">
        <v>8</v>
      </c>
      <c r="E167" s="18">
        <v>6</v>
      </c>
      <c r="F167" s="18">
        <v>4</v>
      </c>
      <c r="H167" s="17" t="s">
        <v>37</v>
      </c>
      <c r="I167" s="78">
        <v>2</v>
      </c>
      <c r="J167" s="78">
        <v>0</v>
      </c>
      <c r="K167" s="78">
        <v>1</v>
      </c>
      <c r="L167" s="78">
        <v>0</v>
      </c>
      <c r="M167" s="78">
        <v>1</v>
      </c>
      <c r="O167" s="17" t="s">
        <v>37</v>
      </c>
      <c r="P167" s="112">
        <v>2</v>
      </c>
      <c r="Q167" s="112">
        <v>1</v>
      </c>
      <c r="R167" s="112">
        <v>1</v>
      </c>
      <c r="S167" s="112">
        <v>0</v>
      </c>
      <c r="T167" s="112">
        <v>0</v>
      </c>
    </row>
    <row r="168" spans="1:20" x14ac:dyDescent="0.3">
      <c r="A168" s="17" t="s">
        <v>38</v>
      </c>
      <c r="B168" s="167" t="s">
        <v>89</v>
      </c>
      <c r="C168" s="168"/>
      <c r="D168" s="168"/>
      <c r="E168" s="168"/>
      <c r="F168" s="168"/>
      <c r="H168" s="17" t="s">
        <v>38</v>
      </c>
      <c r="I168" s="172" t="s">
        <v>1272</v>
      </c>
      <c r="J168" s="173"/>
      <c r="K168" s="173"/>
      <c r="L168" s="173"/>
      <c r="M168" s="173"/>
      <c r="O168" s="17" t="s">
        <v>38</v>
      </c>
      <c r="P168" s="172" t="s">
        <v>1858</v>
      </c>
      <c r="Q168" s="173"/>
      <c r="R168" s="173"/>
      <c r="S168" s="173"/>
      <c r="T168" s="173"/>
    </row>
    <row r="169" spans="1:20" ht="19.8" x14ac:dyDescent="0.3">
      <c r="A169" s="170">
        <v>46099</v>
      </c>
      <c r="B169" s="168"/>
      <c r="C169" s="168"/>
      <c r="D169" s="168"/>
      <c r="E169" s="168"/>
      <c r="F169" s="168"/>
      <c r="H169" s="171">
        <v>46122</v>
      </c>
      <c r="I169" s="174"/>
      <c r="J169" s="174"/>
      <c r="K169" s="174"/>
      <c r="L169" s="174"/>
      <c r="M169" s="174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871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870</v>
      </c>
      <c r="T170" s="1" t="s">
        <v>4</v>
      </c>
    </row>
    <row r="171" spans="1:20" x14ac:dyDescent="0.3">
      <c r="A171" s="2" t="s">
        <v>5</v>
      </c>
      <c r="B171" s="3">
        <v>5583</v>
      </c>
      <c r="C171" s="3">
        <v>2021</v>
      </c>
      <c r="D171" s="3">
        <v>1438</v>
      </c>
      <c r="E171" s="3">
        <v>1192</v>
      </c>
      <c r="F171" s="3">
        <v>932</v>
      </c>
      <c r="H171" s="2" t="s">
        <v>5</v>
      </c>
      <c r="I171" s="3">
        <f>J171+K171+L171+M171</f>
        <v>5026</v>
      </c>
      <c r="J171" s="3">
        <v>1697</v>
      </c>
      <c r="K171" s="3">
        <v>1671</v>
      </c>
      <c r="L171" s="3">
        <v>115</v>
      </c>
      <c r="M171" s="3">
        <v>1543</v>
      </c>
      <c r="O171" s="2" t="s">
        <v>5</v>
      </c>
      <c r="P171" s="3">
        <v>4710</v>
      </c>
      <c r="Q171" s="3">
        <v>1903</v>
      </c>
      <c r="R171" s="3">
        <v>1622</v>
      </c>
      <c r="S171" s="3">
        <v>0</v>
      </c>
      <c r="T171" s="3">
        <v>1185</v>
      </c>
    </row>
    <row r="172" spans="1:20" x14ac:dyDescent="0.3">
      <c r="A172" s="2" t="s">
        <v>6</v>
      </c>
      <c r="B172" s="3">
        <v>187</v>
      </c>
      <c r="C172" s="6">
        <v>21</v>
      </c>
      <c r="D172" s="3">
        <v>5</v>
      </c>
      <c r="E172" s="5">
        <v>149</v>
      </c>
      <c r="F172" s="4">
        <v>12</v>
      </c>
      <c r="H172" s="2" t="s">
        <v>6</v>
      </c>
      <c r="I172" s="3">
        <f>J172+K172+L172+M172</f>
        <v>66</v>
      </c>
      <c r="J172" s="5">
        <v>18</v>
      </c>
      <c r="K172" s="4">
        <v>7</v>
      </c>
      <c r="L172" s="6">
        <v>13</v>
      </c>
      <c r="M172" s="5">
        <v>28</v>
      </c>
      <c r="O172" s="2" t="s">
        <v>6</v>
      </c>
      <c r="P172" s="3">
        <v>57</v>
      </c>
      <c r="Q172" s="5">
        <v>28</v>
      </c>
      <c r="R172" s="4">
        <v>14</v>
      </c>
      <c r="S172" s="3">
        <v>0</v>
      </c>
      <c r="T172" s="6">
        <v>15</v>
      </c>
    </row>
    <row r="173" spans="1:20" x14ac:dyDescent="0.3">
      <c r="A173" s="2" t="s">
        <v>7</v>
      </c>
      <c r="B173" s="3" t="s">
        <v>415</v>
      </c>
      <c r="C173" s="4" t="s">
        <v>506</v>
      </c>
      <c r="D173" s="3" t="s">
        <v>135</v>
      </c>
      <c r="E173" s="5" t="s">
        <v>694</v>
      </c>
      <c r="F173" s="6" t="s">
        <v>560</v>
      </c>
      <c r="H173" s="2" t="s">
        <v>7</v>
      </c>
      <c r="I173" s="48">
        <f>I172/I171</f>
        <v>1.3131715081575806E-2</v>
      </c>
      <c r="J173" s="6" t="s">
        <v>405</v>
      </c>
      <c r="K173" s="4" t="s">
        <v>78</v>
      </c>
      <c r="L173" s="5" t="s">
        <v>706</v>
      </c>
      <c r="M173" s="5" t="s">
        <v>775</v>
      </c>
      <c r="O173" s="2" t="s">
        <v>7</v>
      </c>
      <c r="P173" s="3" t="s">
        <v>635</v>
      </c>
      <c r="Q173" s="5" t="s">
        <v>236</v>
      </c>
      <c r="R173" s="4" t="s">
        <v>467</v>
      </c>
      <c r="S173" s="3">
        <v>0</v>
      </c>
      <c r="T173" s="6" t="s">
        <v>851</v>
      </c>
    </row>
    <row r="174" spans="1:20" x14ac:dyDescent="0.3">
      <c r="A174" s="2" t="s">
        <v>12</v>
      </c>
      <c r="B174" s="3" t="s">
        <v>695</v>
      </c>
      <c r="C174" s="4" t="s">
        <v>354</v>
      </c>
      <c r="D174" s="3" t="s">
        <v>310</v>
      </c>
      <c r="E174" s="5" t="s">
        <v>696</v>
      </c>
      <c r="F174" s="6" t="s">
        <v>42</v>
      </c>
      <c r="H174" s="2" t="s">
        <v>12</v>
      </c>
      <c r="I174" s="48">
        <f>I177/I171</f>
        <v>4.178272980501393E-3</v>
      </c>
      <c r="J174" s="4" t="s">
        <v>347</v>
      </c>
      <c r="K174" s="6" t="s">
        <v>147</v>
      </c>
      <c r="L174" s="5" t="s">
        <v>844</v>
      </c>
      <c r="M174" s="5" t="s">
        <v>506</v>
      </c>
      <c r="O174" s="2" t="s">
        <v>12</v>
      </c>
      <c r="P174" s="3" t="s">
        <v>87</v>
      </c>
      <c r="Q174" s="6" t="s">
        <v>492</v>
      </c>
      <c r="R174" s="4" t="s">
        <v>157</v>
      </c>
      <c r="S174" s="3">
        <v>0</v>
      </c>
      <c r="T174" s="5" t="s">
        <v>607</v>
      </c>
    </row>
    <row r="175" spans="1:20" x14ac:dyDescent="0.3">
      <c r="A175" s="2" t="s">
        <v>17</v>
      </c>
      <c r="B175" s="3" t="s">
        <v>419</v>
      </c>
      <c r="C175" s="6" t="s">
        <v>76</v>
      </c>
      <c r="D175" s="3" t="s">
        <v>77</v>
      </c>
      <c r="E175" s="4" t="s">
        <v>47</v>
      </c>
      <c r="F175" s="5" t="s">
        <v>42</v>
      </c>
      <c r="H175" s="2" t="s">
        <v>17</v>
      </c>
      <c r="I175" s="48">
        <f>I183/I171</f>
        <v>4.9741345005968962E-3</v>
      </c>
      <c r="J175" s="6" t="s">
        <v>371</v>
      </c>
      <c r="K175" s="3" t="s">
        <v>25</v>
      </c>
      <c r="L175" s="5" t="s">
        <v>45</v>
      </c>
      <c r="M175" s="5" t="s">
        <v>83</v>
      </c>
      <c r="O175" s="2" t="s">
        <v>17</v>
      </c>
      <c r="P175" s="3" t="s">
        <v>1869</v>
      </c>
      <c r="Q175" s="5" t="s">
        <v>1870</v>
      </c>
      <c r="R175" s="6" t="s">
        <v>1871</v>
      </c>
      <c r="S175" s="3" t="s">
        <v>25</v>
      </c>
      <c r="T175" s="4" t="s">
        <v>1872</v>
      </c>
    </row>
    <row r="176" spans="1:20" x14ac:dyDescent="0.3">
      <c r="A176" s="2" t="s">
        <v>22</v>
      </c>
      <c r="B176" s="3" t="s">
        <v>272</v>
      </c>
      <c r="C176" s="5" t="s">
        <v>365</v>
      </c>
      <c r="D176" s="4" t="s">
        <v>697</v>
      </c>
      <c r="E176" s="3" t="s">
        <v>66</v>
      </c>
      <c r="F176" s="6" t="s">
        <v>467</v>
      </c>
      <c r="H176" s="2" t="s">
        <v>22</v>
      </c>
      <c r="I176" s="3" t="s">
        <v>552</v>
      </c>
      <c r="J176" s="3" t="s">
        <v>25</v>
      </c>
      <c r="K176" s="5" t="s">
        <v>268</v>
      </c>
      <c r="L176" s="3" t="s">
        <v>25</v>
      </c>
      <c r="M176" s="3" t="s">
        <v>25</v>
      </c>
      <c r="O176" s="2" t="s">
        <v>22</v>
      </c>
      <c r="P176" s="3" t="s">
        <v>267</v>
      </c>
      <c r="Q176" s="5" t="s">
        <v>158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165</v>
      </c>
      <c r="C177" s="8">
        <v>11</v>
      </c>
      <c r="D177" s="8">
        <v>2</v>
      </c>
      <c r="E177" s="8">
        <v>146</v>
      </c>
      <c r="F177" s="8">
        <v>6</v>
      </c>
      <c r="H177" s="7" t="s">
        <v>26</v>
      </c>
      <c r="I177" s="8">
        <v>21</v>
      </c>
      <c r="J177" s="8">
        <v>4</v>
      </c>
      <c r="K177" s="8">
        <v>5</v>
      </c>
      <c r="L177" s="8">
        <v>12</v>
      </c>
      <c r="M177" s="8">
        <v>16</v>
      </c>
      <c r="O177" s="7" t="s">
        <v>26</v>
      </c>
      <c r="P177" s="8">
        <v>29</v>
      </c>
      <c r="Q177" s="8">
        <v>13</v>
      </c>
      <c r="R177" s="8">
        <v>7</v>
      </c>
      <c r="S177" s="8">
        <v>0</v>
      </c>
      <c r="T177" s="8">
        <v>9</v>
      </c>
    </row>
    <row r="178" spans="1:20" x14ac:dyDescent="0.3">
      <c r="A178" s="9" t="s">
        <v>27</v>
      </c>
      <c r="B178" s="10">
        <v>31</v>
      </c>
      <c r="C178" s="10">
        <v>5</v>
      </c>
      <c r="D178" s="10">
        <v>2</v>
      </c>
      <c r="E178" s="10">
        <v>20</v>
      </c>
      <c r="F178" s="10">
        <v>4</v>
      </c>
      <c r="H178" s="9" t="s">
        <v>27</v>
      </c>
      <c r="I178" s="10">
        <v>9</v>
      </c>
      <c r="J178" s="10">
        <v>4</v>
      </c>
      <c r="K178" s="10">
        <v>5</v>
      </c>
      <c r="L178" s="10">
        <v>0</v>
      </c>
      <c r="M178" s="10">
        <v>12</v>
      </c>
      <c r="O178" s="9" t="s">
        <v>27</v>
      </c>
      <c r="P178" s="10">
        <v>20</v>
      </c>
      <c r="Q178" s="10">
        <v>10</v>
      </c>
      <c r="R178" s="10">
        <v>6</v>
      </c>
      <c r="S178" s="10">
        <v>0</v>
      </c>
      <c r="T178" s="10">
        <v>4</v>
      </c>
    </row>
    <row r="179" spans="1:20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1</v>
      </c>
      <c r="O179" s="9" t="s">
        <v>28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134</v>
      </c>
      <c r="C181" s="10">
        <v>6</v>
      </c>
      <c r="D181" s="10">
        <v>0</v>
      </c>
      <c r="E181" s="10">
        <v>126</v>
      </c>
      <c r="F181" s="10">
        <v>2</v>
      </c>
      <c r="H181" s="9" t="s">
        <v>30</v>
      </c>
      <c r="I181" s="10">
        <v>12</v>
      </c>
      <c r="J181" s="10">
        <v>0</v>
      </c>
      <c r="K181" s="10">
        <v>0</v>
      </c>
      <c r="L181" s="10">
        <v>12</v>
      </c>
      <c r="M181" s="10">
        <v>3</v>
      </c>
      <c r="O181" s="9" t="s">
        <v>30</v>
      </c>
      <c r="P181" s="10">
        <v>9</v>
      </c>
      <c r="Q181" s="10">
        <v>3</v>
      </c>
      <c r="R181" s="10">
        <v>1</v>
      </c>
      <c r="S181" s="10">
        <v>0</v>
      </c>
      <c r="T181" s="10">
        <v>5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22</v>
      </c>
      <c r="C183" s="12">
        <v>10</v>
      </c>
      <c r="D183" s="12">
        <v>3</v>
      </c>
      <c r="E183" s="12">
        <v>3</v>
      </c>
      <c r="F183" s="12">
        <v>6</v>
      </c>
      <c r="H183" s="11" t="s">
        <v>32</v>
      </c>
      <c r="I183" s="12">
        <v>25</v>
      </c>
      <c r="J183" s="12">
        <v>14</v>
      </c>
      <c r="K183" s="12">
        <v>0</v>
      </c>
      <c r="L183" s="12">
        <v>1</v>
      </c>
      <c r="M183" s="12">
        <v>10</v>
      </c>
      <c r="O183" s="11" t="s">
        <v>32</v>
      </c>
      <c r="P183" s="12">
        <v>2270</v>
      </c>
      <c r="Q183" s="12">
        <v>931</v>
      </c>
      <c r="R183" s="12">
        <v>788</v>
      </c>
      <c r="S183" s="12">
        <v>0</v>
      </c>
      <c r="T183" s="12">
        <v>551</v>
      </c>
    </row>
    <row r="184" spans="1:20" x14ac:dyDescent="0.3">
      <c r="A184" s="13" t="s">
        <v>33</v>
      </c>
      <c r="B184" s="14">
        <v>11</v>
      </c>
      <c r="C184" s="14">
        <v>4</v>
      </c>
      <c r="D184" s="14">
        <v>2</v>
      </c>
      <c r="E184" s="14">
        <v>1</v>
      </c>
      <c r="F184" s="14">
        <v>4</v>
      </c>
      <c r="H184" s="13" t="s">
        <v>33</v>
      </c>
      <c r="I184" s="14">
        <v>15</v>
      </c>
      <c r="J184" s="14">
        <v>9</v>
      </c>
      <c r="K184" s="14">
        <v>0</v>
      </c>
      <c r="L184" s="14">
        <v>0</v>
      </c>
      <c r="M184" s="14">
        <v>6</v>
      </c>
      <c r="O184" s="13" t="s">
        <v>33</v>
      </c>
      <c r="P184" s="14">
        <v>4</v>
      </c>
      <c r="Q184" s="14">
        <v>0</v>
      </c>
      <c r="R184" s="14">
        <v>0</v>
      </c>
      <c r="S184" s="14">
        <v>0</v>
      </c>
      <c r="T184" s="14">
        <v>4</v>
      </c>
    </row>
    <row r="185" spans="1:20" x14ac:dyDescent="0.3">
      <c r="A185" s="13" t="s">
        <v>34</v>
      </c>
      <c r="B185" s="14">
        <v>11</v>
      </c>
      <c r="C185" s="14">
        <v>6</v>
      </c>
      <c r="D185" s="14">
        <v>1</v>
      </c>
      <c r="E185" s="14">
        <v>2</v>
      </c>
      <c r="F185" s="14">
        <v>2</v>
      </c>
      <c r="H185" s="13" t="s">
        <v>34</v>
      </c>
      <c r="I185" s="14">
        <v>10</v>
      </c>
      <c r="J185" s="14">
        <v>5</v>
      </c>
      <c r="K185" s="14">
        <v>0</v>
      </c>
      <c r="L185" s="14">
        <v>1</v>
      </c>
      <c r="M185" s="14">
        <v>4</v>
      </c>
      <c r="O185" s="13" t="s">
        <v>34</v>
      </c>
      <c r="P185" s="14">
        <v>2266</v>
      </c>
      <c r="Q185" s="14">
        <v>931</v>
      </c>
      <c r="R185" s="14">
        <v>788</v>
      </c>
      <c r="S185" s="14">
        <v>0</v>
      </c>
      <c r="T185" s="14">
        <v>547</v>
      </c>
    </row>
    <row r="186" spans="1:20" x14ac:dyDescent="0.3">
      <c r="A186" s="15" t="s">
        <v>35</v>
      </c>
      <c r="B186" s="16">
        <v>49</v>
      </c>
      <c r="C186" s="16">
        <v>22</v>
      </c>
      <c r="D186" s="16">
        <v>12</v>
      </c>
      <c r="E186" s="16">
        <v>7</v>
      </c>
      <c r="F186" s="16">
        <v>8</v>
      </c>
      <c r="H186" s="15" t="s">
        <v>35</v>
      </c>
      <c r="I186" s="16">
        <v>1</v>
      </c>
      <c r="J186" s="16">
        <v>0</v>
      </c>
      <c r="K186" s="16">
        <v>1</v>
      </c>
      <c r="L186" s="16">
        <v>0</v>
      </c>
      <c r="M186" s="16">
        <v>0</v>
      </c>
      <c r="O186" s="15" t="s">
        <v>35</v>
      </c>
      <c r="P186" s="16">
        <v>1</v>
      </c>
      <c r="Q186" s="16">
        <v>1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49</v>
      </c>
      <c r="C188" s="18">
        <v>22</v>
      </c>
      <c r="D188" s="18">
        <v>12</v>
      </c>
      <c r="E188" s="18">
        <v>7</v>
      </c>
      <c r="F188" s="18">
        <v>8</v>
      </c>
      <c r="H188" s="17" t="s">
        <v>37</v>
      </c>
      <c r="I188" s="78">
        <v>1</v>
      </c>
      <c r="J188" s="78">
        <v>0</v>
      </c>
      <c r="K188" s="78">
        <v>1</v>
      </c>
      <c r="L188" s="78">
        <v>0</v>
      </c>
      <c r="M188" s="78">
        <v>0</v>
      </c>
      <c r="O188" s="17" t="s">
        <v>37</v>
      </c>
      <c r="P188" s="112">
        <v>1</v>
      </c>
      <c r="Q188" s="112">
        <v>1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7" t="s">
        <v>89</v>
      </c>
      <c r="C189" s="168"/>
      <c r="D189" s="168"/>
      <c r="E189" s="168"/>
      <c r="F189" s="168"/>
      <c r="H189" s="17" t="s">
        <v>38</v>
      </c>
      <c r="I189" s="172" t="s">
        <v>1272</v>
      </c>
      <c r="J189" s="173"/>
      <c r="K189" s="173"/>
      <c r="L189" s="173"/>
      <c r="M189" s="173"/>
      <c r="O189" s="17" t="s">
        <v>38</v>
      </c>
      <c r="P189" s="172" t="s">
        <v>1873</v>
      </c>
      <c r="Q189" s="173"/>
      <c r="R189" s="173"/>
      <c r="S189" s="173"/>
      <c r="T189" s="173"/>
    </row>
    <row r="190" spans="1:20" ht="19.8" x14ac:dyDescent="0.3">
      <c r="A190" s="170">
        <v>46100</v>
      </c>
      <c r="B190" s="168"/>
      <c r="C190" s="168"/>
      <c r="D190" s="168"/>
      <c r="E190" s="168"/>
      <c r="F190" s="168"/>
      <c r="H190" s="171">
        <v>46123</v>
      </c>
      <c r="I190" s="174"/>
      <c r="J190" s="174"/>
      <c r="K190" s="174"/>
      <c r="L190" s="174"/>
      <c r="M190" s="174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3</v>
      </c>
      <c r="S191" s="1" t="s">
        <v>870</v>
      </c>
      <c r="T191" s="1" t="s">
        <v>4</v>
      </c>
    </row>
    <row r="192" spans="1:20" x14ac:dyDescent="0.3">
      <c r="A192" s="2" t="s">
        <v>5</v>
      </c>
      <c r="B192" s="3">
        <v>5540</v>
      </c>
      <c r="C192" s="3">
        <v>2070</v>
      </c>
      <c r="D192" s="3">
        <v>1691</v>
      </c>
      <c r="E192" s="3">
        <v>1109</v>
      </c>
      <c r="F192" s="3">
        <v>670</v>
      </c>
      <c r="H192" s="2" t="s">
        <v>5</v>
      </c>
      <c r="I192" s="3">
        <f>J192+K192+L192+M192</f>
        <v>5326</v>
      </c>
      <c r="J192" s="3">
        <v>1757</v>
      </c>
      <c r="K192" s="3">
        <v>1878</v>
      </c>
      <c r="L192" s="3">
        <v>81</v>
      </c>
      <c r="M192" s="3">
        <v>1610</v>
      </c>
      <c r="O192" s="2" t="s">
        <v>5</v>
      </c>
      <c r="P192" s="3">
        <v>4230</v>
      </c>
      <c r="Q192" s="3">
        <v>1595</v>
      </c>
      <c r="R192" s="3">
        <v>1485</v>
      </c>
      <c r="S192" s="3">
        <v>0</v>
      </c>
      <c r="T192" s="3">
        <v>1150</v>
      </c>
    </row>
    <row r="193" spans="1:20" x14ac:dyDescent="0.3">
      <c r="A193" s="2" t="s">
        <v>6</v>
      </c>
      <c r="B193" s="3">
        <v>187</v>
      </c>
      <c r="C193" s="6">
        <v>26</v>
      </c>
      <c r="D193" s="4">
        <v>18</v>
      </c>
      <c r="E193" s="5">
        <v>129</v>
      </c>
      <c r="F193" s="3">
        <v>14</v>
      </c>
      <c r="H193" s="2" t="s">
        <v>6</v>
      </c>
      <c r="I193" s="3">
        <f>J193+K193+L193+M193</f>
        <v>59</v>
      </c>
      <c r="J193" s="5">
        <v>17</v>
      </c>
      <c r="K193" s="4">
        <v>6</v>
      </c>
      <c r="L193" s="6">
        <v>15</v>
      </c>
      <c r="M193" s="6">
        <v>21</v>
      </c>
      <c r="O193" s="2" t="s">
        <v>6</v>
      </c>
      <c r="P193" s="3">
        <v>127</v>
      </c>
      <c r="Q193" s="5">
        <v>60</v>
      </c>
      <c r="R193" s="6">
        <v>38</v>
      </c>
      <c r="S193" s="3">
        <v>0</v>
      </c>
      <c r="T193" s="4">
        <v>29</v>
      </c>
    </row>
    <row r="194" spans="1:20" x14ac:dyDescent="0.3">
      <c r="A194" s="2" t="s">
        <v>7</v>
      </c>
      <c r="B194" s="3" t="s">
        <v>69</v>
      </c>
      <c r="C194" s="4" t="s">
        <v>277</v>
      </c>
      <c r="D194" s="3" t="s">
        <v>405</v>
      </c>
      <c r="E194" s="5" t="s">
        <v>731</v>
      </c>
      <c r="F194" s="6" t="s">
        <v>511</v>
      </c>
      <c r="H194" s="2" t="s">
        <v>7</v>
      </c>
      <c r="I194" s="48">
        <f>I193/I192</f>
        <v>1.1077731881336839E-2</v>
      </c>
      <c r="J194" s="6" t="s">
        <v>186</v>
      </c>
      <c r="K194" s="4" t="s">
        <v>146</v>
      </c>
      <c r="L194" s="5" t="s">
        <v>1400</v>
      </c>
      <c r="M194" s="6" t="s">
        <v>1246</v>
      </c>
      <c r="O194" s="2" t="s">
        <v>7</v>
      </c>
      <c r="P194" s="3" t="s">
        <v>1248</v>
      </c>
      <c r="Q194" s="5" t="s">
        <v>579</v>
      </c>
      <c r="R194" s="6" t="s">
        <v>402</v>
      </c>
      <c r="S194" s="3">
        <v>0</v>
      </c>
      <c r="T194" s="4" t="s">
        <v>573</v>
      </c>
    </row>
    <row r="195" spans="1:20" x14ac:dyDescent="0.3">
      <c r="A195" s="2" t="s">
        <v>12</v>
      </c>
      <c r="B195" s="3" t="s">
        <v>732</v>
      </c>
      <c r="C195" s="4" t="s">
        <v>371</v>
      </c>
      <c r="D195" s="3" t="s">
        <v>507</v>
      </c>
      <c r="E195" s="5" t="s">
        <v>733</v>
      </c>
      <c r="F195" s="6" t="s">
        <v>239</v>
      </c>
      <c r="H195" s="2" t="s">
        <v>12</v>
      </c>
      <c r="I195" s="48">
        <f>I198/I192</f>
        <v>6.0082613593691325E-3</v>
      </c>
      <c r="J195" s="6" t="s">
        <v>491</v>
      </c>
      <c r="K195" s="3" t="s">
        <v>25</v>
      </c>
      <c r="L195" s="5" t="s">
        <v>1400</v>
      </c>
      <c r="M195" s="6" t="s">
        <v>87</v>
      </c>
      <c r="O195" s="2" t="s">
        <v>12</v>
      </c>
      <c r="P195" s="3" t="s">
        <v>607</v>
      </c>
      <c r="Q195" s="5" t="s">
        <v>351</v>
      </c>
      <c r="R195" s="4" t="s">
        <v>88</v>
      </c>
      <c r="S195" s="3">
        <v>0</v>
      </c>
      <c r="T195" s="6" t="s">
        <v>551</v>
      </c>
    </row>
    <row r="196" spans="1:20" x14ac:dyDescent="0.3">
      <c r="A196" s="2" t="s">
        <v>17</v>
      </c>
      <c r="B196" s="3" t="s">
        <v>137</v>
      </c>
      <c r="C196" s="3" t="s">
        <v>157</v>
      </c>
      <c r="D196" s="6" t="s">
        <v>83</v>
      </c>
      <c r="E196" s="4" t="s">
        <v>152</v>
      </c>
      <c r="F196" s="5" t="s">
        <v>44</v>
      </c>
      <c r="H196" s="2" t="s">
        <v>17</v>
      </c>
      <c r="I196" s="48">
        <f>I204/I192</f>
        <v>4.1306796845662786E-3</v>
      </c>
      <c r="J196" s="5" t="s">
        <v>596</v>
      </c>
      <c r="K196" s="6" t="s">
        <v>146</v>
      </c>
      <c r="L196" s="3" t="s">
        <v>25</v>
      </c>
      <c r="M196" s="5" t="s">
        <v>200</v>
      </c>
      <c r="O196" s="2" t="s">
        <v>17</v>
      </c>
      <c r="P196" s="3" t="s">
        <v>1886</v>
      </c>
      <c r="Q196" s="4" t="s">
        <v>1887</v>
      </c>
      <c r="R196" s="6" t="s">
        <v>1888</v>
      </c>
      <c r="S196" s="3" t="s">
        <v>25</v>
      </c>
      <c r="T196" s="5" t="s">
        <v>1889</v>
      </c>
    </row>
    <row r="197" spans="1:20" x14ac:dyDescent="0.3">
      <c r="A197" s="2" t="s">
        <v>22</v>
      </c>
      <c r="B197" s="3" t="s">
        <v>266</v>
      </c>
      <c r="C197" s="3" t="s">
        <v>25</v>
      </c>
      <c r="D197" s="6" t="s">
        <v>507</v>
      </c>
      <c r="E197" s="4" t="s">
        <v>84</v>
      </c>
      <c r="F197" s="5" t="s">
        <v>44</v>
      </c>
      <c r="H197" s="2" t="s">
        <v>22</v>
      </c>
      <c r="I197" s="3" t="s">
        <v>309</v>
      </c>
      <c r="J197" s="5" t="s">
        <v>49</v>
      </c>
      <c r="K197" s="6" t="s">
        <v>158</v>
      </c>
      <c r="L197" s="3" t="s">
        <v>25</v>
      </c>
      <c r="M197" s="5" t="s">
        <v>268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155</v>
      </c>
      <c r="C198" s="8">
        <v>17</v>
      </c>
      <c r="D198" s="8">
        <v>7</v>
      </c>
      <c r="E198" s="8">
        <v>122</v>
      </c>
      <c r="F198" s="8">
        <v>9</v>
      </c>
      <c r="H198" s="7" t="s">
        <v>26</v>
      </c>
      <c r="I198" s="8">
        <f>J198+K198+L198+M198</f>
        <v>32</v>
      </c>
      <c r="J198" s="8">
        <v>7</v>
      </c>
      <c r="K198" s="8">
        <v>0</v>
      </c>
      <c r="L198" s="8">
        <v>15</v>
      </c>
      <c r="M198" s="8">
        <v>10</v>
      </c>
      <c r="O198" s="7" t="s">
        <v>26</v>
      </c>
      <c r="P198" s="8">
        <v>32</v>
      </c>
      <c r="Q198" s="8">
        <v>21</v>
      </c>
      <c r="R198" s="8">
        <v>4</v>
      </c>
      <c r="S198" s="8">
        <v>0</v>
      </c>
      <c r="T198" s="8">
        <v>7</v>
      </c>
    </row>
    <row r="199" spans="1:20" x14ac:dyDescent="0.3">
      <c r="A199" s="9" t="s">
        <v>27</v>
      </c>
      <c r="B199" s="10">
        <v>54</v>
      </c>
      <c r="C199" s="10">
        <v>10</v>
      </c>
      <c r="D199" s="10">
        <v>7</v>
      </c>
      <c r="E199" s="10">
        <v>31</v>
      </c>
      <c r="F199" s="10">
        <v>6</v>
      </c>
      <c r="H199" s="9" t="s">
        <v>27</v>
      </c>
      <c r="I199" s="10">
        <v>9</v>
      </c>
      <c r="J199" s="10">
        <v>7</v>
      </c>
      <c r="K199" s="10">
        <v>0</v>
      </c>
      <c r="L199" s="10">
        <v>2</v>
      </c>
      <c r="M199" s="10">
        <v>5</v>
      </c>
      <c r="O199" s="9" t="s">
        <v>27</v>
      </c>
      <c r="P199" s="10">
        <v>27</v>
      </c>
      <c r="Q199" s="10">
        <v>17</v>
      </c>
      <c r="R199" s="10">
        <v>4</v>
      </c>
      <c r="S199" s="10">
        <v>0</v>
      </c>
      <c r="T199" s="10">
        <v>6</v>
      </c>
    </row>
    <row r="200" spans="1:20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H200" s="9" t="s">
        <v>28</v>
      </c>
      <c r="I200" s="10">
        <v>1</v>
      </c>
      <c r="J200" s="10">
        <v>0</v>
      </c>
      <c r="K200" s="10">
        <v>0</v>
      </c>
      <c r="L200" s="10">
        <v>1</v>
      </c>
      <c r="M200" s="10">
        <v>1</v>
      </c>
      <c r="O200" s="9" t="s">
        <v>28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101</v>
      </c>
      <c r="C202" s="10">
        <v>7</v>
      </c>
      <c r="D202" s="10">
        <v>0</v>
      </c>
      <c r="E202" s="10">
        <v>91</v>
      </c>
      <c r="F202" s="10">
        <v>3</v>
      </c>
      <c r="H202" s="9" t="s">
        <v>30</v>
      </c>
      <c r="I202" s="10">
        <v>12</v>
      </c>
      <c r="J202" s="10">
        <v>0</v>
      </c>
      <c r="K202" s="10">
        <v>0</v>
      </c>
      <c r="L202" s="10">
        <v>12</v>
      </c>
      <c r="M202" s="10">
        <v>4</v>
      </c>
      <c r="O202" s="9" t="s">
        <v>30</v>
      </c>
      <c r="P202" s="10">
        <v>5</v>
      </c>
      <c r="Q202" s="10">
        <v>4</v>
      </c>
      <c r="R202" s="10">
        <v>0</v>
      </c>
      <c r="S202" s="10">
        <v>0</v>
      </c>
      <c r="T202" s="10">
        <v>1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32</v>
      </c>
      <c r="C204" s="12">
        <v>9</v>
      </c>
      <c r="D204" s="12">
        <v>11</v>
      </c>
      <c r="E204" s="12">
        <v>7</v>
      </c>
      <c r="F204" s="12">
        <v>5</v>
      </c>
      <c r="H204" s="11" t="s">
        <v>32</v>
      </c>
      <c r="I204" s="12">
        <f>J204+K204+L204+M204</f>
        <v>22</v>
      </c>
      <c r="J204" s="12">
        <v>10</v>
      </c>
      <c r="K204" s="12">
        <v>6</v>
      </c>
      <c r="L204" s="12">
        <v>0</v>
      </c>
      <c r="M204" s="12">
        <v>6</v>
      </c>
      <c r="O204" s="11" t="s">
        <v>32</v>
      </c>
      <c r="P204" s="12">
        <v>2032</v>
      </c>
      <c r="Q204" s="12">
        <v>711</v>
      </c>
      <c r="R204" s="12">
        <v>737</v>
      </c>
      <c r="S204" s="12">
        <v>0</v>
      </c>
      <c r="T204" s="12">
        <v>584</v>
      </c>
    </row>
    <row r="205" spans="1:20" x14ac:dyDescent="0.3">
      <c r="A205" s="13" t="s">
        <v>33</v>
      </c>
      <c r="B205" s="14">
        <v>15</v>
      </c>
      <c r="C205" s="14">
        <v>4</v>
      </c>
      <c r="D205" s="14">
        <v>6</v>
      </c>
      <c r="E205" s="14">
        <v>5</v>
      </c>
      <c r="F205" s="14">
        <v>0</v>
      </c>
      <c r="H205" s="13" t="s">
        <v>33</v>
      </c>
      <c r="I205" s="14">
        <v>3</v>
      </c>
      <c r="J205" s="14">
        <v>3</v>
      </c>
      <c r="K205" s="14">
        <v>0</v>
      </c>
      <c r="L205" s="14">
        <v>0</v>
      </c>
      <c r="M205" s="14">
        <v>1</v>
      </c>
      <c r="O205" s="13" t="s">
        <v>33</v>
      </c>
      <c r="P205" s="14">
        <v>62</v>
      </c>
      <c r="Q205" s="14">
        <v>28</v>
      </c>
      <c r="R205" s="14">
        <v>23</v>
      </c>
      <c r="S205" s="14">
        <v>0</v>
      </c>
      <c r="T205" s="14">
        <v>11</v>
      </c>
    </row>
    <row r="206" spans="1:20" x14ac:dyDescent="0.3">
      <c r="A206" s="13" t="s">
        <v>34</v>
      </c>
      <c r="B206" s="14">
        <v>17</v>
      </c>
      <c r="C206" s="14">
        <v>5</v>
      </c>
      <c r="D206" s="14">
        <v>5</v>
      </c>
      <c r="E206" s="14">
        <v>2</v>
      </c>
      <c r="F206" s="14">
        <v>5</v>
      </c>
      <c r="H206" s="13" t="s">
        <v>34</v>
      </c>
      <c r="I206" s="14">
        <f>J206+K206+M206</f>
        <v>18</v>
      </c>
      <c r="J206" s="14">
        <v>7</v>
      </c>
      <c r="K206" s="14">
        <v>6</v>
      </c>
      <c r="L206" s="14">
        <v>0</v>
      </c>
      <c r="M206" s="14">
        <v>5</v>
      </c>
      <c r="O206" s="13" t="s">
        <v>34</v>
      </c>
      <c r="P206" s="14">
        <v>1970</v>
      </c>
      <c r="Q206" s="14">
        <v>683</v>
      </c>
      <c r="R206" s="14">
        <v>714</v>
      </c>
      <c r="S206" s="14">
        <v>0</v>
      </c>
      <c r="T206" s="14">
        <v>573</v>
      </c>
    </row>
    <row r="207" spans="1:20" x14ac:dyDescent="0.3">
      <c r="A207" s="15" t="s">
        <v>35</v>
      </c>
      <c r="B207" s="16">
        <v>13</v>
      </c>
      <c r="C207" s="16">
        <v>0</v>
      </c>
      <c r="D207" s="16">
        <v>7</v>
      </c>
      <c r="E207" s="16">
        <v>1</v>
      </c>
      <c r="F207" s="16">
        <v>5</v>
      </c>
      <c r="H207" s="15" t="s">
        <v>35</v>
      </c>
      <c r="I207" s="16">
        <f>4</f>
        <v>4</v>
      </c>
      <c r="J207" s="16">
        <v>2</v>
      </c>
      <c r="K207" s="16">
        <v>1</v>
      </c>
      <c r="L207" s="16">
        <v>0</v>
      </c>
      <c r="M207" s="16">
        <v>1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1</v>
      </c>
      <c r="C208" s="18">
        <v>0</v>
      </c>
      <c r="D208" s="18">
        <v>0</v>
      </c>
      <c r="E208" s="18">
        <v>0</v>
      </c>
      <c r="F208" s="18">
        <v>1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13</v>
      </c>
      <c r="C209" s="18">
        <v>0</v>
      </c>
      <c r="D209" s="18">
        <v>7</v>
      </c>
      <c r="E209" s="18">
        <v>1</v>
      </c>
      <c r="F209" s="18">
        <v>5</v>
      </c>
      <c r="H209" s="17" t="s">
        <v>37</v>
      </c>
      <c r="I209" s="78">
        <v>4</v>
      </c>
      <c r="J209" s="78">
        <v>2</v>
      </c>
      <c r="K209" s="78">
        <v>1</v>
      </c>
      <c r="L209" s="78">
        <v>0</v>
      </c>
      <c r="M209" s="78">
        <v>1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7" t="s">
        <v>89</v>
      </c>
      <c r="C210" s="168"/>
      <c r="D210" s="168"/>
      <c r="E210" s="168"/>
      <c r="F210" s="168"/>
      <c r="H210" s="17" t="s">
        <v>38</v>
      </c>
      <c r="I210" s="172" t="s">
        <v>1272</v>
      </c>
      <c r="J210" s="173"/>
      <c r="K210" s="173"/>
      <c r="L210" s="173"/>
      <c r="M210" s="173"/>
      <c r="O210" s="17" t="s">
        <v>38</v>
      </c>
      <c r="P210" s="172" t="s">
        <v>1890</v>
      </c>
      <c r="Q210" s="173"/>
      <c r="R210" s="173"/>
      <c r="S210" s="173"/>
      <c r="T210" s="173"/>
    </row>
    <row r="211" spans="1:20" ht="19.8" x14ac:dyDescent="0.3">
      <c r="A211" s="171">
        <v>46101</v>
      </c>
      <c r="B211" s="171"/>
      <c r="C211" s="171"/>
      <c r="D211" s="171"/>
      <c r="E211" s="171"/>
      <c r="F211" s="171"/>
      <c r="H211" s="171">
        <v>46125</v>
      </c>
      <c r="I211" s="171"/>
      <c r="J211" s="171"/>
      <c r="K211" s="171"/>
      <c r="L211" s="171"/>
      <c r="M211" s="171"/>
      <c r="O211" s="171">
        <v>46156</v>
      </c>
      <c r="P211" s="171"/>
      <c r="Q211" s="171"/>
      <c r="R211" s="171"/>
      <c r="S211" s="171"/>
      <c r="T211" s="171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760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870</v>
      </c>
      <c r="T212" s="1" t="s">
        <v>4</v>
      </c>
    </row>
    <row r="213" spans="1:20" x14ac:dyDescent="0.3">
      <c r="A213" s="2" t="s">
        <v>5</v>
      </c>
      <c r="B213" s="3">
        <v>3756</v>
      </c>
      <c r="C213" s="3">
        <v>2016</v>
      </c>
      <c r="D213" s="3">
        <v>1613</v>
      </c>
      <c r="E213" s="3">
        <v>1049</v>
      </c>
      <c r="F213" s="3">
        <v>691</v>
      </c>
      <c r="H213" s="2" t="s">
        <v>5</v>
      </c>
      <c r="I213" s="3">
        <f>J213+K213+L213+M213</f>
        <v>3670</v>
      </c>
      <c r="J213" s="3">
        <v>1244</v>
      </c>
      <c r="K213" s="3">
        <v>1193</v>
      </c>
      <c r="L213" s="3">
        <v>274</v>
      </c>
      <c r="M213" s="3">
        <v>959</v>
      </c>
      <c r="O213" s="2" t="s">
        <v>5</v>
      </c>
      <c r="P213" s="3">
        <v>5698</v>
      </c>
      <c r="Q213" s="3">
        <v>2224</v>
      </c>
      <c r="R213" s="3">
        <v>2025</v>
      </c>
      <c r="S213" s="3">
        <v>0</v>
      </c>
      <c r="T213" s="3">
        <v>1449</v>
      </c>
    </row>
    <row r="214" spans="1:20" x14ac:dyDescent="0.3">
      <c r="A214" s="2" t="s">
        <v>6</v>
      </c>
      <c r="B214" s="3">
        <v>310</v>
      </c>
      <c r="C214" s="6">
        <v>44</v>
      </c>
      <c r="D214" s="5">
        <v>17</v>
      </c>
      <c r="E214" s="5">
        <v>242</v>
      </c>
      <c r="F214" s="4">
        <v>24</v>
      </c>
      <c r="H214" s="2" t="s">
        <v>6</v>
      </c>
      <c r="I214" s="3">
        <f>J214+K214+L214+M214</f>
        <v>36</v>
      </c>
      <c r="J214" s="5">
        <v>10</v>
      </c>
      <c r="K214" s="4">
        <v>3</v>
      </c>
      <c r="L214" s="6">
        <v>9</v>
      </c>
      <c r="M214" s="6">
        <v>14</v>
      </c>
      <c r="O214" s="2" t="s">
        <v>6</v>
      </c>
      <c r="P214" s="3">
        <v>279</v>
      </c>
      <c r="Q214" s="5">
        <v>118</v>
      </c>
      <c r="R214" s="6">
        <v>98</v>
      </c>
      <c r="S214" s="3">
        <v>0</v>
      </c>
      <c r="T214" s="4">
        <v>63</v>
      </c>
    </row>
    <row r="215" spans="1:20" x14ac:dyDescent="0.3">
      <c r="A215" s="2" t="s">
        <v>7</v>
      </c>
      <c r="B215" s="3" t="s">
        <v>768</v>
      </c>
      <c r="C215" s="4" t="s">
        <v>59</v>
      </c>
      <c r="D215" s="5" t="s">
        <v>806</v>
      </c>
      <c r="E215" s="5" t="s">
        <v>769</v>
      </c>
      <c r="F215" s="6" t="s">
        <v>770</v>
      </c>
      <c r="H215" s="2" t="s">
        <v>7</v>
      </c>
      <c r="I215" s="48">
        <f>I214/I213</f>
        <v>9.8092643051771126E-3</v>
      </c>
      <c r="J215" s="6" t="s">
        <v>233</v>
      </c>
      <c r="K215" s="4" t="s">
        <v>47</v>
      </c>
      <c r="L215" s="5" t="s">
        <v>1441</v>
      </c>
      <c r="M215" s="6" t="s">
        <v>1451</v>
      </c>
      <c r="O215" s="2" t="s">
        <v>7</v>
      </c>
      <c r="P215" s="3" t="s">
        <v>383</v>
      </c>
      <c r="Q215" s="5" t="s">
        <v>882</v>
      </c>
      <c r="R215" s="6" t="s">
        <v>603</v>
      </c>
      <c r="S215" s="3">
        <v>0</v>
      </c>
      <c r="T215" s="4" t="s">
        <v>1689</v>
      </c>
    </row>
    <row r="216" spans="1:20" x14ac:dyDescent="0.3">
      <c r="A216" s="2" t="s">
        <v>12</v>
      </c>
      <c r="B216" s="3" t="s">
        <v>771</v>
      </c>
      <c r="C216" s="4" t="s">
        <v>174</v>
      </c>
      <c r="D216" s="5" t="s">
        <v>47</v>
      </c>
      <c r="E216" s="5" t="s">
        <v>772</v>
      </c>
      <c r="F216" s="6" t="s">
        <v>773</v>
      </c>
      <c r="H216" s="2" t="s">
        <v>12</v>
      </c>
      <c r="I216" s="48">
        <f>I219/I213</f>
        <v>2.7247956403269754E-3</v>
      </c>
      <c r="J216" s="6" t="s">
        <v>154</v>
      </c>
      <c r="K216" s="4" t="s">
        <v>309</v>
      </c>
      <c r="L216" s="5" t="s">
        <v>184</v>
      </c>
      <c r="M216" s="6" t="s">
        <v>300</v>
      </c>
      <c r="O216" s="2" t="s">
        <v>12</v>
      </c>
      <c r="P216" s="3" t="s">
        <v>1318</v>
      </c>
      <c r="Q216" s="5" t="s">
        <v>453</v>
      </c>
      <c r="R216" s="4" t="s">
        <v>1362</v>
      </c>
      <c r="S216" s="3">
        <v>0</v>
      </c>
      <c r="T216" s="6" t="s">
        <v>120</v>
      </c>
    </row>
    <row r="217" spans="1:20" x14ac:dyDescent="0.3">
      <c r="A217" s="2" t="s">
        <v>17</v>
      </c>
      <c r="B217" s="3" t="s">
        <v>774</v>
      </c>
      <c r="C217" s="4" t="s">
        <v>364</v>
      </c>
      <c r="D217" s="5" t="s">
        <v>64</v>
      </c>
      <c r="E217" s="6" t="s">
        <v>775</v>
      </c>
      <c r="F217" s="5" t="s">
        <v>776</v>
      </c>
      <c r="H217" s="2" t="s">
        <v>17</v>
      </c>
      <c r="I217" s="48">
        <f>I225/I213</f>
        <v>4.0871934604904629E-3</v>
      </c>
      <c r="J217" s="5" t="s">
        <v>153</v>
      </c>
      <c r="K217" s="4" t="s">
        <v>108</v>
      </c>
      <c r="L217" s="6" t="s">
        <v>134</v>
      </c>
      <c r="M217" s="5" t="s">
        <v>152</v>
      </c>
      <c r="O217" s="2" t="s">
        <v>17</v>
      </c>
      <c r="P217" s="3" t="s">
        <v>578</v>
      </c>
      <c r="Q217" s="6" t="s">
        <v>278</v>
      </c>
      <c r="R217" s="5" t="s">
        <v>630</v>
      </c>
      <c r="S217" s="3" t="s">
        <v>25</v>
      </c>
      <c r="T217" s="4" t="s">
        <v>581</v>
      </c>
    </row>
    <row r="218" spans="1:20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49</v>
      </c>
      <c r="J218" s="5" t="s">
        <v>154</v>
      </c>
      <c r="K218" s="6" t="s">
        <v>309</v>
      </c>
      <c r="L218" s="3" t="s">
        <v>25</v>
      </c>
      <c r="M218" s="5" t="s">
        <v>77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245</v>
      </c>
      <c r="C219" s="8">
        <v>12</v>
      </c>
      <c r="D219" s="8">
        <v>4</v>
      </c>
      <c r="E219" s="8">
        <v>223</v>
      </c>
      <c r="F219" s="8">
        <v>10</v>
      </c>
      <c r="H219" s="7" t="s">
        <v>26</v>
      </c>
      <c r="I219" s="8">
        <v>10</v>
      </c>
      <c r="J219" s="8">
        <v>2</v>
      </c>
      <c r="K219" s="8">
        <v>1</v>
      </c>
      <c r="L219" s="8">
        <v>7</v>
      </c>
      <c r="M219" s="8">
        <v>7</v>
      </c>
      <c r="O219" s="7" t="s">
        <v>26</v>
      </c>
      <c r="P219" s="8">
        <v>148</v>
      </c>
      <c r="Q219" s="8">
        <v>71</v>
      </c>
      <c r="R219" s="8">
        <v>42</v>
      </c>
      <c r="S219" s="8">
        <v>0</v>
      </c>
      <c r="T219" s="8">
        <v>35</v>
      </c>
    </row>
    <row r="220" spans="1:20" x14ac:dyDescent="0.3">
      <c r="A220" s="9" t="s">
        <v>27</v>
      </c>
      <c r="B220" s="10">
        <v>36</v>
      </c>
      <c r="C220" s="10">
        <v>8</v>
      </c>
      <c r="D220" s="10">
        <v>4</v>
      </c>
      <c r="E220" s="10">
        <v>24</v>
      </c>
      <c r="F220" s="10">
        <v>4</v>
      </c>
      <c r="H220" s="9" t="s">
        <v>27</v>
      </c>
      <c r="I220" s="10">
        <v>3</v>
      </c>
      <c r="J220" s="10">
        <v>2</v>
      </c>
      <c r="K220" s="10">
        <v>1</v>
      </c>
      <c r="L220" s="10">
        <v>0</v>
      </c>
      <c r="M220" s="10">
        <v>4</v>
      </c>
      <c r="O220" s="9" t="s">
        <v>27</v>
      </c>
      <c r="P220" s="10">
        <v>100</v>
      </c>
      <c r="Q220" s="10">
        <v>47</v>
      </c>
      <c r="R220" s="10">
        <v>32</v>
      </c>
      <c r="S220" s="10">
        <v>0</v>
      </c>
      <c r="T220" s="10">
        <v>21</v>
      </c>
    </row>
    <row r="221" spans="1:20" x14ac:dyDescent="0.3">
      <c r="A221" s="9" t="s">
        <v>28</v>
      </c>
      <c r="B221" s="10">
        <v>1</v>
      </c>
      <c r="C221" s="10">
        <v>0</v>
      </c>
      <c r="D221" s="10">
        <v>0</v>
      </c>
      <c r="E221" s="10">
        <v>1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1</v>
      </c>
      <c r="O221" s="9" t="s">
        <v>28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208</v>
      </c>
      <c r="C223" s="10">
        <v>4</v>
      </c>
      <c r="D223" s="10">
        <v>0</v>
      </c>
      <c r="E223" s="10">
        <v>198</v>
      </c>
      <c r="F223" s="10">
        <v>6</v>
      </c>
      <c r="H223" s="9" t="s">
        <v>30</v>
      </c>
      <c r="I223" s="10">
        <v>7</v>
      </c>
      <c r="J223" s="10">
        <v>0</v>
      </c>
      <c r="K223" s="10">
        <v>0</v>
      </c>
      <c r="L223" s="10">
        <v>7</v>
      </c>
      <c r="M223" s="10">
        <v>2</v>
      </c>
      <c r="O223" s="9" t="s">
        <v>30</v>
      </c>
      <c r="P223" s="10">
        <v>48</v>
      </c>
      <c r="Q223" s="10">
        <v>24</v>
      </c>
      <c r="R223" s="10">
        <v>10</v>
      </c>
      <c r="S223" s="10">
        <v>0</v>
      </c>
      <c r="T223" s="10">
        <v>14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65</v>
      </c>
      <c r="C225" s="12">
        <v>32</v>
      </c>
      <c r="D225" s="12">
        <v>13</v>
      </c>
      <c r="E225" s="12">
        <v>19</v>
      </c>
      <c r="F225" s="12">
        <v>14</v>
      </c>
      <c r="H225" s="11" t="s">
        <v>32</v>
      </c>
      <c r="I225" s="12">
        <f>J225+K225+L225+M225</f>
        <v>15</v>
      </c>
      <c r="J225" s="12">
        <v>6</v>
      </c>
      <c r="K225" s="12">
        <v>2</v>
      </c>
      <c r="L225" s="12">
        <v>1</v>
      </c>
      <c r="M225" s="12">
        <v>6</v>
      </c>
      <c r="O225" s="11" t="s">
        <v>32</v>
      </c>
      <c r="P225" s="12">
        <v>131</v>
      </c>
      <c r="Q225" s="12">
        <v>47</v>
      </c>
      <c r="R225" s="12">
        <v>56</v>
      </c>
      <c r="S225" s="12">
        <v>0</v>
      </c>
      <c r="T225" s="12">
        <v>28</v>
      </c>
    </row>
    <row r="226" spans="1:20" x14ac:dyDescent="0.3">
      <c r="A226" s="13" t="s">
        <v>33</v>
      </c>
      <c r="B226" s="14">
        <v>4</v>
      </c>
      <c r="C226" s="14">
        <v>1</v>
      </c>
      <c r="D226" s="14">
        <v>1</v>
      </c>
      <c r="E226" s="14">
        <v>1</v>
      </c>
      <c r="F226" s="14">
        <v>2</v>
      </c>
      <c r="H226" s="13" t="s">
        <v>33</v>
      </c>
      <c r="I226" s="14">
        <v>2</v>
      </c>
      <c r="J226" s="14">
        <v>2</v>
      </c>
      <c r="K226" s="14">
        <v>0</v>
      </c>
      <c r="L226" s="14">
        <v>0</v>
      </c>
      <c r="M226" s="14">
        <v>0</v>
      </c>
      <c r="O226" s="13" t="s">
        <v>33</v>
      </c>
      <c r="P226" s="14">
        <v>1</v>
      </c>
      <c r="Q226" s="14">
        <v>1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61</v>
      </c>
      <c r="C227" s="14">
        <v>31</v>
      </c>
      <c r="D227" s="14">
        <v>12</v>
      </c>
      <c r="E227" s="14">
        <v>18</v>
      </c>
      <c r="F227" s="14">
        <v>12</v>
      </c>
      <c r="H227" s="13" t="s">
        <v>34</v>
      </c>
      <c r="I227" s="14">
        <f>J227+K227+L227+M227</f>
        <v>13</v>
      </c>
      <c r="J227" s="14">
        <v>4</v>
      </c>
      <c r="K227" s="14">
        <v>2</v>
      </c>
      <c r="L227" s="14">
        <v>1</v>
      </c>
      <c r="M227" s="14">
        <v>6</v>
      </c>
      <c r="O227" s="13" t="s">
        <v>34</v>
      </c>
      <c r="P227" s="14">
        <v>130</v>
      </c>
      <c r="Q227" s="14">
        <v>46</v>
      </c>
      <c r="R227" s="14">
        <v>56</v>
      </c>
      <c r="S227" s="14">
        <v>0</v>
      </c>
      <c r="T227" s="14">
        <v>28</v>
      </c>
    </row>
    <row r="228" spans="1:20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H228" s="15" t="s">
        <v>35</v>
      </c>
      <c r="I228" s="16">
        <f>J228+K228+M228</f>
        <v>5</v>
      </c>
      <c r="J228" s="16">
        <v>2</v>
      </c>
      <c r="K228" s="16">
        <v>1</v>
      </c>
      <c r="L228" s="16">
        <v>0</v>
      </c>
      <c r="M228" s="16">
        <v>2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f>J230+K230+M230</f>
        <v>5</v>
      </c>
      <c r="J230" s="78">
        <v>2</v>
      </c>
      <c r="K230" s="78">
        <v>1</v>
      </c>
      <c r="L230" s="78">
        <v>0</v>
      </c>
      <c r="M230" s="78">
        <v>2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72" t="s">
        <v>89</v>
      </c>
      <c r="C231" s="173"/>
      <c r="D231" s="173"/>
      <c r="E231" s="173"/>
      <c r="F231" s="173"/>
      <c r="H231" s="17" t="s">
        <v>38</v>
      </c>
      <c r="I231" s="172" t="s">
        <v>1272</v>
      </c>
      <c r="J231" s="173"/>
      <c r="K231" s="173"/>
      <c r="L231" s="173"/>
      <c r="M231" s="173"/>
      <c r="O231" s="17" t="s">
        <v>38</v>
      </c>
      <c r="P231" s="172" t="s">
        <v>1595</v>
      </c>
      <c r="Q231" s="173"/>
      <c r="R231" s="173"/>
      <c r="S231" s="173"/>
      <c r="T231" s="173"/>
    </row>
    <row r="232" spans="1:20" ht="19.8" x14ac:dyDescent="0.3">
      <c r="A232" s="170">
        <v>46102</v>
      </c>
      <c r="B232" s="168"/>
      <c r="C232" s="168"/>
      <c r="D232" s="168"/>
      <c r="E232" s="168"/>
      <c r="F232" s="168"/>
      <c r="H232" s="170">
        <v>46126</v>
      </c>
      <c r="I232" s="169"/>
      <c r="J232" s="169"/>
      <c r="K232" s="169"/>
      <c r="L232" s="169"/>
      <c r="M232" s="169"/>
      <c r="O232" s="171">
        <v>46157</v>
      </c>
      <c r="P232" s="171"/>
      <c r="Q232" s="171"/>
      <c r="R232" s="171"/>
      <c r="S232" s="171"/>
      <c r="T232" s="171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870</v>
      </c>
      <c r="T233" s="1" t="s">
        <v>4</v>
      </c>
    </row>
    <row r="234" spans="1:20" x14ac:dyDescent="0.3">
      <c r="A234" s="2" t="s">
        <v>5</v>
      </c>
      <c r="B234" s="3">
        <v>4388</v>
      </c>
      <c r="C234" s="3">
        <v>1678</v>
      </c>
      <c r="D234" s="3">
        <v>1182</v>
      </c>
      <c r="E234" s="3">
        <v>888</v>
      </c>
      <c r="F234" s="3">
        <v>640</v>
      </c>
      <c r="H234" s="2" t="s">
        <v>5</v>
      </c>
      <c r="I234" s="3">
        <f>J234+K234+L234+M234</f>
        <v>5687</v>
      </c>
      <c r="J234" s="3">
        <v>1928</v>
      </c>
      <c r="K234" s="3">
        <v>1939</v>
      </c>
      <c r="L234" s="3">
        <v>399</v>
      </c>
      <c r="M234" s="3">
        <v>1421</v>
      </c>
      <c r="O234" s="2" t="s">
        <v>5</v>
      </c>
      <c r="P234" s="3">
        <v>5598</v>
      </c>
      <c r="Q234" s="3">
        <v>2128</v>
      </c>
      <c r="R234" s="3">
        <v>1888</v>
      </c>
      <c r="S234" s="3">
        <v>0</v>
      </c>
      <c r="T234" s="3">
        <v>1582</v>
      </c>
    </row>
    <row r="235" spans="1:20" x14ac:dyDescent="0.3">
      <c r="A235" s="2" t="s">
        <v>6</v>
      </c>
      <c r="B235" s="3">
        <v>416</v>
      </c>
      <c r="C235" s="6">
        <v>82</v>
      </c>
      <c r="D235" s="4">
        <v>44</v>
      </c>
      <c r="E235" s="5">
        <v>252</v>
      </c>
      <c r="F235" s="3">
        <v>38</v>
      </c>
      <c r="H235" s="2" t="s">
        <v>6</v>
      </c>
      <c r="I235" s="3">
        <f>J235+K235+L235+M235</f>
        <v>220</v>
      </c>
      <c r="J235" s="6">
        <v>6</v>
      </c>
      <c r="K235" s="4">
        <v>5</v>
      </c>
      <c r="L235" s="5">
        <v>187</v>
      </c>
      <c r="M235" s="5">
        <v>22</v>
      </c>
      <c r="O235" s="2" t="s">
        <v>6</v>
      </c>
      <c r="P235" s="3">
        <v>302</v>
      </c>
      <c r="Q235" s="5">
        <v>126</v>
      </c>
      <c r="R235" s="4">
        <v>71</v>
      </c>
      <c r="S235" s="3">
        <v>0</v>
      </c>
      <c r="T235" s="6">
        <v>105</v>
      </c>
    </row>
    <row r="236" spans="1:20" x14ac:dyDescent="0.3">
      <c r="A236" s="2" t="s">
        <v>7</v>
      </c>
      <c r="B236" s="3" t="s">
        <v>813</v>
      </c>
      <c r="C236" s="4" t="s">
        <v>814</v>
      </c>
      <c r="D236" s="3" t="s">
        <v>460</v>
      </c>
      <c r="E236" s="5" t="s">
        <v>815</v>
      </c>
      <c r="F236" s="6" t="s">
        <v>816</v>
      </c>
      <c r="H236" s="2" t="s">
        <v>7</v>
      </c>
      <c r="I236" s="48">
        <f>I235/I234</f>
        <v>3.8684719535783368E-2</v>
      </c>
      <c r="J236" s="6" t="s">
        <v>74</v>
      </c>
      <c r="K236" s="4" t="s">
        <v>101</v>
      </c>
      <c r="L236" s="5" t="s">
        <v>1461</v>
      </c>
      <c r="M236" s="5" t="s">
        <v>544</v>
      </c>
      <c r="O236" s="2" t="s">
        <v>7</v>
      </c>
      <c r="P236" s="3" t="s">
        <v>1913</v>
      </c>
      <c r="Q236" s="6" t="s">
        <v>730</v>
      </c>
      <c r="R236" s="4" t="s">
        <v>579</v>
      </c>
      <c r="S236" s="3">
        <v>0</v>
      </c>
      <c r="T236" s="5" t="s">
        <v>1615</v>
      </c>
    </row>
    <row r="237" spans="1:20" x14ac:dyDescent="0.3">
      <c r="A237" s="2" t="s">
        <v>12</v>
      </c>
      <c r="B237" s="3" t="s">
        <v>817</v>
      </c>
      <c r="C237" s="4" t="s">
        <v>416</v>
      </c>
      <c r="D237" s="3" t="s">
        <v>78</v>
      </c>
      <c r="E237" s="5" t="s">
        <v>818</v>
      </c>
      <c r="F237" s="6" t="s">
        <v>776</v>
      </c>
      <c r="H237" s="2" t="s">
        <v>12</v>
      </c>
      <c r="I237" s="48">
        <f>I240/I234</f>
        <v>3.6750483558994199E-2</v>
      </c>
      <c r="J237" s="6" t="s">
        <v>154</v>
      </c>
      <c r="K237" s="4" t="s">
        <v>158</v>
      </c>
      <c r="L237" s="5" t="s">
        <v>1462</v>
      </c>
      <c r="M237" s="5" t="s">
        <v>239</v>
      </c>
      <c r="O237" s="2" t="s">
        <v>12</v>
      </c>
      <c r="P237" s="3" t="s">
        <v>557</v>
      </c>
      <c r="Q237" s="6" t="s">
        <v>1602</v>
      </c>
      <c r="R237" s="4" t="s">
        <v>1282</v>
      </c>
      <c r="S237" s="3">
        <v>0</v>
      </c>
      <c r="T237" s="5" t="s">
        <v>226</v>
      </c>
    </row>
    <row r="238" spans="1:20" x14ac:dyDescent="0.3">
      <c r="A238" s="2" t="s">
        <v>17</v>
      </c>
      <c r="B238" s="3" t="s">
        <v>819</v>
      </c>
      <c r="C238" s="5" t="s">
        <v>270</v>
      </c>
      <c r="D238" s="4" t="s">
        <v>490</v>
      </c>
      <c r="E238" s="3" t="s">
        <v>388</v>
      </c>
      <c r="F238" s="6" t="s">
        <v>640</v>
      </c>
      <c r="H238" s="2" t="s">
        <v>17</v>
      </c>
      <c r="I238" s="48">
        <f>I246/I234</f>
        <v>1.2308774397749253E-3</v>
      </c>
      <c r="J238" s="4" t="s">
        <v>158</v>
      </c>
      <c r="K238" s="6" t="s">
        <v>81</v>
      </c>
      <c r="L238" s="5" t="s">
        <v>47</v>
      </c>
      <c r="M238" s="5" t="s">
        <v>77</v>
      </c>
      <c r="O238" s="2" t="s">
        <v>17</v>
      </c>
      <c r="P238" s="3" t="s">
        <v>630</v>
      </c>
      <c r="Q238" s="4" t="s">
        <v>391</v>
      </c>
      <c r="R238" s="6" t="s">
        <v>1083</v>
      </c>
      <c r="S238" s="3" t="s">
        <v>25</v>
      </c>
      <c r="T238" s="5" t="s">
        <v>925</v>
      </c>
    </row>
    <row r="239" spans="1:20" x14ac:dyDescent="0.3">
      <c r="A239" s="2" t="s">
        <v>22</v>
      </c>
      <c r="B239" s="3" t="s">
        <v>158</v>
      </c>
      <c r="C239" s="6" t="s">
        <v>268</v>
      </c>
      <c r="D239" s="5" t="s">
        <v>309</v>
      </c>
      <c r="E239" s="3" t="s">
        <v>25</v>
      </c>
      <c r="F239" s="3" t="s">
        <v>25</v>
      </c>
      <c r="H239" s="2" t="s">
        <v>22</v>
      </c>
      <c r="I239" s="3" t="s">
        <v>158</v>
      </c>
      <c r="J239" s="3" t="s">
        <v>25</v>
      </c>
      <c r="K239" s="5" t="s">
        <v>81</v>
      </c>
      <c r="L239" s="3" t="s">
        <v>25</v>
      </c>
      <c r="M239" s="3" t="s">
        <v>25</v>
      </c>
      <c r="O239" s="2" t="s">
        <v>22</v>
      </c>
      <c r="P239" s="3" t="s">
        <v>241</v>
      </c>
      <c r="Q239" s="5" t="s">
        <v>65</v>
      </c>
      <c r="R239" s="6" t="s">
        <v>78</v>
      </c>
      <c r="S239" s="3" t="s">
        <v>25</v>
      </c>
      <c r="T239" s="4" t="s">
        <v>146</v>
      </c>
    </row>
    <row r="240" spans="1:20" x14ac:dyDescent="0.3">
      <c r="A240" s="7" t="s">
        <v>26</v>
      </c>
      <c r="B240" s="8">
        <v>257</v>
      </c>
      <c r="C240" s="8">
        <v>11</v>
      </c>
      <c r="D240" s="8">
        <v>5</v>
      </c>
      <c r="E240" s="8">
        <v>228</v>
      </c>
      <c r="F240" s="8">
        <v>13</v>
      </c>
      <c r="H240" s="7" t="s">
        <v>26</v>
      </c>
      <c r="I240" s="8">
        <f>J240+K240+L240+M240</f>
        <v>209</v>
      </c>
      <c r="J240" s="8">
        <v>3</v>
      </c>
      <c r="K240" s="8">
        <v>1</v>
      </c>
      <c r="L240" s="8">
        <v>186</v>
      </c>
      <c r="M240" s="8">
        <v>19</v>
      </c>
      <c r="O240" s="7" t="s">
        <v>26</v>
      </c>
      <c r="P240" s="8">
        <v>147</v>
      </c>
      <c r="Q240" s="8">
        <v>71</v>
      </c>
      <c r="R240" s="8">
        <v>19</v>
      </c>
      <c r="S240" s="8">
        <v>0</v>
      </c>
      <c r="T240" s="8">
        <v>57</v>
      </c>
    </row>
    <row r="241" spans="1:20" x14ac:dyDescent="0.3">
      <c r="A241" s="9" t="s">
        <v>27</v>
      </c>
      <c r="B241" s="10">
        <v>44</v>
      </c>
      <c r="C241" s="10">
        <v>5</v>
      </c>
      <c r="D241" s="10">
        <v>5</v>
      </c>
      <c r="E241" s="10">
        <v>27</v>
      </c>
      <c r="F241" s="10">
        <v>7</v>
      </c>
      <c r="H241" s="9" t="s">
        <v>27</v>
      </c>
      <c r="I241" s="10">
        <v>14</v>
      </c>
      <c r="J241" s="10">
        <v>3</v>
      </c>
      <c r="K241" s="10">
        <v>1</v>
      </c>
      <c r="L241" s="10">
        <v>10</v>
      </c>
      <c r="M241" s="10">
        <v>13</v>
      </c>
      <c r="O241" s="9" t="s">
        <v>27</v>
      </c>
      <c r="P241" s="10">
        <v>93</v>
      </c>
      <c r="Q241" s="10">
        <v>49</v>
      </c>
      <c r="R241" s="10">
        <v>16</v>
      </c>
      <c r="S241" s="10">
        <v>0</v>
      </c>
      <c r="T241" s="10">
        <v>28</v>
      </c>
    </row>
    <row r="242" spans="1:20" x14ac:dyDescent="0.3">
      <c r="A242" s="9" t="s">
        <v>28</v>
      </c>
      <c r="B242" s="10">
        <v>2</v>
      </c>
      <c r="C242" s="10">
        <v>0</v>
      </c>
      <c r="D242" s="10">
        <v>0</v>
      </c>
      <c r="E242" s="10">
        <v>0</v>
      </c>
      <c r="F242" s="10">
        <v>2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3</v>
      </c>
      <c r="O242" s="9" t="s">
        <v>28</v>
      </c>
      <c r="P242" s="10">
        <v>6</v>
      </c>
      <c r="Q242" s="10">
        <v>1</v>
      </c>
      <c r="R242" s="10">
        <v>0</v>
      </c>
      <c r="S242" s="10">
        <v>0</v>
      </c>
      <c r="T242" s="10">
        <v>5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211</v>
      </c>
      <c r="C244" s="10">
        <v>6</v>
      </c>
      <c r="D244" s="10">
        <v>0</v>
      </c>
      <c r="E244" s="10">
        <v>201</v>
      </c>
      <c r="F244" s="10">
        <v>4</v>
      </c>
      <c r="H244" s="9" t="s">
        <v>30</v>
      </c>
      <c r="I244" s="10">
        <v>176</v>
      </c>
      <c r="J244" s="10">
        <v>0</v>
      </c>
      <c r="K244" s="10">
        <v>0</v>
      </c>
      <c r="L244" s="10">
        <v>176</v>
      </c>
      <c r="M244" s="10">
        <v>3</v>
      </c>
      <c r="O244" s="9" t="s">
        <v>30</v>
      </c>
      <c r="P244" s="10">
        <v>48</v>
      </c>
      <c r="Q244" s="10">
        <v>21</v>
      </c>
      <c r="R244" s="10">
        <v>3</v>
      </c>
      <c r="S244" s="10">
        <v>0</v>
      </c>
      <c r="T244" s="10">
        <v>24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159</v>
      </c>
      <c r="C246" s="12">
        <v>71</v>
      </c>
      <c r="D246" s="12">
        <v>39</v>
      </c>
      <c r="E246" s="12">
        <v>24</v>
      </c>
      <c r="F246" s="12">
        <v>25</v>
      </c>
      <c r="H246" s="11" t="s">
        <v>32</v>
      </c>
      <c r="I246" s="12">
        <f>J246+K246+L246+M246</f>
        <v>7</v>
      </c>
      <c r="J246" s="12">
        <v>1</v>
      </c>
      <c r="K246" s="12">
        <v>2</v>
      </c>
      <c r="L246" s="12">
        <v>1</v>
      </c>
      <c r="M246" s="12">
        <v>3</v>
      </c>
      <c r="O246" s="11" t="s">
        <v>32</v>
      </c>
      <c r="P246" s="12">
        <v>155</v>
      </c>
      <c r="Q246" s="12">
        <v>55</v>
      </c>
      <c r="R246" s="12">
        <v>52</v>
      </c>
      <c r="S246" s="12">
        <v>0</v>
      </c>
      <c r="T246" s="12">
        <v>48</v>
      </c>
    </row>
    <row r="247" spans="1:20" x14ac:dyDescent="0.3">
      <c r="A247" s="13" t="s">
        <v>33</v>
      </c>
      <c r="B247" s="14">
        <v>12</v>
      </c>
      <c r="C247" s="14">
        <v>5</v>
      </c>
      <c r="D247" s="14">
        <v>3</v>
      </c>
      <c r="E247" s="14">
        <v>2</v>
      </c>
      <c r="F247" s="14">
        <v>2</v>
      </c>
      <c r="H247" s="13" t="s">
        <v>33</v>
      </c>
      <c r="I247" s="14">
        <v>1</v>
      </c>
      <c r="J247" s="14">
        <v>1</v>
      </c>
      <c r="K247" s="14">
        <v>0</v>
      </c>
      <c r="L247" s="14">
        <v>0</v>
      </c>
      <c r="M247" s="14">
        <v>3</v>
      </c>
      <c r="O247" s="13" t="s">
        <v>33</v>
      </c>
      <c r="P247" s="14">
        <v>12</v>
      </c>
      <c r="Q247" s="14">
        <v>2</v>
      </c>
      <c r="R247" s="14">
        <v>5</v>
      </c>
      <c r="S247" s="14">
        <v>0</v>
      </c>
      <c r="T247" s="14">
        <v>5</v>
      </c>
    </row>
    <row r="248" spans="1:20" x14ac:dyDescent="0.3">
      <c r="A248" s="13" t="s">
        <v>34</v>
      </c>
      <c r="B248" s="14">
        <v>147</v>
      </c>
      <c r="C248" s="14">
        <v>66</v>
      </c>
      <c r="D248" s="14">
        <v>36</v>
      </c>
      <c r="E248" s="14">
        <v>22</v>
      </c>
      <c r="F248" s="14">
        <v>23</v>
      </c>
      <c r="H248" s="13" t="s">
        <v>34</v>
      </c>
      <c r="I248" s="14">
        <v>3</v>
      </c>
      <c r="J248" s="14">
        <v>0</v>
      </c>
      <c r="K248" s="14">
        <v>2</v>
      </c>
      <c r="L248" s="14">
        <v>1</v>
      </c>
      <c r="M248" s="14">
        <v>0</v>
      </c>
      <c r="O248" s="13" t="s">
        <v>34</v>
      </c>
      <c r="P248" s="14">
        <v>143</v>
      </c>
      <c r="Q248" s="14">
        <v>53</v>
      </c>
      <c r="R248" s="14">
        <v>47</v>
      </c>
      <c r="S248" s="14">
        <v>0</v>
      </c>
      <c r="T248" s="14">
        <v>43</v>
      </c>
    </row>
    <row r="249" spans="1:20" x14ac:dyDescent="0.3">
      <c r="A249" s="15" t="s">
        <v>35</v>
      </c>
      <c r="B249" s="16">
        <v>2</v>
      </c>
      <c r="C249" s="16">
        <v>1</v>
      </c>
      <c r="D249" s="16">
        <v>1</v>
      </c>
      <c r="E249" s="16">
        <v>0</v>
      </c>
      <c r="F249" s="16">
        <v>0</v>
      </c>
      <c r="H249" s="15" t="s">
        <v>35</v>
      </c>
      <c r="I249" s="16">
        <v>2</v>
      </c>
      <c r="J249" s="16">
        <v>0</v>
      </c>
      <c r="K249" s="16">
        <v>2</v>
      </c>
      <c r="L249" s="16">
        <v>0</v>
      </c>
      <c r="M249" s="16">
        <v>0</v>
      </c>
      <c r="O249" s="15" t="s">
        <v>35</v>
      </c>
      <c r="P249" s="16">
        <v>25</v>
      </c>
      <c r="Q249" s="16">
        <v>12</v>
      </c>
      <c r="R249" s="16">
        <v>8</v>
      </c>
      <c r="S249" s="16">
        <v>0</v>
      </c>
      <c r="T249" s="16">
        <v>5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2</v>
      </c>
      <c r="C251" s="18">
        <v>1</v>
      </c>
      <c r="D251" s="18">
        <v>1</v>
      </c>
      <c r="E251" s="18">
        <v>0</v>
      </c>
      <c r="F251" s="18">
        <v>0</v>
      </c>
      <c r="H251" s="17" t="s">
        <v>37</v>
      </c>
      <c r="I251" s="78">
        <v>2</v>
      </c>
      <c r="J251" s="78">
        <v>0</v>
      </c>
      <c r="K251" s="78">
        <v>2</v>
      </c>
      <c r="L251" s="78">
        <v>0</v>
      </c>
      <c r="M251" s="78">
        <v>0</v>
      </c>
      <c r="O251" s="17" t="s">
        <v>37</v>
      </c>
      <c r="P251" s="130">
        <v>25</v>
      </c>
      <c r="Q251" s="130">
        <v>12</v>
      </c>
      <c r="R251" s="130">
        <v>8</v>
      </c>
      <c r="S251" s="130">
        <v>0</v>
      </c>
      <c r="T251" s="130">
        <v>5</v>
      </c>
    </row>
    <row r="252" spans="1:20" x14ac:dyDescent="0.3">
      <c r="A252" s="17" t="s">
        <v>38</v>
      </c>
      <c r="B252" s="167" t="s">
        <v>982</v>
      </c>
      <c r="C252" s="168"/>
      <c r="D252" s="168"/>
      <c r="E252" s="168"/>
      <c r="F252" s="168"/>
      <c r="H252" s="17" t="s">
        <v>38</v>
      </c>
      <c r="I252" s="175" t="s">
        <v>1272</v>
      </c>
      <c r="J252" s="176"/>
      <c r="K252" s="176"/>
      <c r="L252" s="176"/>
      <c r="M252" s="176"/>
      <c r="O252" s="17" t="s">
        <v>38</v>
      </c>
      <c r="P252" s="172" t="s">
        <v>1914</v>
      </c>
      <c r="Q252" s="173"/>
      <c r="R252" s="173"/>
      <c r="S252" s="173"/>
      <c r="T252" s="173"/>
    </row>
    <row r="253" spans="1:20" ht="19.8" x14ac:dyDescent="0.3">
      <c r="A253" s="171">
        <v>46104</v>
      </c>
      <c r="B253" s="171"/>
      <c r="C253" s="171"/>
      <c r="D253" s="171"/>
      <c r="E253" s="171"/>
      <c r="F253" s="171"/>
      <c r="H253" s="171">
        <v>46127</v>
      </c>
      <c r="I253" s="171"/>
      <c r="J253" s="171"/>
      <c r="K253" s="171"/>
      <c r="L253" s="171"/>
      <c r="M253" s="171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642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1523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870</v>
      </c>
      <c r="T254" s="1" t="s">
        <v>4</v>
      </c>
    </row>
    <row r="255" spans="1:20" x14ac:dyDescent="0.3">
      <c r="A255" s="2" t="s">
        <v>5</v>
      </c>
      <c r="B255" s="3">
        <v>2702</v>
      </c>
      <c r="C255" s="3">
        <v>0</v>
      </c>
      <c r="D255" s="3">
        <v>1113</v>
      </c>
      <c r="E255" s="3">
        <v>868</v>
      </c>
      <c r="F255" s="3">
        <v>721</v>
      </c>
      <c r="H255" s="2" t="s">
        <v>5</v>
      </c>
      <c r="I255" s="3">
        <v>2877</v>
      </c>
      <c r="J255" s="3">
        <v>1417</v>
      </c>
      <c r="K255" s="3">
        <v>1460</v>
      </c>
      <c r="L255" s="3">
        <v>1283</v>
      </c>
      <c r="M255" s="3">
        <v>0</v>
      </c>
      <c r="O255" s="2" t="s">
        <v>5</v>
      </c>
      <c r="P255" s="3">
        <v>5314</v>
      </c>
      <c r="Q255" s="3">
        <v>2121</v>
      </c>
      <c r="R255" s="3">
        <v>1829</v>
      </c>
      <c r="S255" s="3">
        <v>0</v>
      </c>
      <c r="T255" s="3">
        <v>1364</v>
      </c>
    </row>
    <row r="256" spans="1:20" x14ac:dyDescent="0.3">
      <c r="A256" s="2" t="s">
        <v>6</v>
      </c>
      <c r="B256" s="3">
        <v>113</v>
      </c>
      <c r="C256" s="3">
        <v>0</v>
      </c>
      <c r="D256" s="5">
        <v>53</v>
      </c>
      <c r="E256" s="6">
        <v>31</v>
      </c>
      <c r="F256" s="4">
        <v>29</v>
      </c>
      <c r="H256" s="2" t="s">
        <v>6</v>
      </c>
      <c r="I256" s="3">
        <v>18</v>
      </c>
      <c r="J256" s="5">
        <v>10</v>
      </c>
      <c r="K256" s="6">
        <v>8</v>
      </c>
      <c r="L256" s="5">
        <v>25</v>
      </c>
      <c r="M256" s="3">
        <v>0</v>
      </c>
      <c r="O256" s="2" t="s">
        <v>6</v>
      </c>
      <c r="P256" s="3">
        <v>56</v>
      </c>
      <c r="Q256" s="5">
        <v>30</v>
      </c>
      <c r="R256" s="6">
        <v>14</v>
      </c>
      <c r="S256" s="3">
        <v>0</v>
      </c>
      <c r="T256" s="4">
        <v>12</v>
      </c>
    </row>
    <row r="257" spans="1:20" x14ac:dyDescent="0.3">
      <c r="A257" s="2" t="s">
        <v>7</v>
      </c>
      <c r="B257" s="3" t="s">
        <v>847</v>
      </c>
      <c r="C257" s="3">
        <v>0</v>
      </c>
      <c r="D257" s="5" t="s">
        <v>848</v>
      </c>
      <c r="E257" s="4" t="s">
        <v>678</v>
      </c>
      <c r="F257" s="6" t="s">
        <v>849</v>
      </c>
      <c r="H257" s="2" t="s">
        <v>7</v>
      </c>
      <c r="I257" s="3" t="s">
        <v>152</v>
      </c>
      <c r="J257" s="5" t="s">
        <v>62</v>
      </c>
      <c r="K257" s="6" t="s">
        <v>863</v>
      </c>
      <c r="L257" s="5" t="s">
        <v>1168</v>
      </c>
      <c r="M257" s="3">
        <v>0</v>
      </c>
      <c r="O257" s="2" t="s">
        <v>7</v>
      </c>
      <c r="P257" s="3" t="s">
        <v>806</v>
      </c>
      <c r="Q257" s="5" t="s">
        <v>431</v>
      </c>
      <c r="R257" s="4" t="s">
        <v>332</v>
      </c>
      <c r="S257" s="3">
        <v>0</v>
      </c>
      <c r="T257" s="6" t="s">
        <v>272</v>
      </c>
    </row>
    <row r="258" spans="1:20" x14ac:dyDescent="0.3">
      <c r="A258" s="2" t="s">
        <v>12</v>
      </c>
      <c r="B258" s="3" t="s">
        <v>850</v>
      </c>
      <c r="C258" s="3">
        <v>0</v>
      </c>
      <c r="D258" s="4" t="s">
        <v>134</v>
      </c>
      <c r="E258" s="6" t="s">
        <v>851</v>
      </c>
      <c r="F258" s="5" t="s">
        <v>451</v>
      </c>
      <c r="H258" s="2" t="s">
        <v>12</v>
      </c>
      <c r="I258" s="3" t="s">
        <v>347</v>
      </c>
      <c r="J258" s="6" t="s">
        <v>310</v>
      </c>
      <c r="K258" s="5" t="s">
        <v>100</v>
      </c>
      <c r="L258" s="5" t="s">
        <v>1074</v>
      </c>
      <c r="M258" s="3">
        <v>0</v>
      </c>
      <c r="O258" s="2" t="s">
        <v>12</v>
      </c>
      <c r="P258" s="3" t="s">
        <v>416</v>
      </c>
      <c r="Q258" s="5" t="s">
        <v>468</v>
      </c>
      <c r="R258" s="6" t="s">
        <v>76</v>
      </c>
      <c r="S258" s="3">
        <v>0</v>
      </c>
      <c r="T258" s="4" t="s">
        <v>119</v>
      </c>
    </row>
    <row r="259" spans="1:20" x14ac:dyDescent="0.3">
      <c r="A259" s="2" t="s">
        <v>17</v>
      </c>
      <c r="B259" s="3" t="s">
        <v>852</v>
      </c>
      <c r="C259" s="3" t="s">
        <v>25</v>
      </c>
      <c r="D259" s="5" t="s">
        <v>144</v>
      </c>
      <c r="E259" s="4" t="s">
        <v>578</v>
      </c>
      <c r="F259" s="6" t="s">
        <v>105</v>
      </c>
      <c r="H259" s="2" t="s">
        <v>17</v>
      </c>
      <c r="I259" s="3" t="s">
        <v>595</v>
      </c>
      <c r="J259" s="5" t="s">
        <v>78</v>
      </c>
      <c r="K259" s="6" t="s">
        <v>310</v>
      </c>
      <c r="L259" s="5" t="s">
        <v>419</v>
      </c>
      <c r="M259" s="3" t="s">
        <v>25</v>
      </c>
      <c r="O259" s="2" t="s">
        <v>17</v>
      </c>
      <c r="P259" s="3" t="s">
        <v>491</v>
      </c>
      <c r="Q259" s="5" t="s">
        <v>148</v>
      </c>
      <c r="R259" s="4" t="s">
        <v>88</v>
      </c>
      <c r="S259" s="3" t="s">
        <v>25</v>
      </c>
      <c r="T259" s="6" t="s">
        <v>119</v>
      </c>
    </row>
    <row r="260" spans="1:20" x14ac:dyDescent="0.3">
      <c r="A260" s="2" t="s">
        <v>22</v>
      </c>
      <c r="B260" s="3" t="s">
        <v>49</v>
      </c>
      <c r="C260" s="3" t="s">
        <v>25</v>
      </c>
      <c r="D260" s="5" t="s">
        <v>109</v>
      </c>
      <c r="E260" s="3" t="s">
        <v>25</v>
      </c>
      <c r="F260" s="6" t="s">
        <v>310</v>
      </c>
      <c r="H260" s="2" t="s">
        <v>22</v>
      </c>
      <c r="I260" s="3" t="s">
        <v>78</v>
      </c>
      <c r="J260" s="6" t="s">
        <v>595</v>
      </c>
      <c r="K260" s="5" t="s">
        <v>863</v>
      </c>
      <c r="L260" s="5" t="s">
        <v>87</v>
      </c>
      <c r="M260" s="3" t="s">
        <v>25</v>
      </c>
      <c r="O260" s="2" t="s">
        <v>22</v>
      </c>
      <c r="P260" s="3" t="s">
        <v>134</v>
      </c>
      <c r="Q260" s="4" t="s">
        <v>310</v>
      </c>
      <c r="R260" s="5" t="s">
        <v>863</v>
      </c>
      <c r="S260" s="3" t="s">
        <v>25</v>
      </c>
      <c r="T260" s="6" t="s">
        <v>119</v>
      </c>
    </row>
    <row r="261" spans="1:20" x14ac:dyDescent="0.3">
      <c r="A261" s="7" t="s">
        <v>26</v>
      </c>
      <c r="B261" s="8">
        <v>25</v>
      </c>
      <c r="C261" s="8">
        <v>0</v>
      </c>
      <c r="D261" s="8">
        <v>4</v>
      </c>
      <c r="E261" s="8">
        <v>11</v>
      </c>
      <c r="F261" s="8">
        <v>10</v>
      </c>
      <c r="H261" s="7" t="s">
        <v>26</v>
      </c>
      <c r="I261" s="8">
        <v>7</v>
      </c>
      <c r="J261" s="8">
        <v>2</v>
      </c>
      <c r="K261" s="8">
        <v>5</v>
      </c>
      <c r="L261" s="8">
        <v>19</v>
      </c>
      <c r="M261" s="8">
        <v>0</v>
      </c>
      <c r="O261" s="7" t="s">
        <v>26</v>
      </c>
      <c r="P261" s="8">
        <v>35</v>
      </c>
      <c r="Q261" s="8">
        <v>20</v>
      </c>
      <c r="R261" s="8">
        <v>9</v>
      </c>
      <c r="S261" s="8">
        <v>0</v>
      </c>
      <c r="T261" s="8">
        <v>6</v>
      </c>
    </row>
    <row r="262" spans="1:20" x14ac:dyDescent="0.3">
      <c r="A262" s="9" t="s">
        <v>27</v>
      </c>
      <c r="B262" s="10">
        <v>14</v>
      </c>
      <c r="C262" s="10">
        <v>0</v>
      </c>
      <c r="D262" s="10">
        <v>4</v>
      </c>
      <c r="E262" s="10">
        <v>7</v>
      </c>
      <c r="F262" s="10">
        <v>3</v>
      </c>
      <c r="H262" s="9" t="s">
        <v>27</v>
      </c>
      <c r="I262" s="10">
        <v>6</v>
      </c>
      <c r="J262" s="10">
        <v>2</v>
      </c>
      <c r="K262" s="10">
        <v>4</v>
      </c>
      <c r="L262" s="10">
        <v>16</v>
      </c>
      <c r="M262" s="10">
        <v>0</v>
      </c>
      <c r="O262" s="9" t="s">
        <v>27</v>
      </c>
      <c r="P262" s="10">
        <v>25</v>
      </c>
      <c r="Q262" s="10">
        <v>17</v>
      </c>
      <c r="R262" s="10">
        <v>4</v>
      </c>
      <c r="S262" s="10">
        <v>0</v>
      </c>
      <c r="T262" s="10">
        <v>4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11</v>
      </c>
      <c r="C265" s="10">
        <v>0</v>
      </c>
      <c r="D265" s="10">
        <v>0</v>
      </c>
      <c r="E265" s="10">
        <v>4</v>
      </c>
      <c r="F265" s="10">
        <v>7</v>
      </c>
      <c r="H265" s="9" t="s">
        <v>30</v>
      </c>
      <c r="I265" s="10">
        <v>1</v>
      </c>
      <c r="J265" s="10">
        <v>0</v>
      </c>
      <c r="K265" s="10">
        <v>1</v>
      </c>
      <c r="L265" s="10">
        <v>3</v>
      </c>
      <c r="M265" s="10">
        <v>0</v>
      </c>
      <c r="O265" s="9" t="s">
        <v>30</v>
      </c>
      <c r="P265" s="10">
        <v>10</v>
      </c>
      <c r="Q265" s="10">
        <v>3</v>
      </c>
      <c r="R265" s="10">
        <v>5</v>
      </c>
      <c r="S265" s="10">
        <v>0</v>
      </c>
      <c r="T265" s="10">
        <v>2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87</v>
      </c>
      <c r="C267" s="12">
        <v>0</v>
      </c>
      <c r="D267" s="12">
        <v>48</v>
      </c>
      <c r="E267" s="12">
        <v>20</v>
      </c>
      <c r="F267" s="12">
        <v>19</v>
      </c>
      <c r="H267" s="11" t="s">
        <v>32</v>
      </c>
      <c r="I267" s="12">
        <v>8</v>
      </c>
      <c r="J267" s="12">
        <v>6</v>
      </c>
      <c r="K267" s="12">
        <v>2</v>
      </c>
      <c r="L267" s="12">
        <v>5</v>
      </c>
      <c r="M267" s="12">
        <v>0</v>
      </c>
      <c r="O267" s="11" t="s">
        <v>32</v>
      </c>
      <c r="P267" s="12">
        <v>21</v>
      </c>
      <c r="Q267" s="12">
        <v>10</v>
      </c>
      <c r="R267" s="12">
        <v>5</v>
      </c>
      <c r="S267" s="12">
        <v>0</v>
      </c>
      <c r="T267" s="12">
        <v>6</v>
      </c>
    </row>
    <row r="268" spans="1:20" x14ac:dyDescent="0.3">
      <c r="A268" s="13" t="s">
        <v>33</v>
      </c>
      <c r="B268" s="14">
        <v>19</v>
      </c>
      <c r="C268" s="14">
        <v>0</v>
      </c>
      <c r="D268" s="14">
        <v>17</v>
      </c>
      <c r="E268" s="14">
        <v>1</v>
      </c>
      <c r="F268" s="14">
        <v>1</v>
      </c>
      <c r="H268" s="13" t="s">
        <v>33</v>
      </c>
      <c r="I268" s="14">
        <v>4</v>
      </c>
      <c r="J268" s="14">
        <v>4</v>
      </c>
      <c r="K268" s="14">
        <v>0</v>
      </c>
      <c r="L268" s="14">
        <v>3</v>
      </c>
      <c r="M268" s="14">
        <v>0</v>
      </c>
      <c r="O268" s="13" t="s">
        <v>33</v>
      </c>
      <c r="P268" s="14">
        <v>10</v>
      </c>
      <c r="Q268" s="14">
        <v>5</v>
      </c>
      <c r="R268" s="14">
        <v>1</v>
      </c>
      <c r="S268" s="14">
        <v>0</v>
      </c>
      <c r="T268" s="14">
        <v>4</v>
      </c>
    </row>
    <row r="269" spans="1:20" x14ac:dyDescent="0.3">
      <c r="A269" s="13" t="s">
        <v>34</v>
      </c>
      <c r="B269" s="14">
        <v>68</v>
      </c>
      <c r="C269" s="14">
        <v>0</v>
      </c>
      <c r="D269" s="14">
        <v>31</v>
      </c>
      <c r="E269" s="14">
        <v>19</v>
      </c>
      <c r="F269" s="14">
        <v>18</v>
      </c>
      <c r="H269" s="13" t="s">
        <v>34</v>
      </c>
      <c r="I269" s="14">
        <v>4</v>
      </c>
      <c r="J269" s="14">
        <v>2</v>
      </c>
      <c r="K269" s="14">
        <v>2</v>
      </c>
      <c r="L269" s="14">
        <v>2</v>
      </c>
      <c r="M269" s="14">
        <v>0</v>
      </c>
      <c r="O269" s="13" t="s">
        <v>34</v>
      </c>
      <c r="P269" s="14">
        <v>11</v>
      </c>
      <c r="Q269" s="14">
        <v>5</v>
      </c>
      <c r="R269" s="14">
        <v>4</v>
      </c>
      <c r="S269" s="14">
        <v>0</v>
      </c>
      <c r="T269" s="14">
        <v>2</v>
      </c>
    </row>
    <row r="270" spans="1:20" x14ac:dyDescent="0.3">
      <c r="A270" s="15" t="s">
        <v>35</v>
      </c>
      <c r="B270" s="16">
        <v>3</v>
      </c>
      <c r="C270" s="16">
        <v>0</v>
      </c>
      <c r="D270" s="16">
        <v>2</v>
      </c>
      <c r="E270" s="16">
        <v>0</v>
      </c>
      <c r="F270" s="16">
        <v>1</v>
      </c>
      <c r="H270" s="15" t="s">
        <v>35</v>
      </c>
      <c r="I270" s="16">
        <v>12</v>
      </c>
      <c r="J270" s="16">
        <v>4</v>
      </c>
      <c r="K270" s="16">
        <v>8</v>
      </c>
      <c r="L270" s="16">
        <v>8</v>
      </c>
      <c r="M270" s="16">
        <v>0</v>
      </c>
      <c r="O270" s="15" t="s">
        <v>35</v>
      </c>
      <c r="P270" s="16">
        <v>19</v>
      </c>
      <c r="Q270" s="16">
        <v>3</v>
      </c>
      <c r="R270" s="16">
        <v>10</v>
      </c>
      <c r="S270" s="16">
        <v>0</v>
      </c>
      <c r="T270" s="16">
        <v>6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8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3</v>
      </c>
      <c r="C272" s="18">
        <v>0</v>
      </c>
      <c r="D272" s="18">
        <v>2</v>
      </c>
      <c r="E272" s="18">
        <v>0</v>
      </c>
      <c r="F272" s="18">
        <v>1</v>
      </c>
      <c r="H272" s="17" t="s">
        <v>37</v>
      </c>
      <c r="I272" s="78">
        <v>12</v>
      </c>
      <c r="J272" s="78">
        <v>4</v>
      </c>
      <c r="K272" s="78">
        <v>8</v>
      </c>
      <c r="L272" s="78">
        <v>8</v>
      </c>
      <c r="M272" s="88">
        <v>0</v>
      </c>
      <c r="O272" s="17" t="s">
        <v>37</v>
      </c>
      <c r="P272" s="130">
        <v>19</v>
      </c>
      <c r="Q272" s="130">
        <v>3</v>
      </c>
      <c r="R272" s="130">
        <v>10</v>
      </c>
      <c r="S272" s="130">
        <v>0</v>
      </c>
      <c r="T272" s="130">
        <v>6</v>
      </c>
    </row>
    <row r="273" spans="1:20" x14ac:dyDescent="0.3">
      <c r="A273" s="17" t="s">
        <v>38</v>
      </c>
      <c r="B273" s="172" t="s">
        <v>853</v>
      </c>
      <c r="C273" s="173"/>
      <c r="D273" s="173"/>
      <c r="E273" s="173"/>
      <c r="F273" s="173"/>
      <c r="H273" s="17" t="s">
        <v>38</v>
      </c>
      <c r="I273" s="172" t="s">
        <v>1272</v>
      </c>
      <c r="J273" s="173"/>
      <c r="K273" s="173"/>
      <c r="L273" s="173"/>
      <c r="M273" s="173"/>
      <c r="O273" s="17" t="s">
        <v>38</v>
      </c>
      <c r="P273" s="172" t="s">
        <v>1034</v>
      </c>
      <c r="Q273" s="173"/>
      <c r="R273" s="173"/>
      <c r="S273" s="173"/>
      <c r="T273" s="173"/>
    </row>
    <row r="274" spans="1:20" ht="19.8" x14ac:dyDescent="0.3">
      <c r="A274" s="170">
        <v>46105</v>
      </c>
      <c r="B274" s="168"/>
      <c r="C274" s="168"/>
      <c r="D274" s="168"/>
      <c r="E274" s="168"/>
      <c r="F274" s="168"/>
      <c r="H274" s="174" t="s">
        <v>1166</v>
      </c>
      <c r="I274" s="174"/>
      <c r="J274" s="174"/>
      <c r="K274" s="174"/>
      <c r="L274" s="174"/>
      <c r="M274" s="174"/>
      <c r="O274" s="170">
        <v>46160</v>
      </c>
      <c r="P274" s="168"/>
      <c r="Q274" s="168"/>
      <c r="R274" s="168"/>
      <c r="S274" s="168"/>
      <c r="T274" s="168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1524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3</v>
      </c>
      <c r="S275" s="1" t="s">
        <v>870</v>
      </c>
      <c r="T275" s="1" t="s">
        <v>4</v>
      </c>
    </row>
    <row r="276" spans="1:20" x14ac:dyDescent="0.3">
      <c r="A276" s="2" t="s">
        <v>5</v>
      </c>
      <c r="B276" s="3">
        <v>4965</v>
      </c>
      <c r="C276" s="3">
        <v>1782</v>
      </c>
      <c r="D276" s="3">
        <v>1461</v>
      </c>
      <c r="E276" s="3">
        <v>1018</v>
      </c>
      <c r="F276" s="3">
        <v>704</v>
      </c>
      <c r="H276" s="2" t="s">
        <v>5</v>
      </c>
      <c r="I276" s="3">
        <v>6223</v>
      </c>
      <c r="J276" s="3">
        <v>2011</v>
      </c>
      <c r="K276" s="3">
        <v>2203</v>
      </c>
      <c r="L276" s="3">
        <v>0</v>
      </c>
      <c r="M276" s="3">
        <v>2009</v>
      </c>
      <c r="O276" s="2" t="s">
        <v>5</v>
      </c>
      <c r="P276" s="3">
        <v>3808</v>
      </c>
      <c r="Q276" s="3">
        <v>1547</v>
      </c>
      <c r="R276" s="3">
        <v>1316</v>
      </c>
      <c r="S276" s="3">
        <v>0</v>
      </c>
      <c r="T276" s="3">
        <v>945</v>
      </c>
    </row>
    <row r="277" spans="1:20" x14ac:dyDescent="0.3">
      <c r="A277" s="2" t="s">
        <v>6</v>
      </c>
      <c r="B277" s="3">
        <v>608</v>
      </c>
      <c r="C277" s="5">
        <v>246</v>
      </c>
      <c r="D277" s="6">
        <v>176</v>
      </c>
      <c r="E277" s="4">
        <v>120</v>
      </c>
      <c r="F277" s="3">
        <v>66</v>
      </c>
      <c r="H277" s="2" t="s">
        <v>6</v>
      </c>
      <c r="I277" s="3">
        <v>32</v>
      </c>
      <c r="J277" s="6">
        <v>7</v>
      </c>
      <c r="K277" s="4">
        <v>3</v>
      </c>
      <c r="L277" s="3">
        <v>0</v>
      </c>
      <c r="M277" s="5">
        <v>22</v>
      </c>
      <c r="O277" s="2" t="s">
        <v>6</v>
      </c>
      <c r="P277" s="3">
        <v>39</v>
      </c>
      <c r="Q277" s="5">
        <v>18</v>
      </c>
      <c r="R277" s="4">
        <v>6</v>
      </c>
      <c r="S277" s="3">
        <v>0</v>
      </c>
      <c r="T277" s="6">
        <v>15</v>
      </c>
    </row>
    <row r="278" spans="1:20" x14ac:dyDescent="0.3">
      <c r="A278" s="2" t="s">
        <v>7</v>
      </c>
      <c r="B278" s="3" t="s">
        <v>696</v>
      </c>
      <c r="C278" s="5" t="s">
        <v>905</v>
      </c>
      <c r="D278" s="6" t="s">
        <v>906</v>
      </c>
      <c r="E278" s="4" t="s">
        <v>907</v>
      </c>
      <c r="F278" s="3" t="s">
        <v>709</v>
      </c>
      <c r="H278" s="2" t="s">
        <v>7</v>
      </c>
      <c r="I278" s="3" t="s">
        <v>654</v>
      </c>
      <c r="J278" s="6" t="s">
        <v>135</v>
      </c>
      <c r="K278" s="4" t="s">
        <v>310</v>
      </c>
      <c r="L278" s="3">
        <v>0</v>
      </c>
      <c r="M278" s="5" t="s">
        <v>406</v>
      </c>
      <c r="O278" s="2" t="s">
        <v>7</v>
      </c>
      <c r="P278" s="3" t="s">
        <v>46</v>
      </c>
      <c r="Q278" s="6" t="s">
        <v>407</v>
      </c>
      <c r="R278" s="4" t="s">
        <v>317</v>
      </c>
      <c r="S278" s="3">
        <v>0</v>
      </c>
      <c r="T278" s="5" t="s">
        <v>364</v>
      </c>
    </row>
    <row r="279" spans="1:20" x14ac:dyDescent="0.3">
      <c r="A279" s="2" t="s">
        <v>12</v>
      </c>
      <c r="B279" s="3" t="s">
        <v>65</v>
      </c>
      <c r="C279" s="3" t="s">
        <v>49</v>
      </c>
      <c r="D279" s="4" t="s">
        <v>88</v>
      </c>
      <c r="E279" s="5" t="s">
        <v>185</v>
      </c>
      <c r="F279" s="6" t="s">
        <v>363</v>
      </c>
      <c r="H279" s="2" t="s">
        <v>12</v>
      </c>
      <c r="I279" s="3" t="s">
        <v>146</v>
      </c>
      <c r="J279" s="6" t="s">
        <v>121</v>
      </c>
      <c r="K279" s="3" t="s">
        <v>25</v>
      </c>
      <c r="L279" s="3">
        <v>0</v>
      </c>
      <c r="M279" s="5" t="s">
        <v>63</v>
      </c>
      <c r="O279" s="2" t="s">
        <v>12</v>
      </c>
      <c r="P279" s="3" t="s">
        <v>45</v>
      </c>
      <c r="Q279" s="6" t="s">
        <v>493</v>
      </c>
      <c r="R279" s="4" t="s">
        <v>150</v>
      </c>
      <c r="S279" s="3">
        <v>0</v>
      </c>
      <c r="T279" s="5" t="s">
        <v>1074</v>
      </c>
    </row>
    <row r="280" spans="1:20" x14ac:dyDescent="0.3">
      <c r="A280" s="2" t="s">
        <v>17</v>
      </c>
      <c r="B280" s="3" t="s">
        <v>908</v>
      </c>
      <c r="C280" s="5" t="s">
        <v>909</v>
      </c>
      <c r="D280" s="6" t="s">
        <v>910</v>
      </c>
      <c r="E280" s="4" t="s">
        <v>911</v>
      </c>
      <c r="F280" s="3" t="s">
        <v>912</v>
      </c>
      <c r="H280" s="2" t="s">
        <v>17</v>
      </c>
      <c r="I280" s="3" t="s">
        <v>109</v>
      </c>
      <c r="J280" s="6" t="s">
        <v>99</v>
      </c>
      <c r="K280" s="4" t="s">
        <v>84</v>
      </c>
      <c r="L280" s="3" t="s">
        <v>25</v>
      </c>
      <c r="M280" s="5" t="s">
        <v>47</v>
      </c>
      <c r="O280" s="2" t="s">
        <v>17</v>
      </c>
      <c r="P280" s="3" t="s">
        <v>154</v>
      </c>
      <c r="Q280" s="5" t="s">
        <v>101</v>
      </c>
      <c r="R280" s="4" t="s">
        <v>309</v>
      </c>
      <c r="S280" s="3" t="s">
        <v>25</v>
      </c>
      <c r="T280" s="6" t="s">
        <v>49</v>
      </c>
    </row>
    <row r="281" spans="1:20" x14ac:dyDescent="0.3">
      <c r="A281" s="2" t="s">
        <v>22</v>
      </c>
      <c r="B281" s="3" t="s">
        <v>268</v>
      </c>
      <c r="C281" s="3" t="s">
        <v>25</v>
      </c>
      <c r="D281" s="4" t="s">
        <v>138</v>
      </c>
      <c r="E281" s="6" t="s">
        <v>81</v>
      </c>
      <c r="F281" s="5" t="s">
        <v>310</v>
      </c>
      <c r="H281" s="2" t="s">
        <v>22</v>
      </c>
      <c r="I281" s="3" t="s">
        <v>491</v>
      </c>
      <c r="J281" s="4" t="s">
        <v>147</v>
      </c>
      <c r="K281" s="6" t="s">
        <v>134</v>
      </c>
      <c r="L281" s="3" t="s">
        <v>25</v>
      </c>
      <c r="M281" s="5" t="s">
        <v>863</v>
      </c>
      <c r="O281" s="2" t="s">
        <v>22</v>
      </c>
      <c r="P281" s="3" t="s">
        <v>416</v>
      </c>
      <c r="Q281" s="4" t="s">
        <v>241</v>
      </c>
      <c r="R281" s="6" t="s">
        <v>492</v>
      </c>
      <c r="S281" s="3" t="s">
        <v>25</v>
      </c>
      <c r="T281" s="5" t="s">
        <v>404</v>
      </c>
    </row>
    <row r="282" spans="1:20" x14ac:dyDescent="0.3">
      <c r="A282" s="7" t="s">
        <v>26</v>
      </c>
      <c r="B282" s="8">
        <v>28</v>
      </c>
      <c r="C282" s="8">
        <v>2</v>
      </c>
      <c r="D282" s="8">
        <v>4</v>
      </c>
      <c r="E282" s="8">
        <v>14</v>
      </c>
      <c r="F282" s="8">
        <v>8</v>
      </c>
      <c r="H282" s="7" t="s">
        <v>26</v>
      </c>
      <c r="I282" s="8">
        <v>20</v>
      </c>
      <c r="J282" s="8">
        <v>3</v>
      </c>
      <c r="K282" s="8">
        <v>0</v>
      </c>
      <c r="L282" s="8">
        <v>0</v>
      </c>
      <c r="M282" s="8">
        <v>17</v>
      </c>
      <c r="O282" s="7" t="s">
        <v>26</v>
      </c>
      <c r="P282" s="8">
        <v>33</v>
      </c>
      <c r="Q282" s="8">
        <v>14</v>
      </c>
      <c r="R282" s="8">
        <v>5</v>
      </c>
      <c r="S282" s="8">
        <v>0</v>
      </c>
      <c r="T282" s="8">
        <v>14</v>
      </c>
    </row>
    <row r="283" spans="1:20" x14ac:dyDescent="0.3">
      <c r="A283" s="9" t="s">
        <v>27</v>
      </c>
      <c r="B283" s="10">
        <v>18</v>
      </c>
      <c r="C283" s="10">
        <v>1</v>
      </c>
      <c r="D283" s="10">
        <v>2</v>
      </c>
      <c r="E283" s="10">
        <v>9</v>
      </c>
      <c r="F283" s="10">
        <v>6</v>
      </c>
      <c r="H283" s="9" t="s">
        <v>27</v>
      </c>
      <c r="I283" s="10">
        <v>18</v>
      </c>
      <c r="J283" s="10">
        <v>3</v>
      </c>
      <c r="K283" s="10">
        <v>0</v>
      </c>
      <c r="L283" s="10">
        <v>0</v>
      </c>
      <c r="M283" s="10">
        <v>15</v>
      </c>
      <c r="O283" s="9" t="s">
        <v>27</v>
      </c>
      <c r="P283" s="10">
        <v>26</v>
      </c>
      <c r="Q283" s="10">
        <v>8</v>
      </c>
      <c r="R283" s="10">
        <v>5</v>
      </c>
      <c r="S283" s="10">
        <v>0</v>
      </c>
      <c r="T283" s="10">
        <v>13</v>
      </c>
    </row>
    <row r="284" spans="1:20" x14ac:dyDescent="0.3">
      <c r="A284" s="9" t="s">
        <v>28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H284" s="9" t="s">
        <v>28</v>
      </c>
      <c r="I284" s="10">
        <v>1</v>
      </c>
      <c r="J284" s="10">
        <v>0</v>
      </c>
      <c r="K284" s="10">
        <v>0</v>
      </c>
      <c r="L284" s="10">
        <v>0</v>
      </c>
      <c r="M284" s="10">
        <v>1</v>
      </c>
      <c r="O284" s="9" t="s">
        <v>28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10</v>
      </c>
      <c r="C286" s="10">
        <v>1</v>
      </c>
      <c r="D286" s="10">
        <v>2</v>
      </c>
      <c r="E286" s="10">
        <v>5</v>
      </c>
      <c r="F286" s="10">
        <v>2</v>
      </c>
      <c r="H286" s="9" t="s">
        <v>30</v>
      </c>
      <c r="I286" s="10">
        <v>1</v>
      </c>
      <c r="J286" s="10">
        <v>0</v>
      </c>
      <c r="K286" s="10">
        <v>0</v>
      </c>
      <c r="L286" s="10">
        <v>0</v>
      </c>
      <c r="M286" s="10">
        <v>1</v>
      </c>
      <c r="O286" s="9" t="s">
        <v>30</v>
      </c>
      <c r="P286" s="10">
        <v>7</v>
      </c>
      <c r="Q286" s="10">
        <v>6</v>
      </c>
      <c r="R286" s="10">
        <v>0</v>
      </c>
      <c r="S286" s="10">
        <v>0</v>
      </c>
      <c r="T286" s="10">
        <v>1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577</v>
      </c>
      <c r="C288" s="12">
        <v>243</v>
      </c>
      <c r="D288" s="12">
        <v>171</v>
      </c>
      <c r="E288" s="12">
        <v>105</v>
      </c>
      <c r="F288" s="12">
        <v>58</v>
      </c>
      <c r="H288" s="11" t="s">
        <v>32</v>
      </c>
      <c r="I288" s="12">
        <v>11</v>
      </c>
      <c r="J288" s="12">
        <v>4</v>
      </c>
      <c r="K288" s="12">
        <v>2</v>
      </c>
      <c r="L288" s="12">
        <v>0</v>
      </c>
      <c r="M288" s="12">
        <v>5</v>
      </c>
      <c r="O288" s="11" t="s">
        <v>32</v>
      </c>
      <c r="P288" s="12">
        <v>6</v>
      </c>
      <c r="Q288" s="12">
        <v>4</v>
      </c>
      <c r="R288" s="12">
        <v>1</v>
      </c>
      <c r="S288" s="12">
        <v>0</v>
      </c>
      <c r="T288" s="12">
        <v>1</v>
      </c>
    </row>
    <row r="289" spans="1:20" x14ac:dyDescent="0.3">
      <c r="A289" s="13" t="s">
        <v>33</v>
      </c>
      <c r="B289" s="14">
        <v>146</v>
      </c>
      <c r="C289" s="14">
        <v>68</v>
      </c>
      <c r="D289" s="14">
        <v>38</v>
      </c>
      <c r="E289" s="14">
        <v>24</v>
      </c>
      <c r="F289" s="14">
        <v>16</v>
      </c>
      <c r="H289" s="13" t="s">
        <v>33</v>
      </c>
      <c r="I289" s="14">
        <v>4</v>
      </c>
      <c r="J289" s="14">
        <v>2</v>
      </c>
      <c r="K289" s="14">
        <v>0</v>
      </c>
      <c r="L289" s="14">
        <v>0</v>
      </c>
      <c r="M289" s="14">
        <v>2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431</v>
      </c>
      <c r="C290" s="14">
        <v>175</v>
      </c>
      <c r="D290" s="14">
        <v>133</v>
      </c>
      <c r="E290" s="14">
        <v>81</v>
      </c>
      <c r="F290" s="14">
        <v>42</v>
      </c>
      <c r="H290" s="13" t="s">
        <v>34</v>
      </c>
      <c r="I290" s="14">
        <v>7</v>
      </c>
      <c r="J290" s="14">
        <v>2</v>
      </c>
      <c r="K290" s="14">
        <v>2</v>
      </c>
      <c r="L290" s="14">
        <v>0</v>
      </c>
      <c r="M290" s="14">
        <v>3</v>
      </c>
      <c r="O290" s="13" t="s">
        <v>34</v>
      </c>
      <c r="P290" s="14">
        <v>6</v>
      </c>
      <c r="Q290" s="14">
        <v>4</v>
      </c>
      <c r="R290" s="14">
        <v>1</v>
      </c>
      <c r="S290" s="14">
        <v>0</v>
      </c>
      <c r="T290" s="14">
        <v>1</v>
      </c>
    </row>
    <row r="291" spans="1:20" x14ac:dyDescent="0.3">
      <c r="A291" s="15" t="s">
        <v>35</v>
      </c>
      <c r="B291" s="16">
        <v>3</v>
      </c>
      <c r="C291" s="16">
        <v>0</v>
      </c>
      <c r="D291" s="16">
        <v>1</v>
      </c>
      <c r="E291" s="16">
        <v>1</v>
      </c>
      <c r="F291" s="16">
        <v>1</v>
      </c>
      <c r="H291" s="15" t="s">
        <v>35</v>
      </c>
      <c r="I291" s="16">
        <v>25</v>
      </c>
      <c r="J291" s="16">
        <v>6</v>
      </c>
      <c r="K291" s="16">
        <v>8</v>
      </c>
      <c r="L291" s="16">
        <v>0</v>
      </c>
      <c r="M291" s="16">
        <v>11</v>
      </c>
      <c r="O291" s="15" t="s">
        <v>35</v>
      </c>
      <c r="P291" s="16">
        <v>25</v>
      </c>
      <c r="Q291" s="16">
        <v>7</v>
      </c>
      <c r="R291" s="16">
        <v>9</v>
      </c>
      <c r="S291" s="16">
        <v>0</v>
      </c>
      <c r="T291" s="16">
        <v>9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3</v>
      </c>
      <c r="C293" s="18">
        <v>0</v>
      </c>
      <c r="D293" s="18">
        <v>1</v>
      </c>
      <c r="E293" s="18">
        <v>1</v>
      </c>
      <c r="F293" s="18">
        <v>1</v>
      </c>
      <c r="H293" s="17" t="s">
        <v>37</v>
      </c>
      <c r="I293" s="88">
        <v>25</v>
      </c>
      <c r="J293" s="88">
        <v>6</v>
      </c>
      <c r="K293" s="88">
        <v>8</v>
      </c>
      <c r="L293" s="88">
        <v>0</v>
      </c>
      <c r="M293" s="88">
        <v>11</v>
      </c>
      <c r="O293" s="17" t="s">
        <v>37</v>
      </c>
      <c r="P293" s="130">
        <v>25</v>
      </c>
      <c r="Q293" s="130">
        <v>7</v>
      </c>
      <c r="R293" s="130">
        <v>9</v>
      </c>
      <c r="S293" s="130">
        <v>0</v>
      </c>
      <c r="T293" s="130">
        <v>9</v>
      </c>
    </row>
    <row r="294" spans="1:20" x14ac:dyDescent="0.3">
      <c r="A294" s="17" t="s">
        <v>38</v>
      </c>
      <c r="B294" s="167" t="s">
        <v>913</v>
      </c>
      <c r="C294" s="168"/>
      <c r="D294" s="168"/>
      <c r="E294" s="168"/>
      <c r="F294" s="168"/>
      <c r="H294" s="17" t="s">
        <v>38</v>
      </c>
      <c r="I294" s="172" t="s">
        <v>1272</v>
      </c>
      <c r="J294" s="173"/>
      <c r="K294" s="173"/>
      <c r="L294" s="173"/>
      <c r="M294" s="173"/>
      <c r="O294" s="17" t="s">
        <v>38</v>
      </c>
      <c r="P294" s="172" t="s">
        <v>1034</v>
      </c>
      <c r="Q294" s="173"/>
      <c r="R294" s="173"/>
      <c r="S294" s="173"/>
      <c r="T294" s="173"/>
    </row>
    <row r="295" spans="1:20" ht="19.8" x14ac:dyDescent="0.3">
      <c r="A295" s="170">
        <v>46106</v>
      </c>
      <c r="B295" s="168"/>
      <c r="C295" s="168"/>
      <c r="D295" s="168"/>
      <c r="E295" s="168"/>
      <c r="F295" s="168"/>
      <c r="H295" s="170">
        <v>46129</v>
      </c>
      <c r="I295" s="169"/>
      <c r="J295" s="169"/>
      <c r="K295" s="169"/>
      <c r="L295" s="169"/>
      <c r="M295" s="169"/>
      <c r="O295" s="171">
        <v>46161</v>
      </c>
      <c r="P295" s="174"/>
      <c r="Q295" s="174"/>
      <c r="R295" s="174"/>
      <c r="S295" s="174"/>
      <c r="T295" s="174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871</v>
      </c>
      <c r="O296" s="1" t="s">
        <v>0</v>
      </c>
      <c r="P296" s="1" t="s">
        <v>1</v>
      </c>
      <c r="Q296" s="1" t="s">
        <v>2</v>
      </c>
      <c r="R296" s="1" t="s">
        <v>3</v>
      </c>
      <c r="S296" s="1" t="s">
        <v>870</v>
      </c>
      <c r="T296" s="1" t="s">
        <v>4</v>
      </c>
    </row>
    <row r="297" spans="1:20" x14ac:dyDescent="0.3">
      <c r="A297" s="2" t="s">
        <v>5</v>
      </c>
      <c r="B297" s="3">
        <v>3131</v>
      </c>
      <c r="C297" s="3">
        <v>1275</v>
      </c>
      <c r="D297" s="3">
        <v>1059</v>
      </c>
      <c r="E297" s="3">
        <v>366</v>
      </c>
      <c r="F297" s="3">
        <v>431</v>
      </c>
      <c r="H297" s="2" t="s">
        <v>5</v>
      </c>
      <c r="I297" s="3">
        <v>4196</v>
      </c>
      <c r="J297" s="3">
        <v>1982</v>
      </c>
      <c r="K297" s="3">
        <v>2214</v>
      </c>
      <c r="L297" s="3">
        <v>1974</v>
      </c>
      <c r="M297" s="3">
        <v>0</v>
      </c>
      <c r="O297" s="2" t="s">
        <v>5</v>
      </c>
      <c r="P297" s="3">
        <v>5020</v>
      </c>
      <c r="Q297" s="3">
        <v>1951</v>
      </c>
      <c r="R297" s="3">
        <v>1706</v>
      </c>
      <c r="S297" s="3">
        <v>0</v>
      </c>
      <c r="T297" s="3">
        <v>1363</v>
      </c>
    </row>
    <row r="298" spans="1:20" x14ac:dyDescent="0.3">
      <c r="A298" s="2" t="s">
        <v>6</v>
      </c>
      <c r="B298" s="3">
        <v>163</v>
      </c>
      <c r="C298" s="5">
        <v>59</v>
      </c>
      <c r="D298" s="6">
        <v>48</v>
      </c>
      <c r="E298" s="4">
        <v>29</v>
      </c>
      <c r="F298" s="3">
        <v>27</v>
      </c>
      <c r="H298" s="2" t="s">
        <v>6</v>
      </c>
      <c r="I298" s="3">
        <v>20</v>
      </c>
      <c r="J298" s="5">
        <v>17</v>
      </c>
      <c r="K298" s="6">
        <v>3</v>
      </c>
      <c r="L298" s="5">
        <v>119</v>
      </c>
      <c r="M298" s="3">
        <v>0</v>
      </c>
      <c r="O298" s="2" t="s">
        <v>6</v>
      </c>
      <c r="P298" s="3">
        <v>32</v>
      </c>
      <c r="Q298" s="5">
        <v>17</v>
      </c>
      <c r="R298" s="4">
        <v>7</v>
      </c>
      <c r="S298" s="3">
        <v>0</v>
      </c>
      <c r="T298" s="6">
        <v>8</v>
      </c>
    </row>
    <row r="299" spans="1:20" x14ac:dyDescent="0.3">
      <c r="A299" s="2" t="s">
        <v>7</v>
      </c>
      <c r="B299" s="3" t="s">
        <v>789</v>
      </c>
      <c r="C299" s="4" t="s">
        <v>837</v>
      </c>
      <c r="D299" s="3" t="s">
        <v>638</v>
      </c>
      <c r="E299" s="5" t="s">
        <v>726</v>
      </c>
      <c r="F299" s="6" t="s">
        <v>962</v>
      </c>
      <c r="H299" s="2" t="s">
        <v>7</v>
      </c>
      <c r="I299" s="3" t="s">
        <v>153</v>
      </c>
      <c r="J299" s="5" t="s">
        <v>467</v>
      </c>
      <c r="K299" s="6" t="s">
        <v>310</v>
      </c>
      <c r="L299" s="5" t="s">
        <v>1345</v>
      </c>
      <c r="M299" s="3">
        <v>0</v>
      </c>
      <c r="O299" s="2" t="s">
        <v>7</v>
      </c>
      <c r="P299" s="3" t="s">
        <v>42</v>
      </c>
      <c r="Q299" s="5" t="s">
        <v>45</v>
      </c>
      <c r="R299" s="4" t="s">
        <v>507</v>
      </c>
      <c r="S299" s="3">
        <v>0</v>
      </c>
      <c r="T299" s="6" t="s">
        <v>66</v>
      </c>
    </row>
    <row r="300" spans="1:20" x14ac:dyDescent="0.3">
      <c r="A300" s="2" t="s">
        <v>12</v>
      </c>
      <c r="B300" s="3" t="s">
        <v>233</v>
      </c>
      <c r="C300" s="3" t="s">
        <v>419</v>
      </c>
      <c r="D300" s="4" t="s">
        <v>607</v>
      </c>
      <c r="E300" s="5" t="s">
        <v>238</v>
      </c>
      <c r="F300" s="6" t="s">
        <v>451</v>
      </c>
      <c r="H300" s="2" t="s">
        <v>12</v>
      </c>
      <c r="I300" s="3" t="s">
        <v>150</v>
      </c>
      <c r="J300" s="5" t="s">
        <v>607</v>
      </c>
      <c r="K300" s="6" t="s">
        <v>158</v>
      </c>
      <c r="L300" s="5" t="s">
        <v>1345</v>
      </c>
      <c r="M300" s="3">
        <v>0</v>
      </c>
      <c r="O300" s="2" t="s">
        <v>12</v>
      </c>
      <c r="P300" s="3" t="s">
        <v>65</v>
      </c>
      <c r="Q300" s="5" t="s">
        <v>45</v>
      </c>
      <c r="R300" s="4" t="s">
        <v>227</v>
      </c>
      <c r="S300" s="3">
        <v>0</v>
      </c>
      <c r="T300" s="6" t="s">
        <v>119</v>
      </c>
    </row>
    <row r="301" spans="1:20" x14ac:dyDescent="0.3">
      <c r="A301" s="2" t="s">
        <v>17</v>
      </c>
      <c r="B301" s="3" t="s">
        <v>570</v>
      </c>
      <c r="C301" s="4" t="s">
        <v>963</v>
      </c>
      <c r="D301" s="3" t="s">
        <v>251</v>
      </c>
      <c r="E301" s="5" t="s">
        <v>964</v>
      </c>
      <c r="F301" s="6" t="s">
        <v>867</v>
      </c>
      <c r="H301" s="2" t="s">
        <v>17</v>
      </c>
      <c r="I301" s="3" t="s">
        <v>81</v>
      </c>
      <c r="J301" s="5" t="s">
        <v>81</v>
      </c>
      <c r="K301" s="6" t="s">
        <v>84</v>
      </c>
      <c r="L301" s="3" t="s">
        <v>25</v>
      </c>
      <c r="M301" s="3" t="s">
        <v>25</v>
      </c>
      <c r="O301" s="2" t="s">
        <v>17</v>
      </c>
      <c r="P301" s="3" t="s">
        <v>309</v>
      </c>
      <c r="Q301" s="3" t="s">
        <v>25</v>
      </c>
      <c r="R301" s="6" t="s">
        <v>102</v>
      </c>
      <c r="S301" s="3" t="s">
        <v>25</v>
      </c>
      <c r="T301" s="5" t="s">
        <v>121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158</v>
      </c>
      <c r="J302" s="5" t="s">
        <v>158</v>
      </c>
      <c r="K302" s="6" t="s">
        <v>158</v>
      </c>
      <c r="L302" s="3" t="s">
        <v>25</v>
      </c>
      <c r="M302" s="3" t="s">
        <v>25</v>
      </c>
      <c r="O302" s="2" t="s">
        <v>22</v>
      </c>
      <c r="P302" s="3" t="s">
        <v>80</v>
      </c>
      <c r="Q302" s="6" t="s">
        <v>750</v>
      </c>
      <c r="R302" s="5" t="s">
        <v>371</v>
      </c>
      <c r="S302" s="3" t="s">
        <v>25</v>
      </c>
      <c r="T302" s="4" t="s">
        <v>416</v>
      </c>
    </row>
    <row r="303" spans="1:20" x14ac:dyDescent="0.3">
      <c r="A303" s="7" t="s">
        <v>26</v>
      </c>
      <c r="B303" s="8">
        <v>25</v>
      </c>
      <c r="C303" s="8">
        <v>5</v>
      </c>
      <c r="D303" s="8">
        <v>8</v>
      </c>
      <c r="E303" s="8">
        <v>6</v>
      </c>
      <c r="F303" s="8">
        <v>6</v>
      </c>
      <c r="H303" s="7" t="s">
        <v>26</v>
      </c>
      <c r="I303" s="8">
        <v>16</v>
      </c>
      <c r="J303" s="8">
        <v>15</v>
      </c>
      <c r="K303" s="8">
        <v>1</v>
      </c>
      <c r="L303" s="8">
        <v>119</v>
      </c>
      <c r="M303" s="8">
        <v>0</v>
      </c>
      <c r="O303" s="7" t="s">
        <v>26</v>
      </c>
      <c r="P303" s="8">
        <v>28</v>
      </c>
      <c r="Q303" s="8">
        <v>17</v>
      </c>
      <c r="R303" s="8">
        <v>5</v>
      </c>
      <c r="S303" s="8">
        <v>0</v>
      </c>
      <c r="T303" s="8">
        <v>6</v>
      </c>
    </row>
    <row r="304" spans="1:20" x14ac:dyDescent="0.3">
      <c r="A304" s="9" t="s">
        <v>27</v>
      </c>
      <c r="B304" s="10">
        <v>19</v>
      </c>
      <c r="C304" s="10">
        <v>5</v>
      </c>
      <c r="D304" s="10">
        <v>8</v>
      </c>
      <c r="E304" s="10">
        <v>2</v>
      </c>
      <c r="F304" s="10">
        <v>4</v>
      </c>
      <c r="H304" s="9" t="s">
        <v>27</v>
      </c>
      <c r="I304" s="10">
        <v>12</v>
      </c>
      <c r="J304" s="10">
        <v>11</v>
      </c>
      <c r="K304" s="10">
        <v>1</v>
      </c>
      <c r="L304" s="10">
        <v>28</v>
      </c>
      <c r="M304" s="10">
        <v>0</v>
      </c>
      <c r="O304" s="9" t="s">
        <v>27</v>
      </c>
      <c r="P304" s="10">
        <v>21</v>
      </c>
      <c r="Q304" s="10">
        <v>14</v>
      </c>
      <c r="R304" s="10">
        <v>3</v>
      </c>
      <c r="S304" s="10">
        <v>0</v>
      </c>
      <c r="T304" s="10">
        <v>4</v>
      </c>
    </row>
    <row r="305" spans="1:20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H305" s="9" t="s">
        <v>28</v>
      </c>
      <c r="I305" s="10">
        <v>1</v>
      </c>
      <c r="J305" s="10">
        <v>1</v>
      </c>
      <c r="K305" s="10">
        <v>0</v>
      </c>
      <c r="L305" s="10">
        <v>76</v>
      </c>
      <c r="M305" s="10">
        <v>0</v>
      </c>
      <c r="O305" s="9" t="s">
        <v>28</v>
      </c>
      <c r="P305" s="10">
        <v>1</v>
      </c>
      <c r="Q305" s="10">
        <v>0</v>
      </c>
      <c r="R305" s="10">
        <v>1</v>
      </c>
      <c r="S305" s="10">
        <v>0</v>
      </c>
      <c r="T305" s="10">
        <v>0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6</v>
      </c>
      <c r="C307" s="10">
        <v>0</v>
      </c>
      <c r="D307" s="10">
        <v>0</v>
      </c>
      <c r="E307" s="10">
        <v>4</v>
      </c>
      <c r="F307" s="10">
        <v>2</v>
      </c>
      <c r="H307" s="9" t="s">
        <v>30</v>
      </c>
      <c r="I307" s="10">
        <v>3</v>
      </c>
      <c r="J307" s="10">
        <v>3</v>
      </c>
      <c r="K307" s="10">
        <v>0</v>
      </c>
      <c r="L307" s="10">
        <v>15</v>
      </c>
      <c r="M307" s="10">
        <v>0</v>
      </c>
      <c r="O307" s="9" t="s">
        <v>30</v>
      </c>
      <c r="P307" s="10">
        <v>6</v>
      </c>
      <c r="Q307" s="10">
        <v>3</v>
      </c>
      <c r="R307" s="10">
        <v>1</v>
      </c>
      <c r="S307" s="10">
        <v>0</v>
      </c>
      <c r="T307" s="10">
        <v>2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136</v>
      </c>
      <c r="C309" s="12">
        <v>54</v>
      </c>
      <c r="D309" s="12">
        <v>40</v>
      </c>
      <c r="E309" s="12">
        <v>23</v>
      </c>
      <c r="F309" s="12">
        <v>19</v>
      </c>
      <c r="H309" s="11" t="s">
        <v>32</v>
      </c>
      <c r="I309" s="12">
        <v>4</v>
      </c>
      <c r="J309" s="12">
        <v>2</v>
      </c>
      <c r="K309" s="12">
        <v>2</v>
      </c>
      <c r="L309" s="12">
        <v>0</v>
      </c>
      <c r="M309" s="12">
        <v>0</v>
      </c>
      <c r="O309" s="11" t="s">
        <v>32</v>
      </c>
      <c r="P309" s="12">
        <v>4</v>
      </c>
      <c r="Q309" s="12">
        <v>0</v>
      </c>
      <c r="R309" s="12">
        <v>2</v>
      </c>
      <c r="S309" s="12">
        <v>0</v>
      </c>
      <c r="T309" s="12">
        <v>2</v>
      </c>
    </row>
    <row r="310" spans="1:20" x14ac:dyDescent="0.3">
      <c r="A310" s="13" t="s">
        <v>33</v>
      </c>
      <c r="B310" s="14">
        <v>45</v>
      </c>
      <c r="C310" s="14">
        <v>16</v>
      </c>
      <c r="D310" s="14">
        <v>8</v>
      </c>
      <c r="E310" s="14">
        <v>9</v>
      </c>
      <c r="F310" s="14">
        <v>12</v>
      </c>
      <c r="H310" s="13" t="s">
        <v>33</v>
      </c>
      <c r="I310" s="14">
        <v>2</v>
      </c>
      <c r="J310" s="14">
        <v>1</v>
      </c>
      <c r="K310" s="14">
        <v>1</v>
      </c>
      <c r="L310" s="14">
        <v>0</v>
      </c>
      <c r="M310" s="14">
        <v>0</v>
      </c>
      <c r="O310" s="13" t="s">
        <v>33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91</v>
      </c>
      <c r="C311" s="14">
        <v>38</v>
      </c>
      <c r="D311" s="14">
        <v>32</v>
      </c>
      <c r="E311" s="14">
        <v>14</v>
      </c>
      <c r="F311" s="14">
        <v>7</v>
      </c>
      <c r="H311" s="13" t="s">
        <v>34</v>
      </c>
      <c r="I311" s="14">
        <v>2</v>
      </c>
      <c r="J311" s="14">
        <v>1</v>
      </c>
      <c r="K311" s="14">
        <v>1</v>
      </c>
      <c r="L311" s="14">
        <v>0</v>
      </c>
      <c r="M311" s="14">
        <v>0</v>
      </c>
      <c r="O311" s="13" t="s">
        <v>34</v>
      </c>
      <c r="P311" s="14">
        <v>4</v>
      </c>
      <c r="Q311" s="14">
        <v>0</v>
      </c>
      <c r="R311" s="14">
        <v>2</v>
      </c>
      <c r="S311" s="14">
        <v>0</v>
      </c>
      <c r="T311" s="14">
        <v>2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2</v>
      </c>
      <c r="J312" s="16">
        <v>1</v>
      </c>
      <c r="K312" s="16">
        <v>1</v>
      </c>
      <c r="L312" s="16">
        <v>0</v>
      </c>
      <c r="M312" s="16">
        <v>0</v>
      </c>
      <c r="O312" s="15" t="s">
        <v>35</v>
      </c>
      <c r="P312" s="16">
        <v>37</v>
      </c>
      <c r="Q312" s="16">
        <v>14</v>
      </c>
      <c r="R312" s="16">
        <v>14</v>
      </c>
      <c r="S312" s="16">
        <v>0</v>
      </c>
      <c r="T312" s="16">
        <v>9</v>
      </c>
    </row>
    <row r="313" spans="1:20" x14ac:dyDescent="0.3">
      <c r="A313" s="17" t="s">
        <v>36</v>
      </c>
      <c r="B313" s="19">
        <v>0</v>
      </c>
      <c r="C313" s="19">
        <v>0</v>
      </c>
      <c r="D313" s="19">
        <v>0</v>
      </c>
      <c r="E313" s="19">
        <v>0</v>
      </c>
      <c r="F313" s="19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9">
        <v>0</v>
      </c>
      <c r="C314" s="19">
        <v>0</v>
      </c>
      <c r="D314" s="19">
        <v>0</v>
      </c>
      <c r="E314" s="19">
        <v>0</v>
      </c>
      <c r="F314" s="19">
        <v>0</v>
      </c>
      <c r="H314" s="17" t="s">
        <v>37</v>
      </c>
      <c r="I314" s="99">
        <v>2</v>
      </c>
      <c r="J314" s="99">
        <v>1</v>
      </c>
      <c r="K314" s="99">
        <v>1</v>
      </c>
      <c r="L314" s="99">
        <v>0</v>
      </c>
      <c r="M314" s="99">
        <v>0</v>
      </c>
      <c r="O314" s="17" t="s">
        <v>37</v>
      </c>
      <c r="P314" s="130">
        <v>37</v>
      </c>
      <c r="Q314" s="130">
        <v>14</v>
      </c>
      <c r="R314" s="130">
        <v>14</v>
      </c>
      <c r="S314" s="130">
        <v>0</v>
      </c>
      <c r="T314" s="130">
        <v>9</v>
      </c>
    </row>
    <row r="315" spans="1:20" x14ac:dyDescent="0.3">
      <c r="A315" s="17" t="s">
        <v>38</v>
      </c>
      <c r="B315" s="167" t="s">
        <v>965</v>
      </c>
      <c r="C315" s="168"/>
      <c r="D315" s="168"/>
      <c r="E315" s="168"/>
      <c r="F315" s="168"/>
      <c r="H315" s="17" t="s">
        <v>38</v>
      </c>
      <c r="I315" s="175" t="s">
        <v>1272</v>
      </c>
      <c r="J315" s="176"/>
      <c r="K315" s="176"/>
      <c r="L315" s="176"/>
      <c r="M315" s="176"/>
      <c r="O315" s="17" t="s">
        <v>38</v>
      </c>
      <c r="P315" s="172" t="s">
        <v>1034</v>
      </c>
      <c r="Q315" s="173"/>
      <c r="R315" s="173"/>
      <c r="S315" s="173"/>
      <c r="T315" s="173"/>
    </row>
    <row r="316" spans="1:20" ht="19.8" x14ac:dyDescent="0.3">
      <c r="A316" s="170">
        <v>46107</v>
      </c>
      <c r="B316" s="168"/>
      <c r="C316" s="168"/>
      <c r="D316" s="168"/>
      <c r="E316" s="168"/>
      <c r="F316" s="168"/>
      <c r="H316" s="170">
        <v>46130</v>
      </c>
      <c r="I316" s="169"/>
      <c r="J316" s="169"/>
      <c r="K316" s="169"/>
      <c r="L316" s="169"/>
      <c r="M316" s="169"/>
      <c r="O316" s="171">
        <v>46162</v>
      </c>
      <c r="P316" s="171"/>
      <c r="Q316" s="171"/>
      <c r="R316" s="171"/>
      <c r="S316" s="171"/>
      <c r="T316" s="171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871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870</v>
      </c>
      <c r="T317" s="1" t="s">
        <v>4</v>
      </c>
    </row>
    <row r="318" spans="1:20" x14ac:dyDescent="0.3">
      <c r="A318" s="2" t="s">
        <v>5</v>
      </c>
      <c r="B318" s="3">
        <v>2390</v>
      </c>
      <c r="C318" s="3">
        <v>1244</v>
      </c>
      <c r="D318" s="3">
        <v>900</v>
      </c>
      <c r="E318" s="3">
        <v>113</v>
      </c>
      <c r="F318" s="3">
        <v>133</v>
      </c>
      <c r="H318" s="2" t="s">
        <v>5</v>
      </c>
      <c r="I318" s="3">
        <v>3002</v>
      </c>
      <c r="J318" s="3">
        <v>1449</v>
      </c>
      <c r="K318" s="3">
        <v>1553</v>
      </c>
      <c r="L318" s="3">
        <v>1416</v>
      </c>
      <c r="M318" s="3">
        <v>0</v>
      </c>
      <c r="O318" s="2" t="s">
        <v>5</v>
      </c>
      <c r="P318" s="3">
        <v>5705</v>
      </c>
      <c r="Q318" s="3">
        <v>2233</v>
      </c>
      <c r="R318" s="3">
        <v>1928</v>
      </c>
      <c r="S318" s="3">
        <v>0</v>
      </c>
      <c r="T318" s="3">
        <v>1544</v>
      </c>
    </row>
    <row r="319" spans="1:20" x14ac:dyDescent="0.3">
      <c r="A319" s="2" t="s">
        <v>6</v>
      </c>
      <c r="B319" s="3">
        <v>301</v>
      </c>
      <c r="C319" s="5">
        <v>150</v>
      </c>
      <c r="D319" s="6">
        <v>112</v>
      </c>
      <c r="E319" s="4">
        <v>21</v>
      </c>
      <c r="F319" s="3">
        <v>18</v>
      </c>
      <c r="H319" s="2" t="s">
        <v>6</v>
      </c>
      <c r="I319" s="3">
        <v>27</v>
      </c>
      <c r="J319" s="5">
        <v>21</v>
      </c>
      <c r="K319" s="6">
        <v>6</v>
      </c>
      <c r="L319" s="5">
        <v>220</v>
      </c>
      <c r="M319" s="3">
        <v>0</v>
      </c>
      <c r="O319" s="2" t="s">
        <v>6</v>
      </c>
      <c r="P319" s="3">
        <v>34</v>
      </c>
      <c r="Q319" s="5">
        <v>20</v>
      </c>
      <c r="R319" s="4">
        <v>4</v>
      </c>
      <c r="S319" s="3">
        <v>0</v>
      </c>
      <c r="T319" s="6">
        <v>10</v>
      </c>
    </row>
    <row r="320" spans="1:20" x14ac:dyDescent="0.3">
      <c r="A320" s="2" t="s">
        <v>7</v>
      </c>
      <c r="B320" s="3" t="s">
        <v>994</v>
      </c>
      <c r="C320" s="3" t="s">
        <v>159</v>
      </c>
      <c r="D320" s="4" t="s">
        <v>995</v>
      </c>
      <c r="E320" s="5" t="s">
        <v>996</v>
      </c>
      <c r="F320" s="6" t="s">
        <v>997</v>
      </c>
      <c r="H320" s="2" t="s">
        <v>7</v>
      </c>
      <c r="I320" s="3" t="s">
        <v>493</v>
      </c>
      <c r="J320" s="5" t="s">
        <v>773</v>
      </c>
      <c r="K320" s="6" t="s">
        <v>419</v>
      </c>
      <c r="L320" s="5" t="s">
        <v>1554</v>
      </c>
      <c r="M320" s="3">
        <v>0</v>
      </c>
      <c r="O320" s="2" t="s">
        <v>7</v>
      </c>
      <c r="P320" s="3" t="s">
        <v>174</v>
      </c>
      <c r="Q320" s="5" t="s">
        <v>493</v>
      </c>
      <c r="R320" s="4" t="s">
        <v>77</v>
      </c>
      <c r="S320" s="3">
        <v>0</v>
      </c>
      <c r="T320" s="6" t="s">
        <v>83</v>
      </c>
    </row>
    <row r="321" spans="1:20" x14ac:dyDescent="0.3">
      <c r="A321" s="2" t="s">
        <v>12</v>
      </c>
      <c r="B321" s="3" t="s">
        <v>77</v>
      </c>
      <c r="C321" s="4" t="s">
        <v>154</v>
      </c>
      <c r="D321" s="3" t="s">
        <v>49</v>
      </c>
      <c r="E321" s="5" t="s">
        <v>272</v>
      </c>
      <c r="F321" s="6" t="s">
        <v>44</v>
      </c>
      <c r="H321" s="2" t="s">
        <v>12</v>
      </c>
      <c r="I321" s="3" t="s">
        <v>697</v>
      </c>
      <c r="J321" s="5" t="s">
        <v>559</v>
      </c>
      <c r="K321" s="6" t="s">
        <v>419</v>
      </c>
      <c r="L321" s="5" t="s">
        <v>1555</v>
      </c>
      <c r="M321" s="3">
        <v>0</v>
      </c>
      <c r="O321" s="2" t="s">
        <v>12</v>
      </c>
      <c r="P321" s="3" t="s">
        <v>65</v>
      </c>
      <c r="Q321" s="5" t="s">
        <v>63</v>
      </c>
      <c r="R321" s="4" t="s">
        <v>77</v>
      </c>
      <c r="S321" s="3">
        <v>0</v>
      </c>
      <c r="T321" s="6" t="s">
        <v>137</v>
      </c>
    </row>
    <row r="322" spans="1:20" x14ac:dyDescent="0.3">
      <c r="A322" s="2" t="s">
        <v>17</v>
      </c>
      <c r="B322" s="3" t="s">
        <v>998</v>
      </c>
      <c r="C322" s="3" t="s">
        <v>999</v>
      </c>
      <c r="D322" s="4" t="s">
        <v>1000</v>
      </c>
      <c r="E322" s="5" t="s">
        <v>1001</v>
      </c>
      <c r="F322" s="6" t="s">
        <v>1002</v>
      </c>
      <c r="H322" s="2" t="s">
        <v>17</v>
      </c>
      <c r="I322" s="3" t="s">
        <v>138</v>
      </c>
      <c r="J322" s="5" t="s">
        <v>310</v>
      </c>
      <c r="K322" s="3" t="s">
        <v>25</v>
      </c>
      <c r="L322" s="6" t="s">
        <v>310</v>
      </c>
      <c r="M322" s="3" t="s">
        <v>25</v>
      </c>
      <c r="O322" s="2" t="s">
        <v>17</v>
      </c>
      <c r="P322" s="3" t="s">
        <v>257</v>
      </c>
      <c r="Q322" s="6" t="s">
        <v>257</v>
      </c>
      <c r="R322" s="3" t="s">
        <v>25</v>
      </c>
      <c r="S322" s="3" t="s">
        <v>25</v>
      </c>
      <c r="T322" s="5" t="s">
        <v>268</v>
      </c>
    </row>
    <row r="323" spans="1:20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5" t="s">
        <v>138</v>
      </c>
      <c r="M323" s="3" t="s">
        <v>25</v>
      </c>
      <c r="O323" s="2" t="s">
        <v>22</v>
      </c>
      <c r="P323" s="3" t="s">
        <v>65</v>
      </c>
      <c r="Q323" s="5" t="s">
        <v>64</v>
      </c>
      <c r="R323" s="6" t="s">
        <v>591</v>
      </c>
      <c r="S323" s="3" t="s">
        <v>25</v>
      </c>
      <c r="T323" s="4" t="s">
        <v>101</v>
      </c>
    </row>
    <row r="324" spans="1:20" x14ac:dyDescent="0.3">
      <c r="A324" s="7" t="s">
        <v>26</v>
      </c>
      <c r="B324" s="8">
        <v>5</v>
      </c>
      <c r="C324" s="8">
        <v>2</v>
      </c>
      <c r="D324" s="8">
        <v>1</v>
      </c>
      <c r="E324" s="8">
        <v>1</v>
      </c>
      <c r="F324" s="8">
        <v>1</v>
      </c>
      <c r="H324" s="7" t="s">
        <v>26</v>
      </c>
      <c r="I324" s="8">
        <v>25</v>
      </c>
      <c r="J324" s="8">
        <v>19</v>
      </c>
      <c r="K324" s="8">
        <v>6</v>
      </c>
      <c r="L324" s="8">
        <v>217</v>
      </c>
      <c r="M324" s="8">
        <v>0</v>
      </c>
      <c r="O324" s="7" t="s">
        <v>26</v>
      </c>
      <c r="P324" s="8">
        <v>32</v>
      </c>
      <c r="Q324" s="8">
        <v>19</v>
      </c>
      <c r="R324" s="8">
        <v>4</v>
      </c>
      <c r="S324" s="8">
        <v>0</v>
      </c>
      <c r="T324" s="8">
        <v>9</v>
      </c>
    </row>
    <row r="325" spans="1:20" x14ac:dyDescent="0.3">
      <c r="A325" s="9" t="s">
        <v>27</v>
      </c>
      <c r="B325" s="10">
        <v>5</v>
      </c>
      <c r="C325" s="10">
        <v>2</v>
      </c>
      <c r="D325" s="10">
        <v>1</v>
      </c>
      <c r="E325" s="10">
        <v>1</v>
      </c>
      <c r="F325" s="10">
        <v>1</v>
      </c>
      <c r="H325" s="9" t="s">
        <v>27</v>
      </c>
      <c r="I325" s="10">
        <v>16</v>
      </c>
      <c r="J325" s="10">
        <v>12</v>
      </c>
      <c r="K325" s="10">
        <v>4</v>
      </c>
      <c r="L325" s="10">
        <v>52</v>
      </c>
      <c r="M325" s="10">
        <v>0</v>
      </c>
      <c r="O325" s="9" t="s">
        <v>27</v>
      </c>
      <c r="P325" s="10">
        <v>22</v>
      </c>
      <c r="Q325" s="10">
        <v>14</v>
      </c>
      <c r="R325" s="10">
        <v>2</v>
      </c>
      <c r="S325" s="10">
        <v>0</v>
      </c>
      <c r="T325" s="10">
        <v>6</v>
      </c>
    </row>
    <row r="326" spans="1:20" x14ac:dyDescent="0.3">
      <c r="A326" s="9" t="s">
        <v>28</v>
      </c>
      <c r="B326" s="10">
        <v>0</v>
      </c>
      <c r="C326" s="10">
        <v>0</v>
      </c>
      <c r="D326" s="10">
        <v>0</v>
      </c>
      <c r="E326" s="10">
        <v>0</v>
      </c>
      <c r="F326" s="10">
        <v>0</v>
      </c>
      <c r="H326" s="9" t="s">
        <v>28</v>
      </c>
      <c r="I326" s="10">
        <v>0</v>
      </c>
      <c r="J326" s="10">
        <v>0</v>
      </c>
      <c r="K326" s="10">
        <v>0</v>
      </c>
      <c r="L326" s="10">
        <v>140</v>
      </c>
      <c r="M326" s="10">
        <v>0</v>
      </c>
      <c r="O326" s="9" t="s">
        <v>28</v>
      </c>
      <c r="P326" s="10">
        <v>4</v>
      </c>
      <c r="Q326" s="10">
        <v>1</v>
      </c>
      <c r="R326" s="10">
        <v>1</v>
      </c>
      <c r="S326" s="10">
        <v>0</v>
      </c>
      <c r="T326" s="10">
        <v>2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H328" s="9" t="s">
        <v>30</v>
      </c>
      <c r="I328" s="10">
        <v>9</v>
      </c>
      <c r="J328" s="10">
        <v>7</v>
      </c>
      <c r="K328" s="10">
        <v>2</v>
      </c>
      <c r="L328" s="10">
        <v>25</v>
      </c>
      <c r="M328" s="10">
        <v>0</v>
      </c>
      <c r="O328" s="9" t="s">
        <v>30</v>
      </c>
      <c r="P328" s="10">
        <v>6</v>
      </c>
      <c r="Q328" s="10">
        <v>4</v>
      </c>
      <c r="R328" s="10">
        <v>1</v>
      </c>
      <c r="S328" s="10">
        <v>0</v>
      </c>
      <c r="T328" s="10">
        <v>1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277</v>
      </c>
      <c r="C330" s="12">
        <v>129</v>
      </c>
      <c r="D330" s="12">
        <v>111</v>
      </c>
      <c r="E330" s="12">
        <v>20</v>
      </c>
      <c r="F330" s="12">
        <v>17</v>
      </c>
      <c r="H330" s="11" t="s">
        <v>32</v>
      </c>
      <c r="I330" s="12">
        <v>2</v>
      </c>
      <c r="J330" s="12">
        <v>2</v>
      </c>
      <c r="K330" s="12">
        <v>0</v>
      </c>
      <c r="L330" s="12">
        <v>2</v>
      </c>
      <c r="M330" s="12">
        <v>0</v>
      </c>
      <c r="O330" s="11" t="s">
        <v>32</v>
      </c>
      <c r="P330" s="12">
        <v>2</v>
      </c>
      <c r="Q330" s="12">
        <v>1</v>
      </c>
      <c r="R330" s="12">
        <v>0</v>
      </c>
      <c r="S330" s="12">
        <v>0</v>
      </c>
      <c r="T330" s="12">
        <v>1</v>
      </c>
    </row>
    <row r="331" spans="1:20" x14ac:dyDescent="0.3">
      <c r="A331" s="13" t="s">
        <v>33</v>
      </c>
      <c r="B331" s="14">
        <v>3</v>
      </c>
      <c r="C331" s="14">
        <v>1</v>
      </c>
      <c r="D331" s="14">
        <v>1</v>
      </c>
      <c r="E331" s="14">
        <v>1</v>
      </c>
      <c r="F331" s="14">
        <v>0</v>
      </c>
      <c r="H331" s="13" t="s">
        <v>33</v>
      </c>
      <c r="I331" s="14">
        <v>2</v>
      </c>
      <c r="J331" s="14">
        <v>2</v>
      </c>
      <c r="K331" s="14">
        <v>0</v>
      </c>
      <c r="L331" s="14">
        <v>0</v>
      </c>
      <c r="M331" s="14">
        <v>0</v>
      </c>
      <c r="O331" s="13" t="s">
        <v>33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</row>
    <row r="332" spans="1:20" x14ac:dyDescent="0.3">
      <c r="A332" s="13" t="s">
        <v>34</v>
      </c>
      <c r="B332" s="14">
        <v>274</v>
      </c>
      <c r="C332" s="14">
        <v>128</v>
      </c>
      <c r="D332" s="14">
        <v>110</v>
      </c>
      <c r="E332" s="14">
        <v>19</v>
      </c>
      <c r="F332" s="14">
        <v>17</v>
      </c>
      <c r="H332" s="13" t="s">
        <v>34</v>
      </c>
      <c r="I332" s="14">
        <v>0</v>
      </c>
      <c r="J332" s="14">
        <v>0</v>
      </c>
      <c r="K332" s="14">
        <v>0</v>
      </c>
      <c r="L332" s="14">
        <v>2</v>
      </c>
      <c r="M332" s="14">
        <v>0</v>
      </c>
      <c r="O332" s="13" t="s">
        <v>34</v>
      </c>
      <c r="P332" s="14">
        <v>2</v>
      </c>
      <c r="Q332" s="14">
        <v>1</v>
      </c>
      <c r="R332" s="14">
        <v>0</v>
      </c>
      <c r="S332" s="14">
        <v>0</v>
      </c>
      <c r="T332" s="14">
        <v>1</v>
      </c>
    </row>
    <row r="333" spans="1:20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1</v>
      </c>
      <c r="M333" s="16">
        <v>0</v>
      </c>
      <c r="O333" s="15" t="s">
        <v>35</v>
      </c>
      <c r="P333" s="16">
        <v>32</v>
      </c>
      <c r="Q333" s="16">
        <v>18</v>
      </c>
      <c r="R333" s="16">
        <v>10</v>
      </c>
      <c r="S333" s="16">
        <v>0</v>
      </c>
      <c r="T333" s="16">
        <v>4</v>
      </c>
    </row>
    <row r="334" spans="1:20" x14ac:dyDescent="0.3">
      <c r="A334" s="17" t="s">
        <v>36</v>
      </c>
      <c r="B334" s="34">
        <v>0</v>
      </c>
      <c r="C334" s="34">
        <v>0</v>
      </c>
      <c r="D334" s="34">
        <v>0</v>
      </c>
      <c r="E334" s="34">
        <v>0</v>
      </c>
      <c r="F334" s="34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8">
        <v>0</v>
      </c>
      <c r="T334" s="130">
        <v>0</v>
      </c>
    </row>
    <row r="335" spans="1:20" x14ac:dyDescent="0.3">
      <c r="A335" s="17" t="s">
        <v>37</v>
      </c>
      <c r="B335" s="34">
        <v>0</v>
      </c>
      <c r="C335" s="34">
        <v>0</v>
      </c>
      <c r="D335" s="34">
        <v>0</v>
      </c>
      <c r="E335" s="34">
        <v>0</v>
      </c>
      <c r="F335" s="34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1</v>
      </c>
      <c r="M335" s="99">
        <v>0</v>
      </c>
      <c r="O335" s="17" t="s">
        <v>37</v>
      </c>
      <c r="P335" s="130">
        <v>32</v>
      </c>
      <c r="Q335" s="130">
        <v>18</v>
      </c>
      <c r="R335" s="130">
        <v>10</v>
      </c>
      <c r="S335" s="138">
        <v>0</v>
      </c>
      <c r="T335" s="130">
        <v>4</v>
      </c>
    </row>
    <row r="336" spans="1:20" x14ac:dyDescent="0.3">
      <c r="A336" s="17" t="s">
        <v>38</v>
      </c>
      <c r="B336" s="167" t="s">
        <v>1003</v>
      </c>
      <c r="C336" s="168"/>
      <c r="D336" s="168"/>
      <c r="E336" s="168"/>
      <c r="F336" s="168"/>
      <c r="H336" s="17" t="s">
        <v>38</v>
      </c>
      <c r="I336" s="175" t="s">
        <v>1272</v>
      </c>
      <c r="J336" s="176"/>
      <c r="K336" s="176"/>
      <c r="L336" s="176"/>
      <c r="M336" s="176"/>
      <c r="O336" s="17" t="s">
        <v>38</v>
      </c>
      <c r="P336" s="172" t="s">
        <v>1034</v>
      </c>
      <c r="Q336" s="173"/>
      <c r="R336" s="173"/>
      <c r="S336" s="173"/>
      <c r="T336" s="173"/>
    </row>
    <row r="337" spans="1:20" ht="19.8" x14ac:dyDescent="0.3">
      <c r="A337" s="170">
        <v>46108</v>
      </c>
      <c r="B337" s="168"/>
      <c r="C337" s="168"/>
      <c r="D337" s="168"/>
      <c r="E337" s="168"/>
      <c r="F337" s="168"/>
      <c r="H337" s="171">
        <v>46132</v>
      </c>
      <c r="I337" s="171"/>
      <c r="J337" s="171"/>
      <c r="K337" s="171"/>
      <c r="L337" s="171"/>
      <c r="M337" s="171"/>
      <c r="O337" s="171">
        <v>46163</v>
      </c>
      <c r="P337" s="171"/>
      <c r="Q337" s="171"/>
      <c r="R337" s="171"/>
      <c r="S337" s="171"/>
      <c r="T337" s="171"/>
    </row>
    <row r="338" spans="1:20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2</v>
      </c>
      <c r="R338" s="1" t="s">
        <v>3</v>
      </c>
      <c r="S338" s="1" t="s">
        <v>870</v>
      </c>
      <c r="T338" s="1" t="s">
        <v>4</v>
      </c>
    </row>
    <row r="339" spans="1:20" x14ac:dyDescent="0.3">
      <c r="A339" s="2" t="s">
        <v>5</v>
      </c>
      <c r="B339" s="3">
        <v>5157</v>
      </c>
      <c r="C339" s="3">
        <v>2018</v>
      </c>
      <c r="D339" s="3">
        <v>1512</v>
      </c>
      <c r="E339" s="3">
        <v>848</v>
      </c>
      <c r="F339" s="3">
        <v>779</v>
      </c>
      <c r="H339" s="2" t="s">
        <v>5</v>
      </c>
      <c r="I339" s="3">
        <v>2208</v>
      </c>
      <c r="J339" s="3">
        <v>1062</v>
      </c>
      <c r="K339" s="3">
        <v>1145</v>
      </c>
      <c r="L339" s="3">
        <v>1</v>
      </c>
      <c r="M339" s="3">
        <v>919</v>
      </c>
      <c r="O339" s="2" t="s">
        <v>5</v>
      </c>
      <c r="P339" s="3">
        <v>4849</v>
      </c>
      <c r="Q339" s="3">
        <v>1902</v>
      </c>
      <c r="R339" s="3">
        <v>1747</v>
      </c>
      <c r="S339" s="3">
        <v>0</v>
      </c>
      <c r="T339" s="3">
        <v>1200</v>
      </c>
    </row>
    <row r="340" spans="1:20" x14ac:dyDescent="0.3">
      <c r="A340" s="2" t="s">
        <v>6</v>
      </c>
      <c r="B340" s="3">
        <v>84</v>
      </c>
      <c r="C340" s="5">
        <v>27</v>
      </c>
      <c r="D340" s="3">
        <v>16</v>
      </c>
      <c r="E340" s="4">
        <v>19</v>
      </c>
      <c r="F340" s="6">
        <v>22</v>
      </c>
      <c r="H340" s="2" t="s">
        <v>6</v>
      </c>
      <c r="I340" s="3">
        <v>19</v>
      </c>
      <c r="J340" s="5">
        <v>12</v>
      </c>
      <c r="K340" s="6">
        <v>6</v>
      </c>
      <c r="L340" s="4">
        <v>1</v>
      </c>
      <c r="M340" s="5">
        <v>135</v>
      </c>
      <c r="O340" s="2" t="s">
        <v>6</v>
      </c>
      <c r="P340" s="3">
        <v>57</v>
      </c>
      <c r="Q340" s="5">
        <v>24</v>
      </c>
      <c r="R340" s="6">
        <v>18</v>
      </c>
      <c r="S340" s="3">
        <v>0</v>
      </c>
      <c r="T340" s="4">
        <v>15</v>
      </c>
    </row>
    <row r="341" spans="1:20" x14ac:dyDescent="0.3">
      <c r="A341" s="2" t="s">
        <v>7</v>
      </c>
      <c r="B341" s="3" t="s">
        <v>428</v>
      </c>
      <c r="C341" s="4" t="s">
        <v>239</v>
      </c>
      <c r="D341" s="3" t="s">
        <v>405</v>
      </c>
      <c r="E341" s="6" t="s">
        <v>1019</v>
      </c>
      <c r="F341" s="5" t="s">
        <v>742</v>
      </c>
      <c r="H341" s="2" t="s">
        <v>7</v>
      </c>
      <c r="I341" s="3" t="s">
        <v>467</v>
      </c>
      <c r="J341" s="6" t="s">
        <v>41</v>
      </c>
      <c r="K341" s="4" t="s">
        <v>591</v>
      </c>
      <c r="L341" s="5" t="s">
        <v>48</v>
      </c>
      <c r="M341" s="5" t="s">
        <v>1586</v>
      </c>
      <c r="O341" s="2" t="s">
        <v>7</v>
      </c>
      <c r="P341" s="3" t="s">
        <v>499</v>
      </c>
      <c r="Q341" s="5" t="s">
        <v>277</v>
      </c>
      <c r="R341" s="4" t="s">
        <v>1283</v>
      </c>
      <c r="S341" s="3">
        <v>0</v>
      </c>
      <c r="T341" s="6" t="s">
        <v>476</v>
      </c>
    </row>
    <row r="342" spans="1:20" x14ac:dyDescent="0.3">
      <c r="A342" s="2" t="s">
        <v>12</v>
      </c>
      <c r="B342" s="3" t="s">
        <v>507</v>
      </c>
      <c r="C342" s="4" t="s">
        <v>99</v>
      </c>
      <c r="D342" s="3" t="s">
        <v>138</v>
      </c>
      <c r="E342" s="6" t="s">
        <v>66</v>
      </c>
      <c r="F342" s="5" t="s">
        <v>431</v>
      </c>
      <c r="H342" s="2" t="s">
        <v>12</v>
      </c>
      <c r="I342" s="3" t="s">
        <v>492</v>
      </c>
      <c r="J342" s="6" t="s">
        <v>468</v>
      </c>
      <c r="K342" s="4" t="s">
        <v>135</v>
      </c>
      <c r="L342" s="5" t="s">
        <v>48</v>
      </c>
      <c r="M342" s="5" t="s">
        <v>1587</v>
      </c>
      <c r="O342" s="2" t="s">
        <v>12</v>
      </c>
      <c r="P342" s="3" t="s">
        <v>233</v>
      </c>
      <c r="Q342" s="5" t="s">
        <v>86</v>
      </c>
      <c r="R342" s="4" t="s">
        <v>580</v>
      </c>
      <c r="S342" s="3">
        <v>0</v>
      </c>
      <c r="T342" s="6" t="s">
        <v>697</v>
      </c>
    </row>
    <row r="343" spans="1:20" x14ac:dyDescent="0.3">
      <c r="A343" s="2" t="s">
        <v>17</v>
      </c>
      <c r="B343" s="3" t="s">
        <v>1033</v>
      </c>
      <c r="C343" s="4" t="s">
        <v>363</v>
      </c>
      <c r="D343" s="3" t="s">
        <v>794</v>
      </c>
      <c r="E343" s="5" t="s">
        <v>182</v>
      </c>
      <c r="F343" s="6" t="s">
        <v>431</v>
      </c>
      <c r="H343" s="2" t="s">
        <v>17</v>
      </c>
      <c r="I343" s="3" t="s">
        <v>84</v>
      </c>
      <c r="J343" s="3" t="s">
        <v>25</v>
      </c>
      <c r="K343" s="5" t="s">
        <v>108</v>
      </c>
      <c r="L343" s="3" t="s">
        <v>25</v>
      </c>
      <c r="M343" s="6" t="s">
        <v>122</v>
      </c>
      <c r="O343" s="2" t="s">
        <v>17</v>
      </c>
      <c r="P343" s="3" t="s">
        <v>200</v>
      </c>
      <c r="Q343" s="6" t="s">
        <v>200</v>
      </c>
      <c r="R343" s="4" t="s">
        <v>100</v>
      </c>
      <c r="S343" s="3" t="s">
        <v>25</v>
      </c>
      <c r="T343" s="5" t="s">
        <v>78</v>
      </c>
    </row>
    <row r="344" spans="1:20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  <c r="O344" s="2" t="s">
        <v>22</v>
      </c>
      <c r="P344" s="3" t="s">
        <v>416</v>
      </c>
      <c r="Q344" s="4" t="s">
        <v>137</v>
      </c>
      <c r="R344" s="6" t="s">
        <v>152</v>
      </c>
      <c r="S344" s="3" t="s">
        <v>25</v>
      </c>
      <c r="T344" s="5" t="s">
        <v>697</v>
      </c>
    </row>
    <row r="345" spans="1:20" x14ac:dyDescent="0.3">
      <c r="A345" s="7" t="s">
        <v>26</v>
      </c>
      <c r="B345" s="8">
        <v>21</v>
      </c>
      <c r="C345" s="8">
        <v>4</v>
      </c>
      <c r="D345" s="8">
        <v>1</v>
      </c>
      <c r="E345" s="8">
        <v>5</v>
      </c>
      <c r="F345" s="8">
        <v>11</v>
      </c>
      <c r="H345" s="7" t="s">
        <v>26</v>
      </c>
      <c r="I345" s="8">
        <v>15</v>
      </c>
      <c r="J345" s="8">
        <v>10</v>
      </c>
      <c r="K345" s="8">
        <v>4</v>
      </c>
      <c r="L345" s="8">
        <v>1</v>
      </c>
      <c r="M345" s="8">
        <v>133</v>
      </c>
      <c r="O345" s="7" t="s">
        <v>26</v>
      </c>
      <c r="P345" s="8">
        <v>39</v>
      </c>
      <c r="Q345" s="8">
        <v>17</v>
      </c>
      <c r="R345" s="8">
        <v>12</v>
      </c>
      <c r="S345" s="8">
        <v>0</v>
      </c>
      <c r="T345" s="8">
        <v>10</v>
      </c>
    </row>
    <row r="346" spans="1:20" x14ac:dyDescent="0.3">
      <c r="A346" s="9" t="s">
        <v>27</v>
      </c>
      <c r="B346" s="10">
        <v>12</v>
      </c>
      <c r="C346" s="10">
        <v>4</v>
      </c>
      <c r="D346" s="10">
        <v>1</v>
      </c>
      <c r="E346" s="10">
        <v>4</v>
      </c>
      <c r="F346" s="10">
        <v>3</v>
      </c>
      <c r="H346" s="9" t="s">
        <v>27</v>
      </c>
      <c r="I346" s="10">
        <v>9</v>
      </c>
      <c r="J346" s="10">
        <v>7</v>
      </c>
      <c r="K346" s="10">
        <v>2</v>
      </c>
      <c r="L346" s="10">
        <v>0</v>
      </c>
      <c r="M346" s="10">
        <v>25</v>
      </c>
      <c r="O346" s="9" t="s">
        <v>27</v>
      </c>
      <c r="P346" s="10">
        <v>34</v>
      </c>
      <c r="Q346" s="10">
        <v>15</v>
      </c>
      <c r="R346" s="10">
        <v>10</v>
      </c>
      <c r="S346" s="10">
        <v>0</v>
      </c>
      <c r="T346" s="10">
        <v>9</v>
      </c>
    </row>
    <row r="347" spans="1:20" x14ac:dyDescent="0.3">
      <c r="A347" s="9" t="s">
        <v>28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H347" s="9" t="s">
        <v>28</v>
      </c>
      <c r="I347" s="10">
        <v>1</v>
      </c>
      <c r="J347" s="10">
        <v>0</v>
      </c>
      <c r="K347" s="10">
        <v>0</v>
      </c>
      <c r="L347" s="10">
        <v>1</v>
      </c>
      <c r="M347" s="10">
        <v>99</v>
      </c>
      <c r="O347" s="9" t="s">
        <v>28</v>
      </c>
      <c r="P347" s="10">
        <v>1</v>
      </c>
      <c r="Q347" s="10">
        <v>0</v>
      </c>
      <c r="R347" s="10">
        <v>1</v>
      </c>
      <c r="S347" s="10">
        <v>0</v>
      </c>
      <c r="T347" s="10">
        <v>0</v>
      </c>
    </row>
    <row r="348" spans="1:20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O348" s="9" t="s">
        <v>29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s="9" t="s">
        <v>30</v>
      </c>
      <c r="B349" s="10">
        <v>9</v>
      </c>
      <c r="C349" s="10">
        <v>0</v>
      </c>
      <c r="D349" s="10">
        <v>0</v>
      </c>
      <c r="E349" s="10">
        <v>1</v>
      </c>
      <c r="F349" s="10">
        <v>8</v>
      </c>
      <c r="H349" s="9" t="s">
        <v>30</v>
      </c>
      <c r="I349" s="10">
        <v>5</v>
      </c>
      <c r="J349" s="10">
        <v>3</v>
      </c>
      <c r="K349" s="10">
        <v>2</v>
      </c>
      <c r="L349" s="10">
        <v>0</v>
      </c>
      <c r="M349" s="10">
        <v>9</v>
      </c>
      <c r="O349" s="9" t="s">
        <v>30</v>
      </c>
      <c r="P349" s="10">
        <v>4</v>
      </c>
      <c r="Q349" s="10">
        <v>2</v>
      </c>
      <c r="R349" s="10">
        <v>1</v>
      </c>
      <c r="S349" s="10">
        <v>0</v>
      </c>
      <c r="T349" s="10">
        <v>1</v>
      </c>
    </row>
    <row r="350" spans="1:20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O350" s="9" t="s">
        <v>31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A351" s="11" t="s">
        <v>32</v>
      </c>
      <c r="B351" s="12">
        <v>63</v>
      </c>
      <c r="C351" s="12">
        <v>23</v>
      </c>
      <c r="D351" s="12">
        <v>15</v>
      </c>
      <c r="E351" s="12">
        <v>14</v>
      </c>
      <c r="F351" s="12">
        <v>11</v>
      </c>
      <c r="H351" s="11" t="s">
        <v>32</v>
      </c>
      <c r="I351" s="12">
        <v>2</v>
      </c>
      <c r="J351" s="12">
        <v>0</v>
      </c>
      <c r="K351" s="12">
        <v>2</v>
      </c>
      <c r="L351" s="12">
        <v>0</v>
      </c>
      <c r="M351" s="12">
        <v>2</v>
      </c>
      <c r="O351" s="11" t="s">
        <v>32</v>
      </c>
      <c r="P351" s="12">
        <v>18</v>
      </c>
      <c r="Q351" s="12">
        <v>7</v>
      </c>
      <c r="R351" s="12">
        <v>6</v>
      </c>
      <c r="S351" s="12">
        <v>0</v>
      </c>
      <c r="T351" s="12">
        <v>5</v>
      </c>
    </row>
    <row r="352" spans="1:20" x14ac:dyDescent="0.3">
      <c r="A352" s="13" t="s">
        <v>33</v>
      </c>
      <c r="B352" s="14">
        <v>14</v>
      </c>
      <c r="C352" s="14">
        <v>7</v>
      </c>
      <c r="D352" s="14">
        <v>3</v>
      </c>
      <c r="E352" s="14">
        <v>3</v>
      </c>
      <c r="F352" s="14">
        <v>1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O352" s="13" t="s">
        <v>33</v>
      </c>
      <c r="P352" s="14">
        <v>2</v>
      </c>
      <c r="Q352" s="14">
        <v>1</v>
      </c>
      <c r="R352" s="14">
        <v>1</v>
      </c>
      <c r="S352" s="14">
        <v>0</v>
      </c>
      <c r="T352" s="14">
        <v>0</v>
      </c>
    </row>
    <row r="353" spans="1:20" x14ac:dyDescent="0.3">
      <c r="A353" s="13" t="s">
        <v>34</v>
      </c>
      <c r="B353" s="14">
        <v>49</v>
      </c>
      <c r="C353" s="14">
        <v>16</v>
      </c>
      <c r="D353" s="14">
        <v>12</v>
      </c>
      <c r="E353" s="14">
        <v>11</v>
      </c>
      <c r="F353" s="14">
        <v>10</v>
      </c>
      <c r="H353" s="13" t="s">
        <v>34</v>
      </c>
      <c r="I353" s="14">
        <v>2</v>
      </c>
      <c r="J353" s="14">
        <v>0</v>
      </c>
      <c r="K353" s="14">
        <v>2</v>
      </c>
      <c r="L353" s="14">
        <v>0</v>
      </c>
      <c r="M353" s="14">
        <v>2</v>
      </c>
      <c r="O353" s="13" t="s">
        <v>34</v>
      </c>
      <c r="P353" s="14">
        <v>16</v>
      </c>
      <c r="Q353" s="14">
        <v>6</v>
      </c>
      <c r="R353" s="14">
        <v>5</v>
      </c>
      <c r="S353" s="14">
        <v>0</v>
      </c>
      <c r="T353" s="14">
        <v>5</v>
      </c>
    </row>
    <row r="354" spans="1:20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O354" s="15" t="s">
        <v>35</v>
      </c>
      <c r="P354" s="16">
        <v>32</v>
      </c>
      <c r="Q354" s="16">
        <v>11</v>
      </c>
      <c r="R354" s="16">
        <v>11</v>
      </c>
      <c r="S354" s="16">
        <v>0</v>
      </c>
      <c r="T354" s="16">
        <v>10</v>
      </c>
    </row>
    <row r="355" spans="1:20" x14ac:dyDescent="0.3">
      <c r="A355" s="17" t="s">
        <v>36</v>
      </c>
      <c r="B355" s="55">
        <v>0</v>
      </c>
      <c r="C355" s="55">
        <v>0</v>
      </c>
      <c r="D355" s="55">
        <v>0</v>
      </c>
      <c r="E355" s="55">
        <v>0</v>
      </c>
      <c r="F355" s="55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O355" s="17" t="s">
        <v>36</v>
      </c>
      <c r="P355" s="138">
        <v>0</v>
      </c>
      <c r="Q355" s="138">
        <v>0</v>
      </c>
      <c r="R355" s="138">
        <v>0</v>
      </c>
      <c r="S355" s="138">
        <v>0</v>
      </c>
      <c r="T355" s="138">
        <v>0</v>
      </c>
    </row>
    <row r="356" spans="1:20" x14ac:dyDescent="0.3">
      <c r="A356" s="17" t="s">
        <v>37</v>
      </c>
      <c r="B356" s="55">
        <v>0</v>
      </c>
      <c r="C356" s="55">
        <v>0</v>
      </c>
      <c r="D356" s="55">
        <v>0</v>
      </c>
      <c r="E356" s="55">
        <v>0</v>
      </c>
      <c r="F356" s="55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  <c r="O356" s="17" t="s">
        <v>37</v>
      </c>
      <c r="P356" s="138">
        <v>32</v>
      </c>
      <c r="Q356" s="138">
        <v>11</v>
      </c>
      <c r="R356" s="138">
        <v>11</v>
      </c>
      <c r="S356" s="138">
        <v>0</v>
      </c>
      <c r="T356" s="138">
        <v>10</v>
      </c>
    </row>
    <row r="357" spans="1:20" x14ac:dyDescent="0.3">
      <c r="A357" s="17" t="s">
        <v>38</v>
      </c>
      <c r="B357" s="167" t="s">
        <v>1034</v>
      </c>
      <c r="C357" s="168"/>
      <c r="D357" s="168"/>
      <c r="E357" s="168"/>
      <c r="F357" s="168"/>
      <c r="H357" s="17" t="s">
        <v>38</v>
      </c>
      <c r="I357" s="172" t="s">
        <v>1566</v>
      </c>
      <c r="J357" s="173"/>
      <c r="K357" s="173"/>
      <c r="L357" s="173"/>
      <c r="M357" s="173"/>
      <c r="O357" s="17" t="s">
        <v>38</v>
      </c>
      <c r="P357" s="172" t="s">
        <v>1034</v>
      </c>
      <c r="Q357" s="173"/>
      <c r="R357" s="173"/>
      <c r="S357" s="173"/>
      <c r="T357" s="173"/>
    </row>
    <row r="358" spans="1:20" ht="19.8" x14ac:dyDescent="0.3">
      <c r="A358" s="171">
        <v>46109</v>
      </c>
      <c r="B358" s="174"/>
      <c r="C358" s="174"/>
      <c r="D358" s="174"/>
      <c r="E358" s="174"/>
      <c r="F358" s="174"/>
      <c r="H358" s="171">
        <v>46133</v>
      </c>
      <c r="I358" s="171"/>
      <c r="J358" s="171"/>
      <c r="K358" s="171"/>
      <c r="L358" s="171"/>
      <c r="M358" s="171"/>
      <c r="O358" s="171">
        <v>46164</v>
      </c>
      <c r="P358" s="171"/>
      <c r="Q358" s="171"/>
      <c r="R358" s="171"/>
      <c r="S358" s="171"/>
      <c r="T358" s="171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871</v>
      </c>
      <c r="O359" s="1" t="s">
        <v>0</v>
      </c>
      <c r="P359" s="1" t="s">
        <v>1</v>
      </c>
      <c r="Q359" s="1" t="s">
        <v>2</v>
      </c>
      <c r="R359" s="1" t="s">
        <v>3</v>
      </c>
      <c r="S359" s="1" t="s">
        <v>870</v>
      </c>
      <c r="T359" s="1" t="s">
        <v>4</v>
      </c>
    </row>
    <row r="360" spans="1:20" x14ac:dyDescent="0.3">
      <c r="A360" s="2" t="s">
        <v>5</v>
      </c>
      <c r="B360" s="3">
        <v>4939</v>
      </c>
      <c r="C360" s="3">
        <v>1833</v>
      </c>
      <c r="D360" s="3">
        <v>1542</v>
      </c>
      <c r="E360" s="3">
        <v>559</v>
      </c>
      <c r="F360" s="3">
        <v>1005</v>
      </c>
      <c r="H360" s="2" t="s">
        <v>5</v>
      </c>
      <c r="I360" s="3">
        <f>J360+K360+L360</f>
        <v>4417</v>
      </c>
      <c r="J360" s="3">
        <v>1558</v>
      </c>
      <c r="K360" s="3">
        <v>1541</v>
      </c>
      <c r="L360" s="3">
        <v>1318</v>
      </c>
      <c r="M360" s="3">
        <v>0</v>
      </c>
      <c r="O360" s="2" t="s">
        <v>5</v>
      </c>
      <c r="P360" s="3">
        <v>5141</v>
      </c>
      <c r="Q360" s="3">
        <v>2159</v>
      </c>
      <c r="R360" s="3">
        <v>1819</v>
      </c>
      <c r="S360" s="3">
        <v>0</v>
      </c>
      <c r="T360" s="3">
        <v>1163</v>
      </c>
    </row>
    <row r="361" spans="1:20" x14ac:dyDescent="0.3">
      <c r="A361" s="2" t="s">
        <v>6</v>
      </c>
      <c r="B361" s="3">
        <v>97</v>
      </c>
      <c r="C361" s="5">
        <v>36</v>
      </c>
      <c r="D361" s="6">
        <v>26</v>
      </c>
      <c r="E361" s="3">
        <v>15</v>
      </c>
      <c r="F361" s="4">
        <v>20</v>
      </c>
      <c r="H361" s="2" t="s">
        <v>6</v>
      </c>
      <c r="I361" s="3">
        <f>J361+K361+L361</f>
        <v>386</v>
      </c>
      <c r="J361" s="5">
        <v>184</v>
      </c>
      <c r="K361" s="6">
        <v>71</v>
      </c>
      <c r="L361" s="5">
        <v>131</v>
      </c>
      <c r="M361" s="3">
        <v>0</v>
      </c>
      <c r="O361" s="2" t="s">
        <v>6</v>
      </c>
      <c r="P361" s="3">
        <v>94</v>
      </c>
      <c r="Q361" s="5">
        <v>60</v>
      </c>
      <c r="R361" s="6">
        <v>17</v>
      </c>
      <c r="S361" s="3">
        <v>0</v>
      </c>
      <c r="T361" s="6">
        <v>17</v>
      </c>
    </row>
    <row r="362" spans="1:20" x14ac:dyDescent="0.3">
      <c r="A362" s="2" t="s">
        <v>7</v>
      </c>
      <c r="B362" s="3" t="s">
        <v>1072</v>
      </c>
      <c r="C362" s="4" t="s">
        <v>1072</v>
      </c>
      <c r="D362" s="3" t="s">
        <v>648</v>
      </c>
      <c r="E362" s="5" t="s">
        <v>791</v>
      </c>
      <c r="F362" s="6" t="s">
        <v>1073</v>
      </c>
      <c r="H362" s="2" t="s">
        <v>7</v>
      </c>
      <c r="I362" s="48">
        <f>I361/I360</f>
        <v>8.7389630971247453E-2</v>
      </c>
      <c r="J362" s="5" t="s">
        <v>1529</v>
      </c>
      <c r="K362" s="6" t="s">
        <v>1196</v>
      </c>
      <c r="L362" s="5" t="s">
        <v>1601</v>
      </c>
      <c r="M362" s="3">
        <v>0</v>
      </c>
      <c r="O362" s="2" t="s">
        <v>7</v>
      </c>
      <c r="P362" s="3" t="s">
        <v>450</v>
      </c>
      <c r="Q362" s="5" t="s">
        <v>1381</v>
      </c>
      <c r="R362" s="4" t="s">
        <v>850</v>
      </c>
      <c r="S362" s="3">
        <v>0</v>
      </c>
      <c r="T362" s="6" t="s">
        <v>1451</v>
      </c>
    </row>
    <row r="363" spans="1:20" x14ac:dyDescent="0.3">
      <c r="A363" s="2" t="s">
        <v>12</v>
      </c>
      <c r="B363" s="3" t="s">
        <v>76</v>
      </c>
      <c r="C363" s="4" t="s">
        <v>119</v>
      </c>
      <c r="D363" s="3" t="s">
        <v>101</v>
      </c>
      <c r="E363" s="5" t="s">
        <v>476</v>
      </c>
      <c r="F363" s="6" t="s">
        <v>50</v>
      </c>
      <c r="H363" s="2" t="s">
        <v>12</v>
      </c>
      <c r="I363" s="48">
        <f>I366/I360</f>
        <v>5.0486755716549696E-2</v>
      </c>
      <c r="J363" s="5" t="s">
        <v>1552</v>
      </c>
      <c r="K363" s="6" t="s">
        <v>136</v>
      </c>
      <c r="L363" s="5" t="s">
        <v>1038</v>
      </c>
      <c r="M363" s="3">
        <v>0</v>
      </c>
      <c r="O363" s="2" t="s">
        <v>12</v>
      </c>
      <c r="P363" s="3" t="s">
        <v>183</v>
      </c>
      <c r="Q363" s="5" t="s">
        <v>184</v>
      </c>
      <c r="R363" s="4" t="s">
        <v>863</v>
      </c>
      <c r="S363" s="3">
        <v>0</v>
      </c>
      <c r="T363" s="6" t="s">
        <v>560</v>
      </c>
    </row>
    <row r="364" spans="1:20" x14ac:dyDescent="0.3">
      <c r="A364" s="2" t="s">
        <v>17</v>
      </c>
      <c r="B364" s="3" t="s">
        <v>1074</v>
      </c>
      <c r="C364" s="5" t="s">
        <v>583</v>
      </c>
      <c r="D364" s="3" t="s">
        <v>1075</v>
      </c>
      <c r="E364" s="4" t="s">
        <v>1075</v>
      </c>
      <c r="F364" s="6" t="s">
        <v>362</v>
      </c>
      <c r="H364" s="2" t="s">
        <v>17</v>
      </c>
      <c r="I364" s="48">
        <f>I372/I360</f>
        <v>3.6676477247000225E-2</v>
      </c>
      <c r="J364" s="6" t="s">
        <v>225</v>
      </c>
      <c r="K364" s="5" t="s">
        <v>867</v>
      </c>
      <c r="L364" s="5" t="s">
        <v>1602</v>
      </c>
      <c r="M364" s="3" t="s">
        <v>25</v>
      </c>
      <c r="O364" s="2" t="s">
        <v>17</v>
      </c>
      <c r="P364" s="3" t="s">
        <v>47</v>
      </c>
      <c r="Q364" s="6" t="s">
        <v>136</v>
      </c>
      <c r="R364" s="5" t="s">
        <v>150</v>
      </c>
      <c r="S364" s="3" t="s">
        <v>25</v>
      </c>
      <c r="T364" s="4" t="s">
        <v>108</v>
      </c>
    </row>
    <row r="365" spans="1:20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  <c r="O365" s="2" t="s">
        <v>22</v>
      </c>
      <c r="P365" s="3" t="s">
        <v>507</v>
      </c>
      <c r="Q365" s="4" t="s">
        <v>146</v>
      </c>
      <c r="R365" s="5" t="s">
        <v>76</v>
      </c>
      <c r="S365" s="3" t="s">
        <v>25</v>
      </c>
      <c r="T365" s="6" t="s">
        <v>157</v>
      </c>
    </row>
    <row r="366" spans="1:20" x14ac:dyDescent="0.3">
      <c r="A366" s="7" t="s">
        <v>26</v>
      </c>
      <c r="B366" s="8">
        <v>24</v>
      </c>
      <c r="C366" s="8">
        <v>8</v>
      </c>
      <c r="D366" s="8">
        <v>4</v>
      </c>
      <c r="E366" s="8">
        <v>7</v>
      </c>
      <c r="F366" s="8">
        <v>5</v>
      </c>
      <c r="H366" s="7" t="s">
        <v>26</v>
      </c>
      <c r="I366" s="8">
        <f>J366+K366+L366</f>
        <v>223</v>
      </c>
      <c r="J366" s="8">
        <v>133</v>
      </c>
      <c r="K366" s="8">
        <v>3</v>
      </c>
      <c r="L366" s="8">
        <v>87</v>
      </c>
      <c r="M366" s="8">
        <v>0</v>
      </c>
      <c r="O366" s="7" t="s">
        <v>26</v>
      </c>
      <c r="P366" s="8">
        <v>80</v>
      </c>
      <c r="Q366" s="8">
        <v>55</v>
      </c>
      <c r="R366" s="8">
        <v>10</v>
      </c>
      <c r="S366" s="8">
        <v>0</v>
      </c>
      <c r="T366" s="8">
        <v>15</v>
      </c>
    </row>
    <row r="367" spans="1:20" x14ac:dyDescent="0.3">
      <c r="A367" s="9" t="s">
        <v>27</v>
      </c>
      <c r="B367" s="10">
        <v>15</v>
      </c>
      <c r="C367" s="10">
        <v>6</v>
      </c>
      <c r="D367" s="10">
        <v>4</v>
      </c>
      <c r="E367" s="10">
        <v>2</v>
      </c>
      <c r="F367" s="10">
        <v>3</v>
      </c>
      <c r="H367" s="9" t="s">
        <v>27</v>
      </c>
      <c r="I367" s="10">
        <f>J367+K367+L367</f>
        <v>97</v>
      </c>
      <c r="J367" s="10">
        <v>39</v>
      </c>
      <c r="K367" s="10">
        <v>3</v>
      </c>
      <c r="L367" s="10">
        <v>55</v>
      </c>
      <c r="M367" s="10">
        <v>0</v>
      </c>
      <c r="O367" s="9" t="s">
        <v>27</v>
      </c>
      <c r="P367" s="10">
        <v>51</v>
      </c>
      <c r="Q367" s="10">
        <v>30</v>
      </c>
      <c r="R367" s="10">
        <v>7</v>
      </c>
      <c r="S367" s="10">
        <v>0</v>
      </c>
      <c r="T367" s="10">
        <v>14</v>
      </c>
    </row>
    <row r="368" spans="1:20" x14ac:dyDescent="0.3">
      <c r="A368" s="9" t="s">
        <v>28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H368" s="9" t="s">
        <v>28</v>
      </c>
      <c r="I368" s="10">
        <f>J368+K368+L368</f>
        <v>30</v>
      </c>
      <c r="J368" s="10">
        <v>27</v>
      </c>
      <c r="K368" s="10">
        <v>0</v>
      </c>
      <c r="L368" s="10">
        <v>3</v>
      </c>
      <c r="M368" s="10">
        <v>0</v>
      </c>
      <c r="O368" s="9" t="s">
        <v>28</v>
      </c>
      <c r="P368" s="10">
        <v>2</v>
      </c>
      <c r="Q368" s="10">
        <v>2</v>
      </c>
      <c r="R368" s="10">
        <v>0</v>
      </c>
      <c r="S368" s="10">
        <v>0</v>
      </c>
      <c r="T368" s="10">
        <v>0</v>
      </c>
    </row>
    <row r="369" spans="1:20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O369" s="9" t="s">
        <v>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3">
      <c r="A370" s="9" t="s">
        <v>30</v>
      </c>
      <c r="B370" s="10">
        <v>9</v>
      </c>
      <c r="C370" s="10">
        <v>2</v>
      </c>
      <c r="D370" s="10">
        <v>0</v>
      </c>
      <c r="E370" s="10">
        <v>5</v>
      </c>
      <c r="F370" s="10">
        <v>2</v>
      </c>
      <c r="H370" s="9" t="s">
        <v>30</v>
      </c>
      <c r="I370" s="10">
        <f>J370+K370+L370</f>
        <v>96</v>
      </c>
      <c r="J370" s="10">
        <v>67</v>
      </c>
      <c r="K370" s="10">
        <v>0</v>
      </c>
      <c r="L370" s="10">
        <v>29</v>
      </c>
      <c r="M370" s="10">
        <v>0</v>
      </c>
      <c r="O370" s="9" t="s">
        <v>30</v>
      </c>
      <c r="P370" s="10">
        <v>27</v>
      </c>
      <c r="Q370" s="10">
        <v>23</v>
      </c>
      <c r="R370" s="10">
        <v>3</v>
      </c>
      <c r="S370" s="10">
        <v>0</v>
      </c>
      <c r="T370" s="10">
        <v>1</v>
      </c>
    </row>
    <row r="371" spans="1:20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O371" s="9" t="s">
        <v>31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s="11" t="s">
        <v>32</v>
      </c>
      <c r="B372" s="12">
        <v>73</v>
      </c>
      <c r="C372" s="12">
        <v>28</v>
      </c>
      <c r="D372" s="12">
        <v>22</v>
      </c>
      <c r="E372" s="12">
        <v>8</v>
      </c>
      <c r="F372" s="12">
        <v>15</v>
      </c>
      <c r="H372" s="11" t="s">
        <v>32</v>
      </c>
      <c r="I372" s="12">
        <f>K372+L372+J372</f>
        <v>162</v>
      </c>
      <c r="J372" s="12">
        <v>50</v>
      </c>
      <c r="K372" s="12">
        <v>68</v>
      </c>
      <c r="L372" s="12">
        <v>44</v>
      </c>
      <c r="M372" s="12">
        <v>0</v>
      </c>
      <c r="O372" s="11" t="s">
        <v>32</v>
      </c>
      <c r="P372" s="12">
        <v>13</v>
      </c>
      <c r="Q372" s="12">
        <v>4</v>
      </c>
      <c r="R372" s="12">
        <v>7</v>
      </c>
      <c r="S372" s="12">
        <v>0</v>
      </c>
      <c r="T372" s="12">
        <v>2</v>
      </c>
    </row>
    <row r="373" spans="1:20" x14ac:dyDescent="0.3">
      <c r="A373" s="13" t="s">
        <v>33</v>
      </c>
      <c r="B373" s="14">
        <v>58</v>
      </c>
      <c r="C373" s="14">
        <v>22</v>
      </c>
      <c r="D373" s="14">
        <v>17</v>
      </c>
      <c r="E373" s="14">
        <v>7</v>
      </c>
      <c r="F373" s="14">
        <v>12</v>
      </c>
      <c r="H373" s="13" t="s">
        <v>33</v>
      </c>
      <c r="I373" s="14">
        <v>1</v>
      </c>
      <c r="J373" s="14">
        <v>1</v>
      </c>
      <c r="K373" s="14">
        <v>0</v>
      </c>
      <c r="L373" s="14">
        <v>0</v>
      </c>
      <c r="M373" s="14">
        <v>0</v>
      </c>
      <c r="O373" s="13" t="s">
        <v>33</v>
      </c>
      <c r="P373" s="14">
        <v>1</v>
      </c>
      <c r="Q373" s="14">
        <v>0</v>
      </c>
      <c r="R373" s="14">
        <v>1</v>
      </c>
      <c r="S373" s="14">
        <v>0</v>
      </c>
      <c r="T373" s="14">
        <v>0</v>
      </c>
    </row>
    <row r="374" spans="1:20" x14ac:dyDescent="0.3">
      <c r="A374" s="13" t="s">
        <v>34</v>
      </c>
      <c r="B374" s="14">
        <v>15</v>
      </c>
      <c r="C374" s="14">
        <v>6</v>
      </c>
      <c r="D374" s="14">
        <v>5</v>
      </c>
      <c r="E374" s="14">
        <v>1</v>
      </c>
      <c r="F374" s="14">
        <v>3</v>
      </c>
      <c r="H374" s="13" t="s">
        <v>34</v>
      </c>
      <c r="I374" s="14">
        <f>J374+K374+L374</f>
        <v>161</v>
      </c>
      <c r="J374" s="14">
        <v>49</v>
      </c>
      <c r="K374" s="14">
        <v>68</v>
      </c>
      <c r="L374" s="14">
        <v>44</v>
      </c>
      <c r="M374" s="14">
        <v>0</v>
      </c>
      <c r="O374" s="13" t="s">
        <v>34</v>
      </c>
      <c r="P374" s="14">
        <v>12</v>
      </c>
      <c r="Q374" s="14">
        <v>4</v>
      </c>
      <c r="R374" s="14">
        <v>6</v>
      </c>
      <c r="S374" s="14">
        <v>0</v>
      </c>
      <c r="T374" s="14">
        <v>2</v>
      </c>
    </row>
    <row r="375" spans="1:20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O375" s="15" t="s">
        <v>35</v>
      </c>
      <c r="P375" s="16">
        <v>21</v>
      </c>
      <c r="Q375" s="16">
        <v>7</v>
      </c>
      <c r="R375" s="16">
        <v>9</v>
      </c>
      <c r="S375" s="16">
        <v>0</v>
      </c>
      <c r="T375" s="16">
        <v>5</v>
      </c>
    </row>
    <row r="376" spans="1:20" x14ac:dyDescent="0.3">
      <c r="A376" s="17" t="s">
        <v>36</v>
      </c>
      <c r="B376" s="55">
        <v>0</v>
      </c>
      <c r="C376" s="55">
        <v>0</v>
      </c>
      <c r="D376" s="55">
        <v>0</v>
      </c>
      <c r="E376" s="55">
        <v>0</v>
      </c>
      <c r="F376" s="55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  <c r="O376" s="17" t="s">
        <v>36</v>
      </c>
      <c r="P376" s="138">
        <v>0</v>
      </c>
      <c r="Q376" s="138">
        <v>0</v>
      </c>
      <c r="R376" s="138">
        <v>0</v>
      </c>
      <c r="S376" s="138">
        <v>0</v>
      </c>
      <c r="T376" s="138">
        <v>0</v>
      </c>
    </row>
    <row r="377" spans="1:20" x14ac:dyDescent="0.3">
      <c r="A377" s="17" t="s">
        <v>37</v>
      </c>
      <c r="B377" s="55">
        <v>0</v>
      </c>
      <c r="C377" s="55">
        <v>0</v>
      </c>
      <c r="D377" s="55">
        <v>0</v>
      </c>
      <c r="E377" s="55">
        <v>0</v>
      </c>
      <c r="F377" s="55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  <c r="O377" s="17" t="s">
        <v>37</v>
      </c>
      <c r="P377" s="138">
        <v>21</v>
      </c>
      <c r="Q377" s="138">
        <v>7</v>
      </c>
      <c r="R377" s="138">
        <v>9</v>
      </c>
      <c r="S377" s="138">
        <v>0</v>
      </c>
      <c r="T377" s="138">
        <v>5</v>
      </c>
    </row>
    <row r="378" spans="1:20" x14ac:dyDescent="0.3">
      <c r="A378" s="17" t="s">
        <v>38</v>
      </c>
      <c r="B378" s="167" t="s">
        <v>1034</v>
      </c>
      <c r="C378" s="168"/>
      <c r="D378" s="168"/>
      <c r="E378" s="168"/>
      <c r="F378" s="168"/>
      <c r="H378" s="17" t="s">
        <v>38</v>
      </c>
      <c r="I378" s="172" t="s">
        <v>1595</v>
      </c>
      <c r="J378" s="173"/>
      <c r="K378" s="173"/>
      <c r="L378" s="173"/>
      <c r="M378" s="173"/>
      <c r="O378" s="17" t="s">
        <v>38</v>
      </c>
      <c r="P378" s="172" t="s">
        <v>89</v>
      </c>
      <c r="Q378" s="173"/>
      <c r="R378" s="173"/>
      <c r="S378" s="173"/>
      <c r="T378" s="173"/>
    </row>
    <row r="379" spans="1:20" ht="19.8" x14ac:dyDescent="0.3">
      <c r="A379" s="171">
        <v>46111</v>
      </c>
      <c r="B379" s="171"/>
      <c r="C379" s="171"/>
      <c r="D379" s="171"/>
      <c r="E379" s="171"/>
      <c r="F379" s="171"/>
      <c r="H379" s="170">
        <v>46134</v>
      </c>
      <c r="I379" s="170"/>
      <c r="J379" s="170"/>
      <c r="K379" s="170"/>
      <c r="L379" s="170"/>
      <c r="M379" s="170"/>
      <c r="O379" s="171">
        <v>46165</v>
      </c>
      <c r="P379" s="171"/>
      <c r="Q379" s="171"/>
      <c r="R379" s="171"/>
      <c r="S379" s="171"/>
      <c r="T379" s="171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870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870</v>
      </c>
      <c r="M380" s="1" t="s">
        <v>871</v>
      </c>
      <c r="O380" s="1" t="s">
        <v>0</v>
      </c>
      <c r="P380" s="1" t="s">
        <v>1</v>
      </c>
      <c r="Q380" s="1" t="s">
        <v>2</v>
      </c>
      <c r="R380" s="1" t="s">
        <v>3</v>
      </c>
      <c r="S380" s="1" t="s">
        <v>870</v>
      </c>
      <c r="T380" s="1" t="s">
        <v>4</v>
      </c>
    </row>
    <row r="381" spans="1:20" x14ac:dyDescent="0.3">
      <c r="A381" s="2" t="s">
        <v>5</v>
      </c>
      <c r="B381" s="3">
        <v>3589</v>
      </c>
      <c r="C381" s="3">
        <v>1297</v>
      </c>
      <c r="D381" s="3">
        <v>1285</v>
      </c>
      <c r="E381" s="3">
        <v>0</v>
      </c>
      <c r="F381" s="3">
        <v>1007</v>
      </c>
      <c r="H381" s="2" t="s">
        <v>5</v>
      </c>
      <c r="I381" s="3">
        <f>J381+K381+L381</f>
        <v>5766</v>
      </c>
      <c r="J381" s="3">
        <v>1805</v>
      </c>
      <c r="K381" s="3">
        <v>1975</v>
      </c>
      <c r="L381" s="3">
        <v>1986</v>
      </c>
      <c r="M381" s="3">
        <v>0</v>
      </c>
      <c r="O381" s="2" t="s">
        <v>5</v>
      </c>
      <c r="P381" s="3">
        <v>5103</v>
      </c>
      <c r="Q381" s="3">
        <v>1947</v>
      </c>
      <c r="R381" s="3">
        <v>1728</v>
      </c>
      <c r="S381" s="3">
        <v>0</v>
      </c>
      <c r="T381" s="3">
        <v>1428</v>
      </c>
    </row>
    <row r="382" spans="1:20" x14ac:dyDescent="0.3">
      <c r="A382" s="2" t="s">
        <v>6</v>
      </c>
      <c r="B382" s="3">
        <v>8</v>
      </c>
      <c r="C382" s="4">
        <v>1</v>
      </c>
      <c r="D382" s="6">
        <v>3</v>
      </c>
      <c r="E382" s="3">
        <v>0</v>
      </c>
      <c r="F382" s="5">
        <v>4</v>
      </c>
      <c r="H382" s="2" t="s">
        <v>6</v>
      </c>
      <c r="I382" s="3">
        <f>J382+K382+L382</f>
        <v>516</v>
      </c>
      <c r="J382" s="5">
        <v>245</v>
      </c>
      <c r="K382" s="106">
        <v>94</v>
      </c>
      <c r="L382" s="105">
        <v>177</v>
      </c>
      <c r="M382" s="3">
        <v>0</v>
      </c>
      <c r="O382" s="2" t="s">
        <v>6</v>
      </c>
      <c r="P382" s="3">
        <v>64</v>
      </c>
      <c r="Q382" s="5">
        <v>26</v>
      </c>
      <c r="R382" s="6">
        <v>25</v>
      </c>
      <c r="S382" s="3">
        <v>0</v>
      </c>
      <c r="T382" s="4">
        <v>13</v>
      </c>
    </row>
    <row r="383" spans="1:20" x14ac:dyDescent="0.3">
      <c r="A383" s="2" t="s">
        <v>7</v>
      </c>
      <c r="B383" s="3" t="s">
        <v>122</v>
      </c>
      <c r="C383" s="4" t="s">
        <v>309</v>
      </c>
      <c r="D383" s="6" t="s">
        <v>266</v>
      </c>
      <c r="E383" s="3">
        <v>0</v>
      </c>
      <c r="F383" s="5" t="s">
        <v>491</v>
      </c>
      <c r="H383" s="2" t="s">
        <v>7</v>
      </c>
      <c r="I383" s="48">
        <f>I382/I381</f>
        <v>8.9490114464099893E-2</v>
      </c>
      <c r="J383" s="5" t="s">
        <v>1591</v>
      </c>
      <c r="K383" s="106" t="s">
        <v>848</v>
      </c>
      <c r="L383" s="105" t="s">
        <v>1623</v>
      </c>
      <c r="M383" s="3">
        <v>0</v>
      </c>
      <c r="O383" s="2" t="s">
        <v>7</v>
      </c>
      <c r="P383" s="3" t="s">
        <v>476</v>
      </c>
      <c r="Q383" s="6" t="s">
        <v>239</v>
      </c>
      <c r="R383" s="5" t="s">
        <v>773</v>
      </c>
      <c r="S383" s="3">
        <v>0</v>
      </c>
      <c r="T383" s="4" t="s">
        <v>887</v>
      </c>
    </row>
    <row r="384" spans="1:20" x14ac:dyDescent="0.3">
      <c r="A384" s="2" t="s">
        <v>12</v>
      </c>
      <c r="B384" s="3" t="s">
        <v>49</v>
      </c>
      <c r="C384" s="3" t="s">
        <v>25</v>
      </c>
      <c r="D384" s="6" t="s">
        <v>154</v>
      </c>
      <c r="E384" s="3">
        <v>0</v>
      </c>
      <c r="F384" s="5" t="s">
        <v>99</v>
      </c>
      <c r="H384" s="2" t="s">
        <v>12</v>
      </c>
      <c r="I384" s="48">
        <f>I387/I381</f>
        <v>4.7693374956642387E-2</v>
      </c>
      <c r="J384" s="5" t="s">
        <v>500</v>
      </c>
      <c r="K384" s="106" t="s">
        <v>81</v>
      </c>
      <c r="L384" s="105" t="s">
        <v>833</v>
      </c>
      <c r="M384" s="3">
        <v>0</v>
      </c>
      <c r="O384" s="2" t="s">
        <v>12</v>
      </c>
      <c r="P384" s="3" t="s">
        <v>46</v>
      </c>
      <c r="Q384" s="6" t="s">
        <v>156</v>
      </c>
      <c r="R384" s="5" t="s">
        <v>407</v>
      </c>
      <c r="S384" s="3">
        <v>0</v>
      </c>
      <c r="T384" s="4" t="s">
        <v>332</v>
      </c>
    </row>
    <row r="385" spans="1:20" x14ac:dyDescent="0.3">
      <c r="A385" s="2" t="s">
        <v>17</v>
      </c>
      <c r="B385" s="3" t="s">
        <v>49</v>
      </c>
      <c r="C385" s="4" t="s">
        <v>309</v>
      </c>
      <c r="D385" s="6" t="s">
        <v>309</v>
      </c>
      <c r="E385" s="3" t="s">
        <v>25</v>
      </c>
      <c r="F385" s="5" t="s">
        <v>99</v>
      </c>
      <c r="H385" s="2" t="s">
        <v>17</v>
      </c>
      <c r="I385" s="48">
        <f>I393/I381</f>
        <v>4.1796739507457513E-2</v>
      </c>
      <c r="J385" s="106" t="s">
        <v>252</v>
      </c>
      <c r="K385" s="5" t="s">
        <v>335</v>
      </c>
      <c r="L385" s="105" t="s">
        <v>563</v>
      </c>
      <c r="M385" s="3" t="s">
        <v>25</v>
      </c>
      <c r="O385" s="2" t="s">
        <v>17</v>
      </c>
      <c r="P385" s="3" t="s">
        <v>347</v>
      </c>
      <c r="Q385" s="6" t="s">
        <v>101</v>
      </c>
      <c r="R385" s="5" t="s">
        <v>227</v>
      </c>
      <c r="S385" s="3" t="s">
        <v>25</v>
      </c>
      <c r="T385" s="4" t="s">
        <v>310</v>
      </c>
    </row>
    <row r="386" spans="1:20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48">
        <f>I396/I381</f>
        <v>1.0405827263267431E-3</v>
      </c>
      <c r="J386" s="3" t="s">
        <v>25</v>
      </c>
      <c r="K386" s="105" t="s">
        <v>81</v>
      </c>
      <c r="L386" s="5" t="s">
        <v>99</v>
      </c>
      <c r="M386" s="3" t="s">
        <v>25</v>
      </c>
      <c r="O386" s="2" t="s">
        <v>22</v>
      </c>
      <c r="P386" s="3" t="s">
        <v>551</v>
      </c>
      <c r="Q386" s="4" t="s">
        <v>654</v>
      </c>
      <c r="R386" s="6" t="s">
        <v>42</v>
      </c>
      <c r="S386" s="3" t="s">
        <v>25</v>
      </c>
      <c r="T386" s="5" t="s">
        <v>484</v>
      </c>
    </row>
    <row r="387" spans="1:20" x14ac:dyDescent="0.3">
      <c r="A387" s="7" t="s">
        <v>26</v>
      </c>
      <c r="B387" s="8">
        <v>4</v>
      </c>
      <c r="C387" s="8">
        <v>0</v>
      </c>
      <c r="D387" s="8">
        <v>2</v>
      </c>
      <c r="E387" s="8">
        <v>0</v>
      </c>
      <c r="F387" s="8">
        <v>2</v>
      </c>
      <c r="H387" s="7" t="s">
        <v>26</v>
      </c>
      <c r="I387" s="8">
        <f>J387+K387+L387</f>
        <v>275</v>
      </c>
      <c r="J387" s="8">
        <v>178</v>
      </c>
      <c r="K387" s="8">
        <v>2</v>
      </c>
      <c r="L387" s="8">
        <v>95</v>
      </c>
      <c r="M387" s="8">
        <v>0</v>
      </c>
      <c r="O387" s="7" t="s">
        <v>26</v>
      </c>
      <c r="P387" s="8">
        <v>52</v>
      </c>
      <c r="Q387" s="8">
        <v>21</v>
      </c>
      <c r="R387" s="8">
        <v>20</v>
      </c>
      <c r="S387" s="8">
        <v>0</v>
      </c>
      <c r="T387" s="8">
        <v>11</v>
      </c>
    </row>
    <row r="388" spans="1:20" x14ac:dyDescent="0.3">
      <c r="A388" s="9" t="s">
        <v>27</v>
      </c>
      <c r="B388" s="10">
        <v>4</v>
      </c>
      <c r="C388" s="10">
        <v>0</v>
      </c>
      <c r="D388" s="10">
        <v>2</v>
      </c>
      <c r="E388" s="10">
        <v>0</v>
      </c>
      <c r="F388" s="10">
        <v>2</v>
      </c>
      <c r="H388" s="9" t="s">
        <v>27</v>
      </c>
      <c r="I388" s="10">
        <v>79</v>
      </c>
      <c r="J388" s="10">
        <v>77</v>
      </c>
      <c r="K388" s="10">
        <v>2</v>
      </c>
      <c r="L388" s="10">
        <v>79</v>
      </c>
      <c r="M388" s="10">
        <v>0</v>
      </c>
      <c r="O388" s="9" t="s">
        <v>27</v>
      </c>
      <c r="P388" s="10">
        <v>32</v>
      </c>
      <c r="Q388" s="10">
        <v>13</v>
      </c>
      <c r="R388" s="10">
        <v>12</v>
      </c>
      <c r="S388" s="10">
        <v>0</v>
      </c>
      <c r="T388" s="10">
        <v>7</v>
      </c>
    </row>
    <row r="389" spans="1:20" x14ac:dyDescent="0.3">
      <c r="A389" s="9" t="s">
        <v>28</v>
      </c>
      <c r="B389" s="10">
        <v>0</v>
      </c>
      <c r="C389" s="10">
        <v>0</v>
      </c>
      <c r="D389" s="10">
        <v>0</v>
      </c>
      <c r="E389" s="10">
        <v>0</v>
      </c>
      <c r="F389" s="10">
        <v>0</v>
      </c>
      <c r="H389" s="9" t="s">
        <v>28</v>
      </c>
      <c r="I389" s="10">
        <v>49</v>
      </c>
      <c r="J389" s="10">
        <v>49</v>
      </c>
      <c r="K389" s="10">
        <v>0</v>
      </c>
      <c r="L389" s="10">
        <v>2</v>
      </c>
      <c r="M389" s="10">
        <v>0</v>
      </c>
      <c r="O389" s="9" t="s">
        <v>28</v>
      </c>
      <c r="P389" s="10">
        <v>1</v>
      </c>
      <c r="Q389" s="10">
        <v>0</v>
      </c>
      <c r="R389" s="10">
        <v>0</v>
      </c>
      <c r="S389" s="10">
        <v>0</v>
      </c>
      <c r="T389" s="10">
        <v>1</v>
      </c>
    </row>
    <row r="390" spans="1:20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O390" s="9" t="s">
        <v>29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s="9" t="s">
        <v>30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H391" s="9" t="s">
        <v>30</v>
      </c>
      <c r="I391" s="10">
        <v>52</v>
      </c>
      <c r="J391" s="10">
        <v>52</v>
      </c>
      <c r="K391" s="10">
        <v>0</v>
      </c>
      <c r="L391" s="10">
        <v>14</v>
      </c>
      <c r="M391" s="10">
        <v>0</v>
      </c>
      <c r="O391" s="9" t="s">
        <v>30</v>
      </c>
      <c r="P391" s="10">
        <v>19</v>
      </c>
      <c r="Q391" s="10">
        <v>8</v>
      </c>
      <c r="R391" s="10">
        <v>8</v>
      </c>
      <c r="S391" s="10">
        <v>0</v>
      </c>
      <c r="T391" s="10">
        <v>3</v>
      </c>
    </row>
    <row r="392" spans="1:20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O392" s="9" t="s">
        <v>31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s="11" t="s">
        <v>32</v>
      </c>
      <c r="B393" s="12">
        <v>4</v>
      </c>
      <c r="C393" s="12">
        <v>1</v>
      </c>
      <c r="D393" s="12">
        <v>1</v>
      </c>
      <c r="E393" s="12">
        <v>0</v>
      </c>
      <c r="F393" s="12">
        <v>2</v>
      </c>
      <c r="H393" s="11" t="s">
        <v>32</v>
      </c>
      <c r="I393" s="12">
        <f>J393+K393+L393</f>
        <v>241</v>
      </c>
      <c r="J393" s="12">
        <v>67</v>
      </c>
      <c r="K393" s="12">
        <v>92</v>
      </c>
      <c r="L393" s="12">
        <v>82</v>
      </c>
      <c r="M393" s="12">
        <v>0</v>
      </c>
      <c r="O393" s="11" t="s">
        <v>32</v>
      </c>
      <c r="P393" s="12">
        <v>12</v>
      </c>
      <c r="Q393" s="12">
        <v>5</v>
      </c>
      <c r="R393" s="12">
        <v>5</v>
      </c>
      <c r="S393" s="12">
        <v>0</v>
      </c>
      <c r="T393" s="12">
        <v>2</v>
      </c>
    </row>
    <row r="394" spans="1:20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O394" s="13" t="s">
        <v>33</v>
      </c>
      <c r="P394" s="14">
        <v>4</v>
      </c>
      <c r="Q394" s="14">
        <v>2</v>
      </c>
      <c r="R394" s="14">
        <v>2</v>
      </c>
      <c r="S394" s="14">
        <v>0</v>
      </c>
      <c r="T394" s="14">
        <v>0</v>
      </c>
    </row>
    <row r="395" spans="1:20" x14ac:dyDescent="0.3">
      <c r="A395" s="13" t="s">
        <v>34</v>
      </c>
      <c r="B395" s="14">
        <v>4</v>
      </c>
      <c r="C395" s="14">
        <v>1</v>
      </c>
      <c r="D395" s="14">
        <v>1</v>
      </c>
      <c r="E395" s="14">
        <v>0</v>
      </c>
      <c r="F395" s="14">
        <v>2</v>
      </c>
      <c r="H395" s="13" t="s">
        <v>34</v>
      </c>
      <c r="I395" s="14">
        <v>159</v>
      </c>
      <c r="J395" s="14">
        <v>67</v>
      </c>
      <c r="K395" s="14">
        <v>92</v>
      </c>
      <c r="L395" s="14">
        <v>82</v>
      </c>
      <c r="M395" s="14">
        <v>0</v>
      </c>
      <c r="O395" s="13" t="s">
        <v>34</v>
      </c>
      <c r="P395" s="14">
        <v>8</v>
      </c>
      <c r="Q395" s="14">
        <v>3</v>
      </c>
      <c r="R395" s="14">
        <v>3</v>
      </c>
      <c r="S395" s="14">
        <v>0</v>
      </c>
      <c r="T395" s="14">
        <v>2</v>
      </c>
    </row>
    <row r="396" spans="1:20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f>J396+K396+L396</f>
        <v>6</v>
      </c>
      <c r="J396" s="16">
        <v>0</v>
      </c>
      <c r="K396" s="16">
        <v>2</v>
      </c>
      <c r="L396" s="16">
        <v>4</v>
      </c>
      <c r="M396" s="16">
        <v>0</v>
      </c>
      <c r="O396" s="15" t="s">
        <v>35</v>
      </c>
      <c r="P396" s="16">
        <v>31</v>
      </c>
      <c r="Q396" s="16">
        <v>10</v>
      </c>
      <c r="R396" s="16">
        <v>11</v>
      </c>
      <c r="S396" s="16">
        <v>0</v>
      </c>
      <c r="T396" s="16">
        <v>10</v>
      </c>
    </row>
    <row r="397" spans="1:20" x14ac:dyDescent="0.3">
      <c r="A397" s="17" t="s">
        <v>36</v>
      </c>
      <c r="B397" s="55">
        <v>0</v>
      </c>
      <c r="C397" s="55">
        <v>0</v>
      </c>
      <c r="D397" s="55">
        <v>0</v>
      </c>
      <c r="E397" s="55">
        <v>0</v>
      </c>
      <c r="F397" s="55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O397" s="17" t="s">
        <v>36</v>
      </c>
      <c r="P397" s="138">
        <v>0</v>
      </c>
      <c r="Q397" s="138">
        <v>0</v>
      </c>
      <c r="R397" s="138">
        <v>0</v>
      </c>
      <c r="S397" s="138">
        <v>0</v>
      </c>
      <c r="T397" s="138">
        <v>0</v>
      </c>
    </row>
    <row r="398" spans="1:20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F398" s="55">
        <v>0</v>
      </c>
      <c r="H398" s="17" t="s">
        <v>37</v>
      </c>
      <c r="I398" s="100">
        <v>2</v>
      </c>
      <c r="J398" s="100">
        <v>0</v>
      </c>
      <c r="K398" s="100">
        <v>2</v>
      </c>
      <c r="L398" s="100">
        <v>4</v>
      </c>
      <c r="M398" s="100">
        <v>0</v>
      </c>
      <c r="O398" s="17" t="s">
        <v>37</v>
      </c>
      <c r="P398" s="138">
        <v>31</v>
      </c>
      <c r="Q398" s="138">
        <v>10</v>
      </c>
      <c r="R398" s="138">
        <v>11</v>
      </c>
      <c r="S398" s="138">
        <v>0</v>
      </c>
      <c r="T398" s="138">
        <v>10</v>
      </c>
    </row>
    <row r="399" spans="1:20" x14ac:dyDescent="0.3">
      <c r="A399" s="17" t="s">
        <v>38</v>
      </c>
      <c r="B399" s="172" t="s">
        <v>1034</v>
      </c>
      <c r="C399" s="173"/>
      <c r="D399" s="173"/>
      <c r="E399" s="173"/>
      <c r="F399" s="173"/>
      <c r="H399" s="17" t="s">
        <v>38</v>
      </c>
      <c r="I399" s="172" t="s">
        <v>1595</v>
      </c>
      <c r="J399" s="173"/>
      <c r="K399" s="173"/>
      <c r="L399" s="173"/>
      <c r="M399" s="173"/>
      <c r="O399" s="17" t="s">
        <v>38</v>
      </c>
      <c r="P399" s="172" t="s">
        <v>89</v>
      </c>
      <c r="Q399" s="173"/>
      <c r="R399" s="173"/>
      <c r="S399" s="173"/>
      <c r="T399" s="173"/>
    </row>
    <row r="400" spans="1:20" ht="19.8" x14ac:dyDescent="0.3">
      <c r="A400" s="171">
        <v>46112</v>
      </c>
      <c r="B400" s="174"/>
      <c r="C400" s="174"/>
      <c r="D400" s="174"/>
      <c r="E400" s="174"/>
      <c r="F400" s="174"/>
      <c r="H400" s="171">
        <v>46135</v>
      </c>
      <c r="I400" s="174"/>
      <c r="J400" s="174"/>
      <c r="K400" s="174"/>
      <c r="L400" s="174"/>
      <c r="M400" s="174"/>
      <c r="O400" s="170">
        <v>46167</v>
      </c>
      <c r="P400" s="168"/>
      <c r="Q400" s="168"/>
      <c r="R400" s="168"/>
      <c r="S400" s="168"/>
      <c r="T400" s="168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  <c r="O401" s="1" t="s">
        <v>0</v>
      </c>
      <c r="P401" s="1" t="s">
        <v>1</v>
      </c>
      <c r="Q401" s="1" t="s">
        <v>2</v>
      </c>
      <c r="R401" s="1" t="s">
        <v>3</v>
      </c>
      <c r="S401" s="1" t="s">
        <v>40</v>
      </c>
      <c r="T401" s="1" t="s">
        <v>4</v>
      </c>
    </row>
    <row r="402" spans="1:20" x14ac:dyDescent="0.3">
      <c r="A402" s="2" t="s">
        <v>5</v>
      </c>
      <c r="B402" s="3">
        <v>3901</v>
      </c>
      <c r="C402" s="3">
        <v>1936</v>
      </c>
      <c r="D402" s="3">
        <v>2134</v>
      </c>
      <c r="E402" s="3">
        <v>353</v>
      </c>
      <c r="F402" s="3">
        <v>1612</v>
      </c>
      <c r="H402" s="2" t="s">
        <v>5</v>
      </c>
      <c r="I402" s="3">
        <f>J402+K402+L402+M402</f>
        <v>4967</v>
      </c>
      <c r="J402" s="3">
        <v>1518</v>
      </c>
      <c r="K402" s="3">
        <v>1544</v>
      </c>
      <c r="L402" s="3">
        <v>655</v>
      </c>
      <c r="M402" s="3">
        <v>1250</v>
      </c>
      <c r="O402" s="2" t="s">
        <v>5</v>
      </c>
      <c r="P402" s="3">
        <v>2431</v>
      </c>
      <c r="Q402" s="3">
        <v>1019</v>
      </c>
      <c r="R402" s="3">
        <v>812</v>
      </c>
      <c r="S402" s="3">
        <v>473</v>
      </c>
      <c r="T402" s="3">
        <v>127</v>
      </c>
    </row>
    <row r="403" spans="1:20" x14ac:dyDescent="0.3">
      <c r="A403" s="2" t="s">
        <v>6</v>
      </c>
      <c r="B403" s="3">
        <v>88</v>
      </c>
      <c r="C403" s="4">
        <v>7</v>
      </c>
      <c r="D403" s="5">
        <v>11</v>
      </c>
      <c r="E403" s="5">
        <v>70</v>
      </c>
      <c r="F403" s="6">
        <v>11</v>
      </c>
      <c r="H403" s="2" t="s">
        <v>6</v>
      </c>
      <c r="I403" s="3">
        <f>J403+K403+L403+M403</f>
        <v>519</v>
      </c>
      <c r="J403" s="5">
        <v>290</v>
      </c>
      <c r="K403" s="4">
        <v>27</v>
      </c>
      <c r="L403" s="6">
        <v>57</v>
      </c>
      <c r="M403" s="6">
        <v>145</v>
      </c>
      <c r="O403" s="2" t="s">
        <v>6</v>
      </c>
      <c r="P403" s="3">
        <v>79</v>
      </c>
      <c r="Q403" s="5">
        <v>34</v>
      </c>
      <c r="R403" s="6">
        <v>25</v>
      </c>
      <c r="S403" s="4">
        <v>14</v>
      </c>
      <c r="T403" s="3">
        <v>6</v>
      </c>
    </row>
    <row r="404" spans="1:20" x14ac:dyDescent="0.3">
      <c r="A404" s="2" t="s">
        <v>7</v>
      </c>
      <c r="B404" s="3" t="s">
        <v>403</v>
      </c>
      <c r="C404" s="4" t="s">
        <v>134</v>
      </c>
      <c r="D404" s="5" t="s">
        <v>591</v>
      </c>
      <c r="E404" s="5" t="s">
        <v>1167</v>
      </c>
      <c r="F404" s="6" t="s">
        <v>492</v>
      </c>
      <c r="H404" s="2" t="s">
        <v>7</v>
      </c>
      <c r="I404" s="48">
        <f>I403/I402</f>
        <v>0.10448963156835112</v>
      </c>
      <c r="J404" s="5" t="s">
        <v>1628</v>
      </c>
      <c r="K404" s="4" t="s">
        <v>117</v>
      </c>
      <c r="L404" s="6" t="s">
        <v>1574</v>
      </c>
      <c r="M404" s="5" t="s">
        <v>1640</v>
      </c>
      <c r="O404" s="2" t="s">
        <v>7</v>
      </c>
      <c r="P404" s="3" t="s">
        <v>72</v>
      </c>
      <c r="Q404" s="6" t="s">
        <v>1602</v>
      </c>
      <c r="R404" s="4" t="s">
        <v>575</v>
      </c>
      <c r="S404" s="3" t="s">
        <v>695</v>
      </c>
      <c r="T404" s="5" t="s">
        <v>1366</v>
      </c>
    </row>
    <row r="405" spans="1:20" x14ac:dyDescent="0.3">
      <c r="A405" s="2" t="s">
        <v>12</v>
      </c>
      <c r="B405" s="3" t="s">
        <v>1168</v>
      </c>
      <c r="C405" s="3" t="s">
        <v>25</v>
      </c>
      <c r="D405" s="5" t="s">
        <v>84</v>
      </c>
      <c r="E405" s="5" t="s">
        <v>1169</v>
      </c>
      <c r="F405" s="6" t="s">
        <v>65</v>
      </c>
      <c r="H405" s="2" t="s">
        <v>12</v>
      </c>
      <c r="I405" s="48">
        <f>I408/I402</f>
        <v>7.9927521642842767E-2</v>
      </c>
      <c r="J405" s="5" t="s">
        <v>1629</v>
      </c>
      <c r="K405" s="4" t="s">
        <v>136</v>
      </c>
      <c r="L405" s="6" t="s">
        <v>60</v>
      </c>
      <c r="M405" s="5" t="s">
        <v>1250</v>
      </c>
      <c r="O405" s="2" t="s">
        <v>12</v>
      </c>
      <c r="P405" s="3" t="s">
        <v>116</v>
      </c>
      <c r="Q405" s="3" t="s">
        <v>292</v>
      </c>
      <c r="R405" s="4" t="s">
        <v>577</v>
      </c>
      <c r="S405" s="6" t="s">
        <v>73</v>
      </c>
      <c r="T405" s="5" t="s">
        <v>1366</v>
      </c>
    </row>
    <row r="406" spans="1:20" x14ac:dyDescent="0.3">
      <c r="A406" s="2" t="s">
        <v>17</v>
      </c>
      <c r="B406" s="3" t="s">
        <v>74</v>
      </c>
      <c r="C406" s="6" t="s">
        <v>134</v>
      </c>
      <c r="D406" s="5" t="s">
        <v>78</v>
      </c>
      <c r="E406" s="5" t="s">
        <v>63</v>
      </c>
      <c r="F406" s="4" t="s">
        <v>102</v>
      </c>
      <c r="H406" s="2" t="s">
        <v>17</v>
      </c>
      <c r="I406" s="48">
        <f>I414/I402</f>
        <v>2.4360781155627138E-2</v>
      </c>
      <c r="J406" s="5" t="s">
        <v>105</v>
      </c>
      <c r="K406" s="6" t="s">
        <v>544</v>
      </c>
      <c r="L406" s="4" t="s">
        <v>240</v>
      </c>
      <c r="M406" s="6" t="s">
        <v>1537</v>
      </c>
      <c r="O406" s="2" t="s">
        <v>17</v>
      </c>
      <c r="P406" s="3" t="s">
        <v>1087</v>
      </c>
      <c r="Q406" s="5" t="s">
        <v>499</v>
      </c>
      <c r="R406" s="6" t="s">
        <v>87</v>
      </c>
      <c r="S406" s="4" t="s">
        <v>78</v>
      </c>
      <c r="T406" s="3" t="s">
        <v>25</v>
      </c>
    </row>
    <row r="407" spans="1:20" x14ac:dyDescent="0.3">
      <c r="A407" s="2" t="s">
        <v>22</v>
      </c>
      <c r="B407" s="3" t="s">
        <v>25</v>
      </c>
      <c r="C407" s="3" t="s">
        <v>25</v>
      </c>
      <c r="D407" s="5" t="s">
        <v>158</v>
      </c>
      <c r="E407" s="3" t="s">
        <v>25</v>
      </c>
      <c r="F407" s="3" t="s">
        <v>25</v>
      </c>
      <c r="H407" s="2" t="s">
        <v>22</v>
      </c>
      <c r="I407" s="48">
        <f>I417/I402</f>
        <v>1.8119589289309443E-3</v>
      </c>
      <c r="J407" s="4" t="s">
        <v>138</v>
      </c>
      <c r="K407" s="6" t="s">
        <v>75</v>
      </c>
      <c r="L407" s="5" t="s">
        <v>121</v>
      </c>
      <c r="M407" s="5" t="s">
        <v>491</v>
      </c>
      <c r="O407" s="2" t="s">
        <v>22</v>
      </c>
      <c r="P407" s="3" t="s">
        <v>77</v>
      </c>
      <c r="Q407" s="4" t="s">
        <v>99</v>
      </c>
      <c r="R407" s="5" t="s">
        <v>47</v>
      </c>
      <c r="S407" s="6" t="s">
        <v>77</v>
      </c>
      <c r="T407" s="3" t="s">
        <v>25</v>
      </c>
    </row>
    <row r="408" spans="1:20" x14ac:dyDescent="0.3">
      <c r="A408" s="7" t="s">
        <v>26</v>
      </c>
      <c r="B408" s="8">
        <v>76</v>
      </c>
      <c r="C408" s="8">
        <v>0</v>
      </c>
      <c r="D408" s="8">
        <v>2</v>
      </c>
      <c r="E408" s="8">
        <v>67</v>
      </c>
      <c r="F408" s="8">
        <v>9</v>
      </c>
      <c r="H408" s="7" t="s">
        <v>26</v>
      </c>
      <c r="I408" s="8">
        <f>J408+K408+L408+M408</f>
        <v>397</v>
      </c>
      <c r="J408" s="8">
        <v>250</v>
      </c>
      <c r="K408" s="8">
        <v>3</v>
      </c>
      <c r="L408" s="8">
        <v>47</v>
      </c>
      <c r="M408" s="8">
        <v>97</v>
      </c>
      <c r="O408" s="7" t="s">
        <v>26</v>
      </c>
      <c r="P408" s="8">
        <v>60</v>
      </c>
      <c r="Q408" s="8">
        <v>22</v>
      </c>
      <c r="R408" s="8">
        <v>20</v>
      </c>
      <c r="S408" s="8">
        <v>12</v>
      </c>
      <c r="T408" s="8">
        <v>6</v>
      </c>
    </row>
    <row r="409" spans="1:20" x14ac:dyDescent="0.3">
      <c r="A409" s="9" t="s">
        <v>27</v>
      </c>
      <c r="B409" s="10">
        <v>12</v>
      </c>
      <c r="C409" s="10">
        <v>0</v>
      </c>
      <c r="D409" s="10">
        <v>2</v>
      </c>
      <c r="E409" s="10">
        <v>5</v>
      </c>
      <c r="F409" s="10">
        <v>7</v>
      </c>
      <c r="H409" s="9" t="s">
        <v>27</v>
      </c>
      <c r="I409" s="10">
        <v>99</v>
      </c>
      <c r="J409" s="10">
        <v>75</v>
      </c>
      <c r="K409" s="10">
        <v>3</v>
      </c>
      <c r="L409" s="10">
        <v>21</v>
      </c>
      <c r="M409" s="10">
        <v>82</v>
      </c>
      <c r="O409" s="9" t="s">
        <v>27</v>
      </c>
      <c r="P409" s="10">
        <v>37</v>
      </c>
      <c r="Q409" s="10">
        <v>13</v>
      </c>
      <c r="R409" s="10">
        <v>12</v>
      </c>
      <c r="S409" s="10">
        <v>9</v>
      </c>
      <c r="T409" s="10">
        <v>3</v>
      </c>
    </row>
    <row r="410" spans="1:20" x14ac:dyDescent="0.3">
      <c r="A410" s="9" t="s">
        <v>28</v>
      </c>
      <c r="B410" s="10">
        <v>1</v>
      </c>
      <c r="C410" s="10">
        <v>0</v>
      </c>
      <c r="D410" s="10">
        <v>0</v>
      </c>
      <c r="E410" s="10">
        <v>0</v>
      </c>
      <c r="F410" s="10">
        <v>1</v>
      </c>
      <c r="H410" s="9" t="s">
        <v>28</v>
      </c>
      <c r="I410" s="10">
        <v>102</v>
      </c>
      <c r="J410" s="10">
        <v>99</v>
      </c>
      <c r="K410" s="10">
        <v>0</v>
      </c>
      <c r="L410" s="10">
        <v>3</v>
      </c>
      <c r="M410" s="10">
        <v>4</v>
      </c>
      <c r="O410" s="9" t="s">
        <v>28</v>
      </c>
      <c r="P410" s="10">
        <v>1</v>
      </c>
      <c r="Q410" s="10">
        <v>1</v>
      </c>
      <c r="R410" s="10">
        <v>0</v>
      </c>
      <c r="S410" s="10">
        <v>0</v>
      </c>
      <c r="T410" s="10">
        <v>0</v>
      </c>
    </row>
    <row r="411" spans="1:20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O411" s="9" t="s">
        <v>29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s="9" t="s">
        <v>30</v>
      </c>
      <c r="B412" s="10">
        <v>63</v>
      </c>
      <c r="C412" s="10">
        <v>0</v>
      </c>
      <c r="D412" s="10">
        <v>0</v>
      </c>
      <c r="E412" s="10">
        <v>62</v>
      </c>
      <c r="F412" s="10">
        <v>1</v>
      </c>
      <c r="H412" s="9" t="s">
        <v>30</v>
      </c>
      <c r="I412" s="10">
        <v>99</v>
      </c>
      <c r="J412" s="10">
        <v>76</v>
      </c>
      <c r="K412" s="10">
        <v>0</v>
      </c>
      <c r="L412" s="10">
        <v>23</v>
      </c>
      <c r="M412" s="10">
        <v>11</v>
      </c>
      <c r="O412" s="9" t="s">
        <v>30</v>
      </c>
      <c r="P412" s="10">
        <v>22</v>
      </c>
      <c r="Q412" s="10">
        <v>8</v>
      </c>
      <c r="R412" s="10">
        <v>8</v>
      </c>
      <c r="S412" s="10">
        <v>3</v>
      </c>
      <c r="T412" s="10">
        <v>3</v>
      </c>
    </row>
    <row r="413" spans="1:20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O413" s="9" t="s">
        <v>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A414" s="11" t="s">
        <v>32</v>
      </c>
      <c r="B414" s="12">
        <v>12</v>
      </c>
      <c r="C414" s="12">
        <v>7</v>
      </c>
      <c r="D414" s="12">
        <v>9</v>
      </c>
      <c r="E414" s="12">
        <v>3</v>
      </c>
      <c r="F414" s="12">
        <v>2</v>
      </c>
      <c r="H414" s="11" t="s">
        <v>32</v>
      </c>
      <c r="I414" s="12">
        <f>J414+K414+L414+M414</f>
        <v>121</v>
      </c>
      <c r="J414" s="12">
        <v>40</v>
      </c>
      <c r="K414" s="12">
        <v>24</v>
      </c>
      <c r="L414" s="12">
        <v>9</v>
      </c>
      <c r="M414" s="12">
        <v>48</v>
      </c>
      <c r="O414" s="11" t="s">
        <v>32</v>
      </c>
      <c r="P414" s="12">
        <v>19</v>
      </c>
      <c r="Q414" s="12">
        <v>12</v>
      </c>
      <c r="R414" s="12">
        <v>5</v>
      </c>
      <c r="S414" s="12">
        <v>2</v>
      </c>
      <c r="T414" s="12">
        <v>0</v>
      </c>
    </row>
    <row r="415" spans="1:20" x14ac:dyDescent="0.3">
      <c r="A415" s="13" t="s">
        <v>33</v>
      </c>
      <c r="B415" s="14">
        <v>2</v>
      </c>
      <c r="C415" s="14">
        <v>0</v>
      </c>
      <c r="D415" s="14">
        <v>2</v>
      </c>
      <c r="E415" s="14">
        <v>2</v>
      </c>
      <c r="F415" s="14">
        <v>0</v>
      </c>
      <c r="H415" s="13" t="s">
        <v>33</v>
      </c>
      <c r="I415" s="14">
        <v>5</v>
      </c>
      <c r="J415" s="14">
        <v>5</v>
      </c>
      <c r="K415" s="14">
        <v>0</v>
      </c>
      <c r="L415" s="14">
        <v>0</v>
      </c>
      <c r="M415" s="14">
        <v>10</v>
      </c>
      <c r="O415" s="13" t="s">
        <v>33</v>
      </c>
      <c r="P415" s="14">
        <v>5</v>
      </c>
      <c r="Q415" s="14">
        <v>4</v>
      </c>
      <c r="R415" s="14">
        <v>1</v>
      </c>
      <c r="S415" s="14">
        <v>0</v>
      </c>
      <c r="T415" s="14">
        <v>0</v>
      </c>
    </row>
    <row r="416" spans="1:20" x14ac:dyDescent="0.3">
      <c r="A416" s="13" t="s">
        <v>34</v>
      </c>
      <c r="B416" s="14">
        <v>10</v>
      </c>
      <c r="C416" s="14">
        <v>7</v>
      </c>
      <c r="D416" s="14">
        <v>7</v>
      </c>
      <c r="E416" s="14">
        <v>1</v>
      </c>
      <c r="F416" s="14">
        <v>2</v>
      </c>
      <c r="H416" s="13" t="s">
        <v>34</v>
      </c>
      <c r="I416" s="14">
        <v>68</v>
      </c>
      <c r="J416" s="14">
        <v>35</v>
      </c>
      <c r="K416" s="14">
        <v>24</v>
      </c>
      <c r="L416" s="14">
        <v>9</v>
      </c>
      <c r="M416" s="14">
        <v>38</v>
      </c>
      <c r="O416" s="13" t="s">
        <v>34</v>
      </c>
      <c r="P416" s="14">
        <v>14</v>
      </c>
      <c r="Q416" s="14">
        <v>8</v>
      </c>
      <c r="R416" s="14">
        <v>4</v>
      </c>
      <c r="S416" s="14">
        <v>2</v>
      </c>
      <c r="T416" s="14">
        <v>0</v>
      </c>
    </row>
    <row r="417" spans="1:20" x14ac:dyDescent="0.3">
      <c r="A417" s="15" t="s">
        <v>35</v>
      </c>
      <c r="B417" s="16">
        <v>0</v>
      </c>
      <c r="C417" s="16">
        <v>0</v>
      </c>
      <c r="D417" s="16">
        <v>1</v>
      </c>
      <c r="E417" s="16">
        <v>0</v>
      </c>
      <c r="F417" s="16">
        <v>0</v>
      </c>
      <c r="H417" s="15" t="s">
        <v>35</v>
      </c>
      <c r="I417" s="16">
        <f>J417+K417+L417+M417</f>
        <v>9</v>
      </c>
      <c r="J417" s="16">
        <v>1</v>
      </c>
      <c r="K417" s="16">
        <v>2</v>
      </c>
      <c r="L417" s="16">
        <v>1</v>
      </c>
      <c r="M417" s="16">
        <v>5</v>
      </c>
      <c r="O417" s="15" t="s">
        <v>35</v>
      </c>
      <c r="P417" s="16">
        <v>5</v>
      </c>
      <c r="Q417" s="16">
        <v>2</v>
      </c>
      <c r="R417" s="16">
        <v>2</v>
      </c>
      <c r="S417" s="16">
        <v>1</v>
      </c>
      <c r="T417" s="16">
        <v>0</v>
      </c>
    </row>
    <row r="418" spans="1:20" x14ac:dyDescent="0.3">
      <c r="A418" s="17" t="s">
        <v>36</v>
      </c>
      <c r="B418" s="56">
        <v>0</v>
      </c>
      <c r="C418" s="56">
        <v>0</v>
      </c>
      <c r="D418" s="56">
        <v>0</v>
      </c>
      <c r="E418" s="56">
        <v>0</v>
      </c>
      <c r="F418" s="56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  <c r="O418" s="17" t="s">
        <v>36</v>
      </c>
      <c r="P418" s="138">
        <v>0</v>
      </c>
      <c r="Q418" s="138">
        <v>0</v>
      </c>
      <c r="R418" s="138">
        <v>0</v>
      </c>
      <c r="S418" s="138">
        <v>0</v>
      </c>
      <c r="T418" s="138">
        <v>0</v>
      </c>
    </row>
    <row r="419" spans="1:20" x14ac:dyDescent="0.3">
      <c r="A419" s="17" t="s">
        <v>37</v>
      </c>
      <c r="B419" s="56">
        <v>0</v>
      </c>
      <c r="C419" s="56">
        <v>0</v>
      </c>
      <c r="D419" s="56">
        <v>1</v>
      </c>
      <c r="E419" s="56">
        <v>0</v>
      </c>
      <c r="F419" s="56">
        <v>0</v>
      </c>
      <c r="H419" s="17" t="s">
        <v>37</v>
      </c>
      <c r="I419" s="103">
        <v>4</v>
      </c>
      <c r="J419" s="103">
        <v>1</v>
      </c>
      <c r="K419" s="103">
        <v>2</v>
      </c>
      <c r="L419" s="103">
        <v>1</v>
      </c>
      <c r="M419" s="103">
        <v>5</v>
      </c>
      <c r="O419" s="17" t="s">
        <v>37</v>
      </c>
      <c r="P419" s="138">
        <v>5</v>
      </c>
      <c r="Q419" s="138">
        <v>2</v>
      </c>
      <c r="R419" s="138">
        <v>2</v>
      </c>
      <c r="S419" s="138">
        <v>1</v>
      </c>
      <c r="T419" s="138">
        <v>0</v>
      </c>
    </row>
    <row r="420" spans="1:20" x14ac:dyDescent="0.3">
      <c r="A420" s="17" t="s">
        <v>38</v>
      </c>
      <c r="B420" s="172" t="s">
        <v>1034</v>
      </c>
      <c r="C420" s="173"/>
      <c r="D420" s="173"/>
      <c r="E420" s="173"/>
      <c r="F420" s="173"/>
      <c r="H420" s="17" t="s">
        <v>38</v>
      </c>
      <c r="I420" s="172" t="s">
        <v>1630</v>
      </c>
      <c r="J420" s="173"/>
      <c r="K420" s="173"/>
      <c r="L420" s="173"/>
      <c r="M420" s="173"/>
      <c r="O420" s="17" t="s">
        <v>38</v>
      </c>
      <c r="P420" s="167" t="s">
        <v>1995</v>
      </c>
      <c r="Q420" s="168"/>
      <c r="R420" s="168"/>
      <c r="S420" s="168"/>
      <c r="T420" s="168"/>
    </row>
    <row r="421" spans="1:20" ht="19.8" x14ac:dyDescent="0.3">
      <c r="H421" s="177">
        <v>46136</v>
      </c>
      <c r="I421" s="178"/>
      <c r="J421" s="178"/>
      <c r="K421" s="178"/>
      <c r="L421" s="178"/>
      <c r="M421" s="178"/>
      <c r="O421" s="170">
        <v>46168</v>
      </c>
      <c r="P421" s="168"/>
      <c r="Q421" s="168"/>
      <c r="R421" s="168"/>
      <c r="S421" s="168"/>
      <c r="T421" s="168"/>
    </row>
    <row r="422" spans="1:20" x14ac:dyDescent="0.3"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871</v>
      </c>
      <c r="O422" s="1" t="s">
        <v>0</v>
      </c>
      <c r="P422" s="1" t="s">
        <v>1</v>
      </c>
      <c r="Q422" s="1" t="s">
        <v>2</v>
      </c>
      <c r="R422" s="1" t="s">
        <v>3</v>
      </c>
      <c r="S422" s="1" t="s">
        <v>40</v>
      </c>
      <c r="T422" s="1" t="s">
        <v>4</v>
      </c>
    </row>
    <row r="423" spans="1:20" x14ac:dyDescent="0.3">
      <c r="H423" s="2" t="s">
        <v>5</v>
      </c>
      <c r="I423" s="3">
        <f>J423+K423+L423</f>
        <v>3500</v>
      </c>
      <c r="J423" s="3">
        <v>1487</v>
      </c>
      <c r="K423" s="3">
        <v>1768</v>
      </c>
      <c r="L423" s="3">
        <v>245</v>
      </c>
      <c r="M423" s="3">
        <v>0</v>
      </c>
      <c r="O423" s="2" t="s">
        <v>5</v>
      </c>
      <c r="P423" s="3">
        <v>4311</v>
      </c>
      <c r="Q423" s="3">
        <v>1801</v>
      </c>
      <c r="R423" s="3">
        <v>1496</v>
      </c>
      <c r="S423" s="3">
        <v>11</v>
      </c>
      <c r="T423" s="3">
        <v>1003</v>
      </c>
    </row>
    <row r="424" spans="1:20" x14ac:dyDescent="0.3">
      <c r="H424" s="2" t="s">
        <v>6</v>
      </c>
      <c r="I424" s="3">
        <f>K424+L424+J424</f>
        <v>833</v>
      </c>
      <c r="J424" s="5">
        <v>307</v>
      </c>
      <c r="K424" s="5">
        <v>447</v>
      </c>
      <c r="L424" s="6">
        <v>79</v>
      </c>
      <c r="M424" s="3">
        <v>0</v>
      </c>
      <c r="O424" s="2" t="s">
        <v>6</v>
      </c>
      <c r="P424" s="3">
        <v>59</v>
      </c>
      <c r="Q424" s="5">
        <v>27</v>
      </c>
      <c r="R424" s="6">
        <v>16</v>
      </c>
      <c r="S424" s="3">
        <v>1</v>
      </c>
      <c r="T424" s="4">
        <v>15</v>
      </c>
    </row>
    <row r="425" spans="1:20" x14ac:dyDescent="0.3">
      <c r="H425" s="2" t="s">
        <v>7</v>
      </c>
      <c r="I425" s="48">
        <f>I424/I423</f>
        <v>0.23799999999999999</v>
      </c>
      <c r="J425" s="6" t="s">
        <v>1641</v>
      </c>
      <c r="K425" s="5" t="s">
        <v>1650</v>
      </c>
      <c r="L425" s="5" t="s">
        <v>1642</v>
      </c>
      <c r="M425" s="3">
        <v>0</v>
      </c>
      <c r="O425" s="2" t="s">
        <v>7</v>
      </c>
      <c r="P425" s="3" t="s">
        <v>240</v>
      </c>
      <c r="Q425" s="6" t="s">
        <v>281</v>
      </c>
      <c r="R425" s="3" t="s">
        <v>443</v>
      </c>
      <c r="S425" s="5" t="s">
        <v>1298</v>
      </c>
      <c r="T425" s="4" t="s">
        <v>281</v>
      </c>
    </row>
    <row r="426" spans="1:20" x14ac:dyDescent="0.3">
      <c r="H426" s="2" t="s">
        <v>12</v>
      </c>
      <c r="I426" s="48">
        <f>I429/I423</f>
        <v>0.20399999999999999</v>
      </c>
      <c r="J426" s="6" t="s">
        <v>1183</v>
      </c>
      <c r="K426" s="5" t="s">
        <v>1651</v>
      </c>
      <c r="L426" s="5" t="s">
        <v>1643</v>
      </c>
      <c r="M426" s="3">
        <v>0</v>
      </c>
      <c r="O426" s="2" t="s">
        <v>12</v>
      </c>
      <c r="P426" s="3" t="s">
        <v>499</v>
      </c>
      <c r="Q426" s="4" t="s">
        <v>451</v>
      </c>
      <c r="R426" s="3" t="s">
        <v>80</v>
      </c>
      <c r="S426" s="5" t="s">
        <v>1298</v>
      </c>
      <c r="T426" s="6" t="s">
        <v>290</v>
      </c>
    </row>
    <row r="427" spans="1:20" x14ac:dyDescent="0.3">
      <c r="H427" s="2" t="s">
        <v>17</v>
      </c>
      <c r="I427" s="48">
        <f>I435/I423</f>
        <v>3.4000000000000002E-2</v>
      </c>
      <c r="J427" s="6" t="s">
        <v>431</v>
      </c>
      <c r="K427" s="6" t="s">
        <v>867</v>
      </c>
      <c r="L427" s="5" t="s">
        <v>1290</v>
      </c>
      <c r="M427" s="3" t="s">
        <v>25</v>
      </c>
      <c r="O427" s="2" t="s">
        <v>17</v>
      </c>
      <c r="P427" s="3" t="s">
        <v>136</v>
      </c>
      <c r="Q427" s="6" t="s">
        <v>49</v>
      </c>
      <c r="R427" s="5" t="s">
        <v>418</v>
      </c>
      <c r="S427" s="3" t="s">
        <v>25</v>
      </c>
      <c r="T427" s="4" t="s">
        <v>81</v>
      </c>
    </row>
    <row r="428" spans="1:20" x14ac:dyDescent="0.3">
      <c r="H428" s="2" t="s">
        <v>22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O428" s="2" t="s">
        <v>22</v>
      </c>
      <c r="P428" s="3" t="s">
        <v>64</v>
      </c>
      <c r="Q428" s="5" t="s">
        <v>86</v>
      </c>
      <c r="R428" s="4" t="s">
        <v>80</v>
      </c>
      <c r="S428" s="3" t="s">
        <v>25</v>
      </c>
      <c r="T428" s="6" t="s">
        <v>233</v>
      </c>
    </row>
    <row r="429" spans="1:20" x14ac:dyDescent="0.3">
      <c r="H429" s="7" t="s">
        <v>26</v>
      </c>
      <c r="I429" s="8">
        <f>K429+L429+J429</f>
        <v>714</v>
      </c>
      <c r="J429" s="8">
        <v>286</v>
      </c>
      <c r="K429" s="8">
        <v>369</v>
      </c>
      <c r="L429" s="8">
        <v>59</v>
      </c>
      <c r="M429" s="8">
        <v>0</v>
      </c>
      <c r="O429" s="7" t="s">
        <v>26</v>
      </c>
      <c r="P429" s="8">
        <v>51</v>
      </c>
      <c r="Q429" s="8">
        <v>25</v>
      </c>
      <c r="R429" s="8">
        <v>11</v>
      </c>
      <c r="S429" s="8">
        <v>1</v>
      </c>
      <c r="T429" s="8">
        <v>14</v>
      </c>
    </row>
    <row r="430" spans="1:20" x14ac:dyDescent="0.3">
      <c r="H430" s="9" t="s">
        <v>27</v>
      </c>
      <c r="I430" s="10">
        <v>283</v>
      </c>
      <c r="J430" s="10">
        <v>250</v>
      </c>
      <c r="K430" s="10">
        <v>351</v>
      </c>
      <c r="L430" s="10">
        <v>33</v>
      </c>
      <c r="M430" s="10">
        <v>0</v>
      </c>
      <c r="O430" s="9" t="s">
        <v>27</v>
      </c>
      <c r="P430" s="10">
        <v>43</v>
      </c>
      <c r="Q430" s="10">
        <v>20</v>
      </c>
      <c r="R430" s="10">
        <v>9</v>
      </c>
      <c r="S430" s="10">
        <v>1</v>
      </c>
      <c r="T430" s="10">
        <v>13</v>
      </c>
    </row>
    <row r="431" spans="1:20" x14ac:dyDescent="0.3">
      <c r="H431" s="9" t="s">
        <v>28</v>
      </c>
      <c r="I431" s="10">
        <v>20</v>
      </c>
      <c r="J431" s="10">
        <v>17</v>
      </c>
      <c r="K431" s="10">
        <v>7</v>
      </c>
      <c r="L431" s="10">
        <v>3</v>
      </c>
      <c r="M431" s="10">
        <v>0</v>
      </c>
      <c r="O431" s="9" t="s">
        <v>28</v>
      </c>
      <c r="P431" s="10">
        <v>1</v>
      </c>
      <c r="Q431" s="10">
        <v>1</v>
      </c>
      <c r="R431" s="10">
        <v>0</v>
      </c>
      <c r="S431" s="10">
        <v>0</v>
      </c>
      <c r="T431" s="10">
        <v>0</v>
      </c>
    </row>
    <row r="432" spans="1:20" x14ac:dyDescent="0.3"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O432" s="9" t="s">
        <v>29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</row>
    <row r="433" spans="8:20" x14ac:dyDescent="0.3">
      <c r="H433" s="9" t="s">
        <v>30</v>
      </c>
      <c r="I433" s="10">
        <v>42</v>
      </c>
      <c r="J433" s="10">
        <v>19</v>
      </c>
      <c r="K433" s="10">
        <v>11</v>
      </c>
      <c r="L433" s="10">
        <v>23</v>
      </c>
      <c r="M433" s="10">
        <v>0</v>
      </c>
      <c r="O433" s="9" t="s">
        <v>30</v>
      </c>
      <c r="P433" s="10">
        <v>7</v>
      </c>
      <c r="Q433" s="10">
        <v>4</v>
      </c>
      <c r="R433" s="10">
        <v>2</v>
      </c>
      <c r="S433" s="10">
        <v>0</v>
      </c>
      <c r="T433" s="10">
        <v>1</v>
      </c>
    </row>
    <row r="434" spans="8:20" x14ac:dyDescent="0.3"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O434" s="9" t="s">
        <v>31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</row>
    <row r="435" spans="8:20" x14ac:dyDescent="0.3">
      <c r="H435" s="11" t="s">
        <v>32</v>
      </c>
      <c r="I435" s="12">
        <f>J435+K435+L435</f>
        <v>119</v>
      </c>
      <c r="J435" s="12">
        <v>21</v>
      </c>
      <c r="K435" s="12">
        <v>78</v>
      </c>
      <c r="L435" s="12">
        <v>20</v>
      </c>
      <c r="M435" s="12">
        <v>0</v>
      </c>
      <c r="O435" s="11" t="s">
        <v>32</v>
      </c>
      <c r="P435" s="12">
        <v>8</v>
      </c>
      <c r="Q435" s="12">
        <v>2</v>
      </c>
      <c r="R435" s="12">
        <v>5</v>
      </c>
      <c r="S435" s="12">
        <v>0</v>
      </c>
      <c r="T435" s="12">
        <v>1</v>
      </c>
    </row>
    <row r="436" spans="8:20" x14ac:dyDescent="0.3">
      <c r="H436" s="13" t="s">
        <v>33</v>
      </c>
      <c r="I436" s="14">
        <f>J436+K436+L436</f>
        <v>94</v>
      </c>
      <c r="J436" s="14">
        <v>17</v>
      </c>
      <c r="K436" s="14">
        <v>57</v>
      </c>
      <c r="L436" s="14">
        <v>20</v>
      </c>
      <c r="M436" s="14">
        <v>0</v>
      </c>
      <c r="O436" s="13" t="s">
        <v>33</v>
      </c>
      <c r="P436" s="14">
        <v>3</v>
      </c>
      <c r="Q436" s="14">
        <v>1</v>
      </c>
      <c r="R436" s="14">
        <v>2</v>
      </c>
      <c r="S436" s="14">
        <v>0</v>
      </c>
      <c r="T436" s="14">
        <v>0</v>
      </c>
    </row>
    <row r="437" spans="8:20" x14ac:dyDescent="0.3">
      <c r="H437" s="13" t="s">
        <v>34</v>
      </c>
      <c r="I437" s="14">
        <f>J437+K437</f>
        <v>25</v>
      </c>
      <c r="J437" s="14">
        <v>4</v>
      </c>
      <c r="K437" s="14">
        <v>21</v>
      </c>
      <c r="L437" s="14">
        <v>0</v>
      </c>
      <c r="M437" s="14">
        <v>0</v>
      </c>
      <c r="O437" s="13" t="s">
        <v>34</v>
      </c>
      <c r="P437" s="14">
        <v>5</v>
      </c>
      <c r="Q437" s="14">
        <v>1</v>
      </c>
      <c r="R437" s="14">
        <v>3</v>
      </c>
      <c r="S437" s="14">
        <v>0</v>
      </c>
      <c r="T437" s="14">
        <v>1</v>
      </c>
    </row>
    <row r="438" spans="8:20" x14ac:dyDescent="0.3">
      <c r="H438" s="15" t="s">
        <v>35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O438" s="15" t="s">
        <v>35</v>
      </c>
      <c r="P438" s="16">
        <v>35</v>
      </c>
      <c r="Q438" s="16">
        <v>16</v>
      </c>
      <c r="R438" s="16">
        <v>11</v>
      </c>
      <c r="S438" s="16">
        <v>0</v>
      </c>
      <c r="T438" s="16">
        <v>8</v>
      </c>
    </row>
    <row r="439" spans="8:20" x14ac:dyDescent="0.3"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  <c r="O439" s="17" t="s">
        <v>36</v>
      </c>
      <c r="P439" s="138">
        <v>0</v>
      </c>
      <c r="Q439" s="138">
        <v>0</v>
      </c>
      <c r="R439" s="138">
        <v>0</v>
      </c>
      <c r="S439" s="138">
        <v>0</v>
      </c>
      <c r="T439" s="138">
        <v>0</v>
      </c>
    </row>
    <row r="440" spans="8:20" x14ac:dyDescent="0.3">
      <c r="H440" s="17" t="s">
        <v>37</v>
      </c>
      <c r="I440" s="109">
        <v>0</v>
      </c>
      <c r="J440" s="109">
        <v>0</v>
      </c>
      <c r="K440" s="109">
        <v>0</v>
      </c>
      <c r="L440" s="109">
        <v>0</v>
      </c>
      <c r="M440" s="109">
        <v>0</v>
      </c>
      <c r="O440" s="17" t="s">
        <v>37</v>
      </c>
      <c r="P440" s="138">
        <v>35</v>
      </c>
      <c r="Q440" s="138">
        <v>16</v>
      </c>
      <c r="R440" s="138">
        <v>11</v>
      </c>
      <c r="S440" s="138">
        <v>0</v>
      </c>
      <c r="T440" s="138">
        <v>8</v>
      </c>
    </row>
    <row r="441" spans="8:20" x14ac:dyDescent="0.3">
      <c r="H441" s="17" t="s">
        <v>38</v>
      </c>
      <c r="I441" s="175" t="s">
        <v>1644</v>
      </c>
      <c r="J441" s="176"/>
      <c r="K441" s="176"/>
      <c r="L441" s="176"/>
      <c r="M441" s="176"/>
      <c r="O441" s="17" t="s">
        <v>38</v>
      </c>
      <c r="P441" s="167" t="s">
        <v>2014</v>
      </c>
      <c r="Q441" s="168"/>
      <c r="R441" s="168"/>
      <c r="S441" s="168"/>
      <c r="T441" s="168"/>
    </row>
    <row r="442" spans="8:20" ht="19.8" x14ac:dyDescent="0.3">
      <c r="H442" s="170">
        <v>46137</v>
      </c>
      <c r="I442" s="169"/>
      <c r="J442" s="169"/>
      <c r="K442" s="169"/>
      <c r="L442" s="169"/>
      <c r="M442" s="169"/>
      <c r="O442" s="171">
        <v>46169</v>
      </c>
      <c r="P442" s="174"/>
      <c r="Q442" s="174"/>
      <c r="R442" s="174"/>
      <c r="S442" s="174"/>
      <c r="T442" s="174"/>
    </row>
    <row r="443" spans="8:20" x14ac:dyDescent="0.3"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870</v>
      </c>
      <c r="M443" s="1" t="s">
        <v>871</v>
      </c>
      <c r="O443" s="1" t="s">
        <v>0</v>
      </c>
      <c r="P443" s="1" t="s">
        <v>1</v>
      </c>
      <c r="Q443" s="1" t="s">
        <v>2</v>
      </c>
      <c r="R443" s="1" t="s">
        <v>3</v>
      </c>
      <c r="S443" s="179" t="s">
        <v>40</v>
      </c>
      <c r="T443" s="1" t="s">
        <v>4</v>
      </c>
    </row>
    <row r="444" spans="8:20" x14ac:dyDescent="0.3">
      <c r="H444" s="2" t="s">
        <v>5</v>
      </c>
      <c r="I444" s="3">
        <v>1745</v>
      </c>
      <c r="J444" s="3">
        <v>1745</v>
      </c>
      <c r="K444" s="3">
        <v>1208</v>
      </c>
      <c r="L444" s="3">
        <v>0</v>
      </c>
      <c r="M444" s="3">
        <v>0</v>
      </c>
      <c r="O444" s="2" t="s">
        <v>5</v>
      </c>
      <c r="P444" s="3">
        <v>3991</v>
      </c>
      <c r="Q444" s="3">
        <v>1556</v>
      </c>
      <c r="R444" s="3">
        <v>1339</v>
      </c>
      <c r="S444" s="181">
        <v>0</v>
      </c>
      <c r="T444" s="3">
        <v>1096</v>
      </c>
    </row>
    <row r="445" spans="8:20" x14ac:dyDescent="0.3">
      <c r="H445" s="2" t="s">
        <v>6</v>
      </c>
      <c r="I445" s="3">
        <v>219</v>
      </c>
      <c r="J445" s="5">
        <v>219</v>
      </c>
      <c r="K445" s="6">
        <v>135</v>
      </c>
      <c r="L445" s="3">
        <v>0</v>
      </c>
      <c r="M445" s="3">
        <v>0</v>
      </c>
      <c r="O445" s="2" t="s">
        <v>6</v>
      </c>
      <c r="P445" s="3">
        <v>170</v>
      </c>
      <c r="Q445" s="5">
        <v>153</v>
      </c>
      <c r="R445" s="6">
        <v>11</v>
      </c>
      <c r="S445" s="181">
        <v>0</v>
      </c>
      <c r="T445" s="4">
        <v>6</v>
      </c>
    </row>
    <row r="446" spans="8:20" x14ac:dyDescent="0.3">
      <c r="H446" s="2" t="s">
        <v>7</v>
      </c>
      <c r="I446" s="3" t="s">
        <v>1657</v>
      </c>
      <c r="J446" s="5" t="s">
        <v>1657</v>
      </c>
      <c r="K446" s="6" t="s">
        <v>986</v>
      </c>
      <c r="L446" s="3">
        <v>0</v>
      </c>
      <c r="M446" s="3">
        <v>0</v>
      </c>
      <c r="O446" s="2" t="s">
        <v>7</v>
      </c>
      <c r="P446" s="3" t="s">
        <v>622</v>
      </c>
      <c r="Q446" s="5" t="s">
        <v>1336</v>
      </c>
      <c r="R446" s="6" t="s">
        <v>371</v>
      </c>
      <c r="S446" s="181">
        <v>0</v>
      </c>
      <c r="T446" s="4" t="s">
        <v>863</v>
      </c>
    </row>
    <row r="447" spans="8:20" x14ac:dyDescent="0.3">
      <c r="H447" s="2" t="s">
        <v>12</v>
      </c>
      <c r="I447" s="3" t="s">
        <v>1658</v>
      </c>
      <c r="J447" s="5" t="s">
        <v>1658</v>
      </c>
      <c r="K447" s="5" t="s">
        <v>844</v>
      </c>
      <c r="L447" s="3">
        <v>0</v>
      </c>
      <c r="M447" s="3">
        <v>0</v>
      </c>
      <c r="O447" s="2" t="s">
        <v>12</v>
      </c>
      <c r="P447" s="3" t="s">
        <v>370</v>
      </c>
      <c r="Q447" s="5" t="s">
        <v>990</v>
      </c>
      <c r="R447" s="6" t="s">
        <v>44</v>
      </c>
      <c r="S447" s="181">
        <v>0</v>
      </c>
      <c r="T447" s="4" t="s">
        <v>317</v>
      </c>
    </row>
    <row r="448" spans="8:20" x14ac:dyDescent="0.3">
      <c r="H448" s="2" t="s">
        <v>17</v>
      </c>
      <c r="I448" s="3" t="s">
        <v>491</v>
      </c>
      <c r="J448" s="5" t="s">
        <v>491</v>
      </c>
      <c r="K448" s="6" t="s">
        <v>44</v>
      </c>
      <c r="L448" s="3" t="s">
        <v>25</v>
      </c>
      <c r="M448" s="3" t="s">
        <v>25</v>
      </c>
      <c r="O448" s="2" t="s">
        <v>17</v>
      </c>
      <c r="P448" s="3" t="s">
        <v>121</v>
      </c>
      <c r="Q448" s="5" t="s">
        <v>101</v>
      </c>
      <c r="R448" s="4" t="s">
        <v>138</v>
      </c>
      <c r="S448" s="181" t="s">
        <v>25</v>
      </c>
      <c r="T448" s="6" t="s">
        <v>84</v>
      </c>
    </row>
    <row r="449" spans="8:20" x14ac:dyDescent="0.3"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O449" s="2" t="s">
        <v>22</v>
      </c>
      <c r="P449" s="3" t="s">
        <v>300</v>
      </c>
      <c r="Q449" s="6" t="s">
        <v>332</v>
      </c>
      <c r="R449" s="4" t="s">
        <v>591</v>
      </c>
      <c r="S449" s="181" t="s">
        <v>25</v>
      </c>
      <c r="T449" s="5" t="s">
        <v>887</v>
      </c>
    </row>
    <row r="450" spans="8:20" x14ac:dyDescent="0.3">
      <c r="H450" s="7" t="s">
        <v>26</v>
      </c>
      <c r="I450" s="8">
        <v>212</v>
      </c>
      <c r="J450" s="8">
        <v>212</v>
      </c>
      <c r="K450" s="8">
        <v>126</v>
      </c>
      <c r="L450" s="8">
        <v>0</v>
      </c>
      <c r="M450" s="8">
        <v>0</v>
      </c>
      <c r="O450" s="7" t="s">
        <v>26</v>
      </c>
      <c r="P450" s="8">
        <v>164</v>
      </c>
      <c r="Q450" s="8">
        <v>149</v>
      </c>
      <c r="R450" s="8">
        <v>10</v>
      </c>
      <c r="S450" s="186">
        <v>0</v>
      </c>
      <c r="T450" s="8">
        <v>5</v>
      </c>
    </row>
    <row r="451" spans="8:20" x14ac:dyDescent="0.3">
      <c r="H451" s="9" t="s">
        <v>27</v>
      </c>
      <c r="I451" s="10">
        <v>167</v>
      </c>
      <c r="J451" s="10">
        <v>167</v>
      </c>
      <c r="K451" s="10">
        <v>96</v>
      </c>
      <c r="L451" s="10">
        <v>0</v>
      </c>
      <c r="M451" s="10">
        <v>0</v>
      </c>
      <c r="O451" s="9" t="s">
        <v>27</v>
      </c>
      <c r="P451" s="10">
        <v>45</v>
      </c>
      <c r="Q451" s="10">
        <v>32</v>
      </c>
      <c r="R451" s="10">
        <v>9</v>
      </c>
      <c r="S451" s="188">
        <v>0</v>
      </c>
      <c r="T451" s="10">
        <v>4</v>
      </c>
    </row>
    <row r="452" spans="8:20" x14ac:dyDescent="0.3">
      <c r="H452" s="9" t="s">
        <v>28</v>
      </c>
      <c r="I452" s="10">
        <v>11</v>
      </c>
      <c r="J452" s="10">
        <v>11</v>
      </c>
      <c r="K452" s="10">
        <v>10</v>
      </c>
      <c r="L452" s="10">
        <v>0</v>
      </c>
      <c r="M452" s="10">
        <v>0</v>
      </c>
      <c r="O452" s="9" t="s">
        <v>28</v>
      </c>
      <c r="P452" s="10">
        <v>3</v>
      </c>
      <c r="Q452" s="10">
        <v>3</v>
      </c>
      <c r="R452" s="10">
        <v>0</v>
      </c>
      <c r="S452" s="188">
        <v>0</v>
      </c>
      <c r="T452" s="10">
        <v>0</v>
      </c>
    </row>
    <row r="453" spans="8:20" x14ac:dyDescent="0.3"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O453" s="9" t="s">
        <v>29</v>
      </c>
      <c r="P453" s="10">
        <v>0</v>
      </c>
      <c r="Q453" s="10">
        <v>0</v>
      </c>
      <c r="R453" s="10">
        <v>0</v>
      </c>
      <c r="S453" s="188">
        <v>0</v>
      </c>
      <c r="T453" s="10">
        <v>0</v>
      </c>
    </row>
    <row r="454" spans="8:20" x14ac:dyDescent="0.3">
      <c r="H454" s="9" t="s">
        <v>30</v>
      </c>
      <c r="I454" s="10">
        <v>34</v>
      </c>
      <c r="J454" s="10">
        <v>34</v>
      </c>
      <c r="K454" s="10">
        <v>20</v>
      </c>
      <c r="L454" s="10">
        <v>0</v>
      </c>
      <c r="M454" s="10">
        <v>0</v>
      </c>
      <c r="O454" s="9" t="s">
        <v>30</v>
      </c>
      <c r="P454" s="10">
        <v>116</v>
      </c>
      <c r="Q454" s="10">
        <v>114</v>
      </c>
      <c r="R454" s="10">
        <v>1</v>
      </c>
      <c r="S454" s="188">
        <v>0</v>
      </c>
      <c r="T454" s="10">
        <v>1</v>
      </c>
    </row>
    <row r="455" spans="8:20" x14ac:dyDescent="0.3"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O455" s="9" t="s">
        <v>31</v>
      </c>
      <c r="P455" s="10">
        <v>0</v>
      </c>
      <c r="Q455" s="10">
        <v>0</v>
      </c>
      <c r="R455" s="10">
        <v>0</v>
      </c>
      <c r="S455" s="188">
        <v>0</v>
      </c>
      <c r="T455" s="10">
        <v>0</v>
      </c>
    </row>
    <row r="456" spans="8:20" x14ac:dyDescent="0.3">
      <c r="H456" s="11" t="s">
        <v>32</v>
      </c>
      <c r="I456" s="12">
        <v>7</v>
      </c>
      <c r="J456" s="12">
        <v>7</v>
      </c>
      <c r="K456" s="12">
        <v>9</v>
      </c>
      <c r="L456" s="12">
        <v>0</v>
      </c>
      <c r="M456" s="12">
        <v>0</v>
      </c>
      <c r="O456" s="11" t="s">
        <v>32</v>
      </c>
      <c r="P456" s="12">
        <v>6</v>
      </c>
      <c r="Q456" s="12">
        <v>4</v>
      </c>
      <c r="R456" s="12">
        <v>1</v>
      </c>
      <c r="S456" s="190">
        <v>0</v>
      </c>
      <c r="T456" s="12">
        <v>1</v>
      </c>
    </row>
    <row r="457" spans="8:20" x14ac:dyDescent="0.3">
      <c r="H457" s="13" t="s">
        <v>33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O457" s="13" t="s">
        <v>33</v>
      </c>
      <c r="P457" s="14">
        <v>0</v>
      </c>
      <c r="Q457" s="14">
        <v>0</v>
      </c>
      <c r="R457" s="14">
        <v>0</v>
      </c>
      <c r="S457" s="192">
        <v>0</v>
      </c>
      <c r="T457" s="14">
        <v>0</v>
      </c>
    </row>
    <row r="458" spans="8:20" x14ac:dyDescent="0.3">
      <c r="H458" s="13" t="s">
        <v>34</v>
      </c>
      <c r="I458" s="14">
        <v>7</v>
      </c>
      <c r="J458" s="14">
        <v>7</v>
      </c>
      <c r="K458" s="14">
        <v>9</v>
      </c>
      <c r="L458" s="14">
        <v>0</v>
      </c>
      <c r="M458" s="14">
        <v>0</v>
      </c>
      <c r="O458" s="13" t="s">
        <v>34</v>
      </c>
      <c r="P458" s="14">
        <v>6</v>
      </c>
      <c r="Q458" s="14">
        <v>4</v>
      </c>
      <c r="R458" s="14">
        <v>1</v>
      </c>
      <c r="S458" s="192">
        <v>0</v>
      </c>
      <c r="T458" s="14">
        <v>1</v>
      </c>
    </row>
    <row r="459" spans="8:20" x14ac:dyDescent="0.3"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O459" s="15" t="s">
        <v>35</v>
      </c>
      <c r="P459" s="16">
        <v>29</v>
      </c>
      <c r="Q459" s="16">
        <v>12</v>
      </c>
      <c r="R459" s="16">
        <v>7</v>
      </c>
      <c r="S459" s="194">
        <v>0</v>
      </c>
      <c r="T459" s="16">
        <v>10</v>
      </c>
    </row>
    <row r="460" spans="8:20" x14ac:dyDescent="0.3"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  <c r="O460" s="17" t="s">
        <v>36</v>
      </c>
      <c r="P460" s="138">
        <v>0</v>
      </c>
      <c r="Q460" s="138">
        <v>0</v>
      </c>
      <c r="R460" s="138">
        <v>0</v>
      </c>
      <c r="S460" s="196">
        <v>0</v>
      </c>
      <c r="T460" s="138">
        <v>0</v>
      </c>
    </row>
    <row r="461" spans="8:20" x14ac:dyDescent="0.3"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  <c r="O461" s="17" t="s">
        <v>37</v>
      </c>
      <c r="P461" s="138">
        <v>29</v>
      </c>
      <c r="Q461" s="138">
        <v>12</v>
      </c>
      <c r="R461" s="138">
        <v>7</v>
      </c>
      <c r="S461" s="196">
        <v>0</v>
      </c>
      <c r="T461" s="138">
        <v>10</v>
      </c>
    </row>
    <row r="462" spans="8:20" x14ac:dyDescent="0.3">
      <c r="H462" s="17" t="s">
        <v>38</v>
      </c>
      <c r="I462" s="175" t="s">
        <v>1644</v>
      </c>
      <c r="J462" s="176"/>
      <c r="K462" s="176"/>
      <c r="L462" s="176"/>
      <c r="M462" s="176"/>
      <c r="O462" s="17" t="s">
        <v>38</v>
      </c>
      <c r="P462" s="172" t="s">
        <v>2018</v>
      </c>
      <c r="Q462" s="173"/>
      <c r="R462" s="173"/>
      <c r="S462" s="173"/>
      <c r="T462" s="173"/>
    </row>
    <row r="463" spans="8:20" ht="19.8" x14ac:dyDescent="0.3">
      <c r="H463" s="170">
        <v>46139</v>
      </c>
      <c r="I463" s="170"/>
      <c r="J463" s="170"/>
      <c r="K463" s="170"/>
      <c r="L463" s="170"/>
      <c r="M463" s="170"/>
      <c r="O463" s="171">
        <v>46170</v>
      </c>
      <c r="P463" s="174"/>
      <c r="Q463" s="174"/>
      <c r="R463" s="174"/>
      <c r="S463" s="174"/>
      <c r="T463" s="174"/>
    </row>
    <row r="464" spans="8:20" x14ac:dyDescent="0.3"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871</v>
      </c>
      <c r="O464" s="179" t="s">
        <v>0</v>
      </c>
      <c r="P464" s="179" t="s">
        <v>1</v>
      </c>
      <c r="Q464" s="179" t="s">
        <v>2</v>
      </c>
      <c r="R464" s="179" t="s">
        <v>3</v>
      </c>
      <c r="S464" s="179" t="s">
        <v>40</v>
      </c>
      <c r="T464" s="179" t="s">
        <v>4</v>
      </c>
    </row>
    <row r="465" spans="8:20" x14ac:dyDescent="0.3">
      <c r="H465" s="2" t="s">
        <v>5</v>
      </c>
      <c r="I465" s="3">
        <v>2752</v>
      </c>
      <c r="J465" s="3">
        <v>1455</v>
      </c>
      <c r="K465" s="3">
        <v>1209</v>
      </c>
      <c r="L465" s="3">
        <v>88</v>
      </c>
      <c r="M465" s="3">
        <v>0</v>
      </c>
      <c r="O465" s="180" t="s">
        <v>5</v>
      </c>
      <c r="P465" s="181">
        <v>4858</v>
      </c>
      <c r="Q465" s="181">
        <v>1822</v>
      </c>
      <c r="R465" s="181">
        <v>1619</v>
      </c>
      <c r="S465" s="181">
        <v>0</v>
      </c>
      <c r="T465" s="181">
        <v>1417</v>
      </c>
    </row>
    <row r="466" spans="8:20" x14ac:dyDescent="0.3">
      <c r="H466" s="2" t="s">
        <v>6</v>
      </c>
      <c r="I466" s="3">
        <v>558</v>
      </c>
      <c r="J466" s="5">
        <v>443</v>
      </c>
      <c r="K466" s="4">
        <v>56</v>
      </c>
      <c r="L466" s="6">
        <v>59</v>
      </c>
      <c r="M466" s="3">
        <v>0</v>
      </c>
      <c r="O466" s="180" t="s">
        <v>6</v>
      </c>
      <c r="P466" s="181">
        <v>103</v>
      </c>
      <c r="Q466" s="183">
        <v>62</v>
      </c>
      <c r="R466" s="182">
        <v>13</v>
      </c>
      <c r="S466" s="181">
        <v>0</v>
      </c>
      <c r="T466" s="184">
        <v>28</v>
      </c>
    </row>
    <row r="467" spans="8:20" x14ac:dyDescent="0.3">
      <c r="H467" s="2" t="s">
        <v>7</v>
      </c>
      <c r="I467" s="3" t="s">
        <v>1682</v>
      </c>
      <c r="J467" s="6" t="s">
        <v>1683</v>
      </c>
      <c r="K467" s="4" t="s">
        <v>837</v>
      </c>
      <c r="L467" s="5" t="s">
        <v>1684</v>
      </c>
      <c r="M467" s="3">
        <v>0</v>
      </c>
      <c r="O467" s="180" t="s">
        <v>7</v>
      </c>
      <c r="P467" s="181" t="s">
        <v>126</v>
      </c>
      <c r="Q467" s="183" t="s">
        <v>456</v>
      </c>
      <c r="R467" s="182" t="s">
        <v>233</v>
      </c>
      <c r="S467" s="181">
        <v>0</v>
      </c>
      <c r="T467" s="184" t="s">
        <v>724</v>
      </c>
    </row>
    <row r="468" spans="8:20" x14ac:dyDescent="0.3">
      <c r="H468" s="2" t="s">
        <v>12</v>
      </c>
      <c r="I468" s="3" t="s">
        <v>1685</v>
      </c>
      <c r="J468" s="6" t="s">
        <v>1686</v>
      </c>
      <c r="K468" s="4" t="s">
        <v>114</v>
      </c>
      <c r="L468" s="5" t="s">
        <v>1687</v>
      </c>
      <c r="M468" s="3">
        <v>0</v>
      </c>
      <c r="O468" s="180" t="s">
        <v>12</v>
      </c>
      <c r="P468" s="181" t="s">
        <v>117</v>
      </c>
      <c r="Q468" s="183" t="s">
        <v>71</v>
      </c>
      <c r="R468" s="182" t="s">
        <v>87</v>
      </c>
      <c r="S468" s="181">
        <v>0</v>
      </c>
      <c r="T468" s="184" t="s">
        <v>544</v>
      </c>
    </row>
    <row r="469" spans="8:20" x14ac:dyDescent="0.3">
      <c r="H469" s="2" t="s">
        <v>17</v>
      </c>
      <c r="I469" s="3" t="s">
        <v>239</v>
      </c>
      <c r="J469" s="6" t="s">
        <v>830</v>
      </c>
      <c r="K469" s="4" t="s">
        <v>156</v>
      </c>
      <c r="L469" s="5" t="s">
        <v>1616</v>
      </c>
      <c r="M469" s="3" t="s">
        <v>25</v>
      </c>
      <c r="O469" s="180" t="s">
        <v>17</v>
      </c>
      <c r="P469" s="181" t="s">
        <v>200</v>
      </c>
      <c r="Q469" s="183" t="s">
        <v>76</v>
      </c>
      <c r="R469" s="182" t="s">
        <v>136</v>
      </c>
      <c r="S469" s="181" t="s">
        <v>25</v>
      </c>
      <c r="T469" s="184" t="s">
        <v>78</v>
      </c>
    </row>
    <row r="470" spans="8:20" x14ac:dyDescent="0.3"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  <c r="O470" s="180" t="s">
        <v>22</v>
      </c>
      <c r="P470" s="181" t="s">
        <v>371</v>
      </c>
      <c r="Q470" s="183" t="s">
        <v>850</v>
      </c>
      <c r="R470" s="182" t="s">
        <v>80</v>
      </c>
      <c r="S470" s="181" t="s">
        <v>25</v>
      </c>
      <c r="T470" s="184" t="s">
        <v>1087</v>
      </c>
    </row>
    <row r="471" spans="8:20" x14ac:dyDescent="0.3">
      <c r="H471" s="7" t="s">
        <v>26</v>
      </c>
      <c r="I471" s="8">
        <v>522</v>
      </c>
      <c r="J471" s="8">
        <v>422</v>
      </c>
      <c r="K471" s="8">
        <v>43</v>
      </c>
      <c r="L471" s="8">
        <v>57</v>
      </c>
      <c r="M471" s="8">
        <v>0</v>
      </c>
      <c r="O471" s="185" t="s">
        <v>26</v>
      </c>
      <c r="P471" s="186">
        <v>85</v>
      </c>
      <c r="Q471" s="186">
        <v>53</v>
      </c>
      <c r="R471" s="186">
        <v>10</v>
      </c>
      <c r="S471" s="186">
        <v>0</v>
      </c>
      <c r="T471" s="186">
        <v>22</v>
      </c>
    </row>
    <row r="472" spans="8:20" x14ac:dyDescent="0.3">
      <c r="H472" s="9" t="s">
        <v>27</v>
      </c>
      <c r="I472" s="10">
        <v>437</v>
      </c>
      <c r="J472" s="10">
        <v>373</v>
      </c>
      <c r="K472" s="10">
        <v>43</v>
      </c>
      <c r="L472" s="10">
        <v>21</v>
      </c>
      <c r="M472" s="10">
        <v>0</v>
      </c>
      <c r="O472" s="187" t="s">
        <v>27</v>
      </c>
      <c r="P472" s="188">
        <v>57</v>
      </c>
      <c r="Q472" s="188">
        <v>25</v>
      </c>
      <c r="R472" s="188">
        <v>10</v>
      </c>
      <c r="S472" s="188">
        <v>0</v>
      </c>
      <c r="T472" s="188">
        <v>22</v>
      </c>
    </row>
    <row r="473" spans="8:20" x14ac:dyDescent="0.3">
      <c r="H473" s="9" t="s">
        <v>28</v>
      </c>
      <c r="I473" s="10">
        <v>2</v>
      </c>
      <c r="J473" s="10">
        <v>2</v>
      </c>
      <c r="K473" s="10">
        <v>0</v>
      </c>
      <c r="L473" s="10">
        <v>0</v>
      </c>
      <c r="M473" s="10">
        <v>0</v>
      </c>
      <c r="O473" s="187" t="s">
        <v>28</v>
      </c>
      <c r="P473" s="188">
        <v>2</v>
      </c>
      <c r="Q473" s="188">
        <v>2</v>
      </c>
      <c r="R473" s="188">
        <v>0</v>
      </c>
      <c r="S473" s="188">
        <v>0</v>
      </c>
      <c r="T473" s="188">
        <v>0</v>
      </c>
    </row>
    <row r="474" spans="8:20" x14ac:dyDescent="0.3"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O474" s="187" t="s">
        <v>29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</row>
    <row r="475" spans="8:20" x14ac:dyDescent="0.3">
      <c r="H475" s="9" t="s">
        <v>30</v>
      </c>
      <c r="I475" s="10">
        <v>83</v>
      </c>
      <c r="J475" s="10">
        <v>47</v>
      </c>
      <c r="K475" s="10">
        <v>0</v>
      </c>
      <c r="L475" s="10">
        <v>36</v>
      </c>
      <c r="M475" s="10">
        <v>0</v>
      </c>
      <c r="O475" s="187" t="s">
        <v>30</v>
      </c>
      <c r="P475" s="188">
        <v>26</v>
      </c>
      <c r="Q475" s="188">
        <v>26</v>
      </c>
      <c r="R475" s="188">
        <v>0</v>
      </c>
      <c r="S475" s="188">
        <v>0</v>
      </c>
      <c r="T475" s="188">
        <v>0</v>
      </c>
    </row>
    <row r="476" spans="8:20" x14ac:dyDescent="0.3"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0</v>
      </c>
      <c r="Q476" s="188">
        <v>0</v>
      </c>
      <c r="R476" s="188">
        <v>0</v>
      </c>
      <c r="S476" s="188">
        <v>0</v>
      </c>
      <c r="T476" s="188">
        <v>0</v>
      </c>
    </row>
    <row r="477" spans="8:20" x14ac:dyDescent="0.3">
      <c r="H477" s="11" t="s">
        <v>32</v>
      </c>
      <c r="I477" s="12">
        <v>37</v>
      </c>
      <c r="J477" s="12">
        <v>21</v>
      </c>
      <c r="K477" s="12">
        <v>13</v>
      </c>
      <c r="L477" s="12">
        <v>3</v>
      </c>
      <c r="M477" s="12">
        <v>0</v>
      </c>
      <c r="O477" s="189" t="s">
        <v>32</v>
      </c>
      <c r="P477" s="190">
        <v>18</v>
      </c>
      <c r="Q477" s="190">
        <v>9</v>
      </c>
      <c r="R477" s="190">
        <v>3</v>
      </c>
      <c r="S477" s="190">
        <v>0</v>
      </c>
      <c r="T477" s="190">
        <v>6</v>
      </c>
    </row>
    <row r="478" spans="8:20" x14ac:dyDescent="0.3">
      <c r="H478" s="13" t="s">
        <v>33</v>
      </c>
      <c r="I478" s="14">
        <v>3</v>
      </c>
      <c r="J478" s="14">
        <v>1</v>
      </c>
      <c r="K478" s="14">
        <v>0</v>
      </c>
      <c r="L478" s="14">
        <v>2</v>
      </c>
      <c r="M478" s="14">
        <v>0</v>
      </c>
      <c r="O478" s="191" t="s">
        <v>33</v>
      </c>
      <c r="P478" s="192">
        <v>4</v>
      </c>
      <c r="Q478" s="192">
        <v>2</v>
      </c>
      <c r="R478" s="192">
        <v>0</v>
      </c>
      <c r="S478" s="192">
        <v>0</v>
      </c>
      <c r="T478" s="192">
        <v>2</v>
      </c>
    </row>
    <row r="479" spans="8:20" x14ac:dyDescent="0.3">
      <c r="H479" s="13" t="s">
        <v>34</v>
      </c>
      <c r="I479" s="14">
        <v>34</v>
      </c>
      <c r="J479" s="14">
        <v>20</v>
      </c>
      <c r="K479" s="14">
        <v>13</v>
      </c>
      <c r="L479" s="14">
        <v>1</v>
      </c>
      <c r="M479" s="14">
        <v>0</v>
      </c>
      <c r="O479" s="191" t="s">
        <v>34</v>
      </c>
      <c r="P479" s="192">
        <v>14</v>
      </c>
      <c r="Q479" s="192">
        <v>7</v>
      </c>
      <c r="R479" s="192">
        <v>3</v>
      </c>
      <c r="S479" s="192">
        <v>0</v>
      </c>
      <c r="T479" s="192">
        <v>4</v>
      </c>
    </row>
    <row r="480" spans="8:20" x14ac:dyDescent="0.3"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O480" s="193" t="s">
        <v>35</v>
      </c>
      <c r="P480" s="194">
        <v>40</v>
      </c>
      <c r="Q480" s="194">
        <v>17</v>
      </c>
      <c r="R480" s="194">
        <v>12</v>
      </c>
      <c r="S480" s="194">
        <v>0</v>
      </c>
      <c r="T480" s="194">
        <v>11</v>
      </c>
    </row>
    <row r="481" spans="8:20" x14ac:dyDescent="0.3"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  <c r="O481" s="195" t="s">
        <v>36</v>
      </c>
      <c r="P481" s="196">
        <v>0</v>
      </c>
      <c r="Q481" s="196">
        <v>0</v>
      </c>
      <c r="R481" s="196">
        <v>0</v>
      </c>
      <c r="S481" s="196">
        <v>0</v>
      </c>
      <c r="T481" s="196">
        <v>0</v>
      </c>
    </row>
    <row r="482" spans="8:20" x14ac:dyDescent="0.3"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  <c r="O482" s="195" t="s">
        <v>37</v>
      </c>
      <c r="P482" s="196">
        <v>40</v>
      </c>
      <c r="Q482" s="196">
        <v>17</v>
      </c>
      <c r="R482" s="196">
        <v>12</v>
      </c>
      <c r="S482" s="196">
        <v>0</v>
      </c>
      <c r="T482" s="196">
        <v>11</v>
      </c>
    </row>
    <row r="483" spans="8:20" x14ac:dyDescent="0.3">
      <c r="H483" s="17" t="s">
        <v>38</v>
      </c>
      <c r="I483" s="175" t="s">
        <v>1688</v>
      </c>
      <c r="J483" s="176"/>
      <c r="K483" s="176"/>
      <c r="L483" s="176"/>
      <c r="M483" s="176"/>
      <c r="O483" s="195" t="s">
        <v>38</v>
      </c>
      <c r="P483" s="172" t="s">
        <v>2024</v>
      </c>
      <c r="Q483" s="173"/>
      <c r="R483" s="173"/>
      <c r="S483" s="173"/>
      <c r="T483" s="173"/>
    </row>
    <row r="484" spans="8:20" ht="19.8" x14ac:dyDescent="0.3">
      <c r="H484" s="171">
        <v>46140</v>
      </c>
      <c r="I484" s="171"/>
      <c r="J484" s="171"/>
      <c r="K484" s="171"/>
      <c r="L484" s="171"/>
      <c r="M484" s="171"/>
    </row>
    <row r="485" spans="8:20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871</v>
      </c>
    </row>
    <row r="486" spans="8:20" x14ac:dyDescent="0.3">
      <c r="H486" s="2" t="s">
        <v>5</v>
      </c>
      <c r="I486" s="3">
        <f>J486+K486+L486+M486</f>
        <v>5953</v>
      </c>
      <c r="J486" s="3">
        <v>2374</v>
      </c>
      <c r="K486" s="3">
        <v>2018</v>
      </c>
      <c r="L486" s="3">
        <v>508</v>
      </c>
      <c r="M486" s="3">
        <v>1053</v>
      </c>
    </row>
    <row r="487" spans="8:20" x14ac:dyDescent="0.3">
      <c r="H487" s="2" t="s">
        <v>6</v>
      </c>
      <c r="I487" s="3">
        <f>J487+K487+L487+M487</f>
        <v>805</v>
      </c>
      <c r="J487" s="5">
        <v>392</v>
      </c>
      <c r="K487" s="4">
        <v>31</v>
      </c>
      <c r="L487" s="6">
        <v>224</v>
      </c>
      <c r="M487" s="4">
        <v>158</v>
      </c>
    </row>
    <row r="488" spans="8:20" x14ac:dyDescent="0.3">
      <c r="H488" s="2" t="s">
        <v>7</v>
      </c>
      <c r="I488" s="48">
        <f>I487/I486</f>
        <v>0.13522593650260373</v>
      </c>
      <c r="J488" s="6" t="s">
        <v>1065</v>
      </c>
      <c r="K488" s="4" t="s">
        <v>510</v>
      </c>
      <c r="L488" s="5" t="s">
        <v>1701</v>
      </c>
      <c r="M488" s="6" t="s">
        <v>1714</v>
      </c>
    </row>
    <row r="489" spans="8:20" x14ac:dyDescent="0.3">
      <c r="H489" s="2" t="s">
        <v>12</v>
      </c>
      <c r="I489" s="48">
        <f>I492/I486</f>
        <v>9.5246094406181758E-2</v>
      </c>
      <c r="J489" s="6" t="s">
        <v>344</v>
      </c>
      <c r="K489" s="4" t="s">
        <v>99</v>
      </c>
      <c r="L489" s="5" t="s">
        <v>1702</v>
      </c>
      <c r="M489" s="5" t="s">
        <v>1715</v>
      </c>
    </row>
    <row r="490" spans="8:20" x14ac:dyDescent="0.3">
      <c r="H490" s="2" t="s">
        <v>17</v>
      </c>
      <c r="I490" s="48">
        <f>I498/I486</f>
        <v>1.3438602385351923E-2</v>
      </c>
      <c r="J490" s="5" t="s">
        <v>1334</v>
      </c>
      <c r="K490" s="6" t="s">
        <v>239</v>
      </c>
      <c r="L490" s="4" t="s">
        <v>545</v>
      </c>
      <c r="M490" s="4" t="s">
        <v>201</v>
      </c>
    </row>
    <row r="491" spans="8:20" x14ac:dyDescent="0.3">
      <c r="H491" s="2" t="s">
        <v>22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8:20" x14ac:dyDescent="0.3">
      <c r="H492" s="7" t="s">
        <v>26</v>
      </c>
      <c r="I492" s="8">
        <v>567</v>
      </c>
      <c r="J492" s="8">
        <v>343</v>
      </c>
      <c r="K492" s="8">
        <v>4</v>
      </c>
      <c r="L492" s="8">
        <v>220</v>
      </c>
      <c r="M492" s="8">
        <v>134</v>
      </c>
    </row>
    <row r="493" spans="8:20" x14ac:dyDescent="0.3">
      <c r="H493" s="9" t="s">
        <v>27</v>
      </c>
      <c r="I493" s="10">
        <v>413</v>
      </c>
      <c r="J493" s="10">
        <v>316</v>
      </c>
      <c r="K493" s="10">
        <v>4</v>
      </c>
      <c r="L493" s="10">
        <v>93</v>
      </c>
      <c r="M493" s="10">
        <v>125</v>
      </c>
    </row>
    <row r="494" spans="8:20" x14ac:dyDescent="0.3">
      <c r="H494" s="9" t="s">
        <v>28</v>
      </c>
      <c r="I494" s="10">
        <v>3</v>
      </c>
      <c r="J494" s="10">
        <v>3</v>
      </c>
      <c r="K494" s="10">
        <v>0</v>
      </c>
      <c r="L494" s="10">
        <v>0</v>
      </c>
      <c r="M494" s="10">
        <v>1</v>
      </c>
    </row>
    <row r="495" spans="8:20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8:20" x14ac:dyDescent="0.3">
      <c r="H496" s="9" t="s">
        <v>30</v>
      </c>
      <c r="I496" s="10">
        <v>151</v>
      </c>
      <c r="J496" s="10">
        <v>24</v>
      </c>
      <c r="K496" s="10">
        <v>0</v>
      </c>
      <c r="L496" s="10">
        <v>127</v>
      </c>
      <c r="M496" s="10">
        <v>8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80</v>
      </c>
      <c r="J498" s="12">
        <v>49</v>
      </c>
      <c r="K498" s="12">
        <v>27</v>
      </c>
      <c r="L498" s="12">
        <v>4</v>
      </c>
      <c r="M498" s="12">
        <v>24</v>
      </c>
    </row>
    <row r="499" spans="8:13" x14ac:dyDescent="0.3">
      <c r="H499" s="13" t="s">
        <v>33</v>
      </c>
      <c r="I499" s="14">
        <v>9</v>
      </c>
      <c r="J499" s="14">
        <v>5</v>
      </c>
      <c r="K499" s="14">
        <v>2</v>
      </c>
      <c r="L499" s="14">
        <v>2</v>
      </c>
      <c r="M499" s="14">
        <v>4</v>
      </c>
    </row>
    <row r="500" spans="8:13" x14ac:dyDescent="0.3">
      <c r="H500" s="13" t="s">
        <v>34</v>
      </c>
      <c r="I500" s="14">
        <v>71</v>
      </c>
      <c r="J500" s="14">
        <v>44</v>
      </c>
      <c r="K500" s="14">
        <v>25</v>
      </c>
      <c r="L500" s="14">
        <v>2</v>
      </c>
      <c r="M500" s="14">
        <v>20</v>
      </c>
    </row>
    <row r="501" spans="8:13" x14ac:dyDescent="0.3"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8:13" x14ac:dyDescent="0.3"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8:13" x14ac:dyDescent="0.3">
      <c r="H504" s="17" t="s">
        <v>38</v>
      </c>
      <c r="I504" s="172" t="s">
        <v>1688</v>
      </c>
      <c r="J504" s="173"/>
      <c r="K504" s="173"/>
      <c r="L504" s="173"/>
      <c r="M504" s="173"/>
    </row>
    <row r="505" spans="8:13" ht="19.8" x14ac:dyDescent="0.3">
      <c r="H505" s="171">
        <v>46141</v>
      </c>
      <c r="I505" s="174"/>
      <c r="J505" s="174"/>
      <c r="K505" s="174"/>
      <c r="L505" s="174"/>
      <c r="M505" s="174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870</v>
      </c>
      <c r="M506" s="1" t="s">
        <v>871</v>
      </c>
    </row>
    <row r="507" spans="8:13" x14ac:dyDescent="0.3">
      <c r="H507" s="2" t="s">
        <v>5</v>
      </c>
      <c r="I507" s="3">
        <v>4613</v>
      </c>
      <c r="J507" s="3">
        <v>2502</v>
      </c>
      <c r="K507" s="3">
        <v>2111</v>
      </c>
      <c r="L507" s="3">
        <v>0</v>
      </c>
      <c r="M507" s="3">
        <v>1761</v>
      </c>
    </row>
    <row r="508" spans="8:13" x14ac:dyDescent="0.3">
      <c r="H508" s="2" t="s">
        <v>6</v>
      </c>
      <c r="I508" s="3">
        <v>573</v>
      </c>
      <c r="J508" s="5">
        <v>512</v>
      </c>
      <c r="K508" s="6">
        <v>61</v>
      </c>
      <c r="L508" s="3">
        <v>0</v>
      </c>
      <c r="M508" s="5">
        <v>372</v>
      </c>
    </row>
    <row r="509" spans="8:13" x14ac:dyDescent="0.3">
      <c r="H509" s="2" t="s">
        <v>7</v>
      </c>
      <c r="I509" s="3" t="s">
        <v>1567</v>
      </c>
      <c r="J509" s="5" t="s">
        <v>1747</v>
      </c>
      <c r="K509" s="6" t="s">
        <v>70</v>
      </c>
      <c r="L509" s="3">
        <v>0</v>
      </c>
      <c r="M509" s="5" t="s">
        <v>1756</v>
      </c>
    </row>
    <row r="510" spans="8:13" x14ac:dyDescent="0.3">
      <c r="H510" s="2" t="s">
        <v>12</v>
      </c>
      <c r="I510" s="3" t="s">
        <v>1748</v>
      </c>
      <c r="J510" s="5" t="s">
        <v>1749</v>
      </c>
      <c r="K510" s="6" t="s">
        <v>148</v>
      </c>
      <c r="L510" s="3">
        <v>0</v>
      </c>
      <c r="M510" s="5" t="s">
        <v>1757</v>
      </c>
    </row>
    <row r="511" spans="8:13" x14ac:dyDescent="0.3">
      <c r="H511" s="2" t="s">
        <v>17</v>
      </c>
      <c r="I511" s="3" t="s">
        <v>105</v>
      </c>
      <c r="J511" s="5" t="s">
        <v>1235</v>
      </c>
      <c r="K511" s="6" t="s">
        <v>120</v>
      </c>
      <c r="L511" s="3" t="s">
        <v>25</v>
      </c>
      <c r="M511" s="4" t="s">
        <v>415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451</v>
      </c>
      <c r="J513" s="8">
        <v>441</v>
      </c>
      <c r="K513" s="8">
        <v>10</v>
      </c>
      <c r="L513" s="8">
        <v>0</v>
      </c>
      <c r="M513" s="8">
        <v>313</v>
      </c>
    </row>
    <row r="514" spans="8:13" x14ac:dyDescent="0.3">
      <c r="H514" s="9" t="s">
        <v>27</v>
      </c>
      <c r="I514" s="10">
        <v>411</v>
      </c>
      <c r="J514" s="10">
        <v>402</v>
      </c>
      <c r="K514" s="10">
        <v>9</v>
      </c>
      <c r="L514" s="10">
        <v>0</v>
      </c>
      <c r="M514" s="10">
        <v>300</v>
      </c>
    </row>
    <row r="515" spans="8:13" x14ac:dyDescent="0.3">
      <c r="H515" s="9" t="s">
        <v>28</v>
      </c>
      <c r="I515" s="10">
        <v>9</v>
      </c>
      <c r="J515" s="10">
        <v>9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31</v>
      </c>
      <c r="J517" s="10">
        <v>30</v>
      </c>
      <c r="K517" s="10">
        <v>1</v>
      </c>
      <c r="L517" s="10">
        <v>0</v>
      </c>
      <c r="M517" s="10">
        <v>13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122</v>
      </c>
      <c r="J519" s="12">
        <v>71</v>
      </c>
      <c r="K519" s="12">
        <v>51</v>
      </c>
      <c r="L519" s="12">
        <v>0</v>
      </c>
      <c r="M519" s="12">
        <v>59</v>
      </c>
    </row>
    <row r="520" spans="8:13" x14ac:dyDescent="0.3">
      <c r="H520" s="13" t="s">
        <v>33</v>
      </c>
      <c r="I520" s="14">
        <v>58</v>
      </c>
      <c r="J520" s="14">
        <v>37</v>
      </c>
      <c r="K520" s="14">
        <v>21</v>
      </c>
      <c r="L520" s="14">
        <v>0</v>
      </c>
      <c r="M520" s="14">
        <v>34</v>
      </c>
    </row>
    <row r="521" spans="8:13" x14ac:dyDescent="0.3">
      <c r="H521" s="13" t="s">
        <v>34</v>
      </c>
      <c r="I521" s="14">
        <v>64</v>
      </c>
      <c r="J521" s="14">
        <v>34</v>
      </c>
      <c r="K521" s="14">
        <v>30</v>
      </c>
      <c r="L521" s="14">
        <v>0</v>
      </c>
      <c r="M521" s="14">
        <v>25</v>
      </c>
    </row>
    <row r="522" spans="8:13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0</v>
      </c>
      <c r="J523" s="109">
        <v>0</v>
      </c>
      <c r="K523" s="109">
        <v>0</v>
      </c>
      <c r="L523" s="112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12">
        <v>0</v>
      </c>
      <c r="M524" s="109">
        <v>0</v>
      </c>
    </row>
    <row r="525" spans="8:13" x14ac:dyDescent="0.3">
      <c r="H525" s="17" t="s">
        <v>38</v>
      </c>
      <c r="I525" s="172" t="s">
        <v>1688</v>
      </c>
      <c r="J525" s="173"/>
      <c r="K525" s="173"/>
      <c r="L525" s="173"/>
      <c r="M525" s="173"/>
    </row>
    <row r="526" spans="8:13" ht="19.8" x14ac:dyDescent="0.3">
      <c r="H526" s="171">
        <v>46142</v>
      </c>
      <c r="I526" s="171"/>
      <c r="J526" s="171"/>
      <c r="K526" s="171"/>
      <c r="L526" s="171"/>
      <c r="M526" s="171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871</v>
      </c>
    </row>
    <row r="528" spans="8:13" x14ac:dyDescent="0.3">
      <c r="H528" s="2" t="s">
        <v>5</v>
      </c>
      <c r="I528" s="3">
        <f>J528+K528+L528+M528</f>
        <v>4882</v>
      </c>
      <c r="J528" s="3">
        <v>1473</v>
      </c>
      <c r="K528" s="3">
        <v>1764</v>
      </c>
      <c r="L528" s="3">
        <v>398</v>
      </c>
      <c r="M528" s="3">
        <v>1247</v>
      </c>
    </row>
    <row r="529" spans="8:13" x14ac:dyDescent="0.3">
      <c r="H529" s="2" t="s">
        <v>6</v>
      </c>
      <c r="I529" s="3">
        <f>J529+K529+L529+M529</f>
        <v>536</v>
      </c>
      <c r="J529" s="5">
        <v>137</v>
      </c>
      <c r="K529" s="6">
        <v>49</v>
      </c>
      <c r="L529" s="4">
        <v>3</v>
      </c>
      <c r="M529" s="5">
        <v>347</v>
      </c>
    </row>
    <row r="530" spans="8:13" x14ac:dyDescent="0.3">
      <c r="H530" s="2" t="s">
        <v>7</v>
      </c>
      <c r="I530" s="48">
        <f>I529/I528</f>
        <v>0.10979106923392053</v>
      </c>
      <c r="J530" s="5" t="s">
        <v>1761</v>
      </c>
      <c r="K530" s="6" t="s">
        <v>1381</v>
      </c>
      <c r="L530" s="4" t="s">
        <v>44</v>
      </c>
      <c r="M530" s="5" t="s">
        <v>1773</v>
      </c>
    </row>
    <row r="531" spans="8:13" x14ac:dyDescent="0.3">
      <c r="H531" s="2" t="s">
        <v>12</v>
      </c>
      <c r="I531" s="48">
        <f>I534/I528</f>
        <v>0.10589922163047931</v>
      </c>
      <c r="J531" s="5" t="s">
        <v>652</v>
      </c>
      <c r="K531" s="6" t="s">
        <v>1045</v>
      </c>
      <c r="L531" s="4" t="s">
        <v>50</v>
      </c>
      <c r="M531" s="5" t="s">
        <v>1774</v>
      </c>
    </row>
    <row r="532" spans="8:13" x14ac:dyDescent="0.3">
      <c r="H532" s="2" t="s">
        <v>17</v>
      </c>
      <c r="I532" s="48">
        <f>I540/I528</f>
        <v>3.6870135190495697E-3</v>
      </c>
      <c r="J532" s="4" t="s">
        <v>310</v>
      </c>
      <c r="K532" s="5" t="s">
        <v>596</v>
      </c>
      <c r="L532" s="6" t="s">
        <v>47</v>
      </c>
      <c r="M532" s="5" t="s">
        <v>491</v>
      </c>
    </row>
    <row r="533" spans="8:13" x14ac:dyDescent="0.3">
      <c r="H533" s="2" t="s">
        <v>22</v>
      </c>
      <c r="I533" s="48">
        <f>I543/I528</f>
        <v>2.0483408439164277E-4</v>
      </c>
      <c r="J533" s="3" t="s">
        <v>25</v>
      </c>
      <c r="K533" s="3" t="s">
        <v>25</v>
      </c>
      <c r="L533" s="5" t="s">
        <v>47</v>
      </c>
      <c r="M533" s="3" t="s">
        <v>25</v>
      </c>
    </row>
    <row r="534" spans="8:13" x14ac:dyDescent="0.3">
      <c r="H534" s="7" t="s">
        <v>26</v>
      </c>
      <c r="I534" s="8">
        <f>J534+K534+L534+M534</f>
        <v>517</v>
      </c>
      <c r="J534" s="8">
        <v>135</v>
      </c>
      <c r="K534" s="8">
        <v>39</v>
      </c>
      <c r="L534" s="8">
        <v>2</v>
      </c>
      <c r="M534" s="8">
        <v>341</v>
      </c>
    </row>
    <row r="535" spans="8:13" x14ac:dyDescent="0.3">
      <c r="H535" s="9" t="s">
        <v>27</v>
      </c>
      <c r="I535" s="10">
        <f>J535+K535+L535+M535</f>
        <v>481</v>
      </c>
      <c r="J535" s="10">
        <v>130</v>
      </c>
      <c r="K535" s="10">
        <v>35</v>
      </c>
      <c r="L535" s="10">
        <v>1</v>
      </c>
      <c r="M535" s="10">
        <v>315</v>
      </c>
    </row>
    <row r="536" spans="8:13" x14ac:dyDescent="0.3">
      <c r="H536" s="9" t="s">
        <v>28</v>
      </c>
      <c r="I536" s="10">
        <f>J536+K536+L536</f>
        <v>4</v>
      </c>
      <c r="J536" s="10">
        <v>1</v>
      </c>
      <c r="K536" s="10">
        <v>2</v>
      </c>
      <c r="L536" s="10">
        <v>1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f>J538+K538+M538</f>
        <v>32</v>
      </c>
      <c r="J538" s="10">
        <v>4</v>
      </c>
      <c r="K538" s="10">
        <v>2</v>
      </c>
      <c r="L538" s="10">
        <v>0</v>
      </c>
      <c r="M538" s="10">
        <v>26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f>J540+K540+L540+M540</f>
        <v>18</v>
      </c>
      <c r="J540" s="12">
        <v>2</v>
      </c>
      <c r="K540" s="12">
        <v>10</v>
      </c>
      <c r="L540" s="12">
        <v>1</v>
      </c>
      <c r="M540" s="12">
        <v>5</v>
      </c>
    </row>
    <row r="541" spans="8:13" x14ac:dyDescent="0.3">
      <c r="H541" s="13" t="s">
        <v>33</v>
      </c>
      <c r="I541" s="14">
        <f>J541+K541+L541+M541</f>
        <v>5</v>
      </c>
      <c r="J541" s="14">
        <v>0</v>
      </c>
      <c r="K541" s="14">
        <v>3</v>
      </c>
      <c r="L541" s="14">
        <v>1</v>
      </c>
      <c r="M541" s="14">
        <v>1</v>
      </c>
    </row>
    <row r="542" spans="8:13" x14ac:dyDescent="0.3">
      <c r="H542" s="13" t="s">
        <v>34</v>
      </c>
      <c r="I542" s="14">
        <f>J542+K542+L542+M542</f>
        <v>13</v>
      </c>
      <c r="J542" s="14">
        <v>2</v>
      </c>
      <c r="K542" s="14">
        <v>7</v>
      </c>
      <c r="L542" s="14">
        <v>0</v>
      </c>
      <c r="M542" s="14">
        <v>4</v>
      </c>
    </row>
    <row r="543" spans="8:13" x14ac:dyDescent="0.3">
      <c r="H543" s="15" t="s">
        <v>35</v>
      </c>
      <c r="I543" s="16">
        <v>1</v>
      </c>
      <c r="J543" s="16">
        <v>0</v>
      </c>
      <c r="K543" s="16">
        <v>0</v>
      </c>
      <c r="L543" s="16">
        <v>1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1</v>
      </c>
      <c r="J545" s="112">
        <v>0</v>
      </c>
      <c r="K545" s="112">
        <v>0</v>
      </c>
      <c r="L545" s="112">
        <v>1</v>
      </c>
      <c r="M545" s="112">
        <v>0</v>
      </c>
    </row>
    <row r="546" spans="8:13" x14ac:dyDescent="0.3">
      <c r="H546" s="17" t="s">
        <v>38</v>
      </c>
      <c r="I546" s="172" t="s">
        <v>1762</v>
      </c>
      <c r="J546" s="173"/>
      <c r="K546" s="173"/>
      <c r="L546" s="173"/>
      <c r="M546" s="173"/>
    </row>
  </sheetData>
  <mergeCells count="138">
    <mergeCell ref="O442:T442"/>
    <mergeCell ref="P462:T462"/>
    <mergeCell ref="O463:T463"/>
    <mergeCell ref="P483:T483"/>
    <mergeCell ref="O169:T169"/>
    <mergeCell ref="P189:T189"/>
    <mergeCell ref="O190:T190"/>
    <mergeCell ref="P210:T210"/>
    <mergeCell ref="O148:T148"/>
    <mergeCell ref="P168:T168"/>
    <mergeCell ref="O106:T106"/>
    <mergeCell ref="P126:T126"/>
    <mergeCell ref="O127:T127"/>
    <mergeCell ref="P147:T147"/>
    <mergeCell ref="P105:T105"/>
    <mergeCell ref="O85:T85"/>
    <mergeCell ref="P84:T84"/>
    <mergeCell ref="O64:T64"/>
    <mergeCell ref="O43:T43"/>
    <mergeCell ref="P63:T63"/>
    <mergeCell ref="O1:T1"/>
    <mergeCell ref="P21:T21"/>
    <mergeCell ref="O22:T22"/>
    <mergeCell ref="P42:T42"/>
    <mergeCell ref="H505:M505"/>
    <mergeCell ref="I525:M525"/>
    <mergeCell ref="H526:M526"/>
    <mergeCell ref="I546:M546"/>
    <mergeCell ref="H400:M400"/>
    <mergeCell ref="I420:M420"/>
    <mergeCell ref="H232:M232"/>
    <mergeCell ref="I252:M252"/>
    <mergeCell ref="H106:M106"/>
    <mergeCell ref="I126:M126"/>
    <mergeCell ref="H190:M190"/>
    <mergeCell ref="I210:M210"/>
    <mergeCell ref="H148:M148"/>
    <mergeCell ref="I168:M168"/>
    <mergeCell ref="H169:M169"/>
    <mergeCell ref="I189:M189"/>
    <mergeCell ref="H253:M253"/>
    <mergeCell ref="I273:M273"/>
    <mergeCell ref="H211:M211"/>
    <mergeCell ref="I231:M231"/>
    <mergeCell ref="I147:M147"/>
    <mergeCell ref="H379:M379"/>
    <mergeCell ref="I399:M399"/>
    <mergeCell ref="H358:M358"/>
    <mergeCell ref="B420:F420"/>
    <mergeCell ref="B21:F21"/>
    <mergeCell ref="A1:F1"/>
    <mergeCell ref="A274:F274"/>
    <mergeCell ref="B294:F294"/>
    <mergeCell ref="A232:F232"/>
    <mergeCell ref="B252:F252"/>
    <mergeCell ref="A253:F253"/>
    <mergeCell ref="B273:F273"/>
    <mergeCell ref="A190:F190"/>
    <mergeCell ref="B210:F210"/>
    <mergeCell ref="B231:F231"/>
    <mergeCell ref="A211:F211"/>
    <mergeCell ref="A127:F127"/>
    <mergeCell ref="B147:F147"/>
    <mergeCell ref="B315:F315"/>
    <mergeCell ref="B42:F42"/>
    <mergeCell ref="A22:F22"/>
    <mergeCell ref="A295:F295"/>
    <mergeCell ref="A169:F169"/>
    <mergeCell ref="B189:F189"/>
    <mergeCell ref="A64:F64"/>
    <mergeCell ref="B84:F84"/>
    <mergeCell ref="B168:F168"/>
    <mergeCell ref="A85:F85"/>
    <mergeCell ref="B105:F105"/>
    <mergeCell ref="A106:F106"/>
    <mergeCell ref="B126:F126"/>
    <mergeCell ref="A148:F148"/>
    <mergeCell ref="A400:F400"/>
    <mergeCell ref="B63:F63"/>
    <mergeCell ref="A43:F43"/>
    <mergeCell ref="A316:F316"/>
    <mergeCell ref="B336:F336"/>
    <mergeCell ref="A379:F379"/>
    <mergeCell ref="B399:F399"/>
    <mergeCell ref="A337:F337"/>
    <mergeCell ref="B357:F357"/>
    <mergeCell ref="A358:F358"/>
    <mergeCell ref="B378:F378"/>
    <mergeCell ref="H1:M1"/>
    <mergeCell ref="I21:M21"/>
    <mergeCell ref="H22:M22"/>
    <mergeCell ref="I42:M42"/>
    <mergeCell ref="H64:M64"/>
    <mergeCell ref="I84:M84"/>
    <mergeCell ref="I63:M63"/>
    <mergeCell ref="H43:M43"/>
    <mergeCell ref="H127:M127"/>
    <mergeCell ref="H85:M85"/>
    <mergeCell ref="I105:M105"/>
    <mergeCell ref="H484:M484"/>
    <mergeCell ref="I504:M504"/>
    <mergeCell ref="I483:M483"/>
    <mergeCell ref="O211:T211"/>
    <mergeCell ref="P231:T231"/>
    <mergeCell ref="O253:T253"/>
    <mergeCell ref="O232:T232"/>
    <mergeCell ref="P252:T252"/>
    <mergeCell ref="P273:T273"/>
    <mergeCell ref="O274:T274"/>
    <mergeCell ref="P294:T294"/>
    <mergeCell ref="I378:M378"/>
    <mergeCell ref="H274:M274"/>
    <mergeCell ref="I294:M294"/>
    <mergeCell ref="H337:M337"/>
    <mergeCell ref="I357:M357"/>
    <mergeCell ref="H295:M295"/>
    <mergeCell ref="I315:M315"/>
    <mergeCell ref="H316:M316"/>
    <mergeCell ref="I336:M336"/>
    <mergeCell ref="O316:T316"/>
    <mergeCell ref="P336:T336"/>
    <mergeCell ref="O295:T295"/>
    <mergeCell ref="P315:T315"/>
    <mergeCell ref="H442:M442"/>
    <mergeCell ref="I462:M462"/>
    <mergeCell ref="H463:M463"/>
    <mergeCell ref="H421:M421"/>
    <mergeCell ref="I441:M441"/>
    <mergeCell ref="O337:T337"/>
    <mergeCell ref="P357:T357"/>
    <mergeCell ref="O358:T358"/>
    <mergeCell ref="P378:T378"/>
    <mergeCell ref="O400:T400"/>
    <mergeCell ref="P420:T420"/>
    <mergeCell ref="O379:T379"/>
    <mergeCell ref="P399:T399"/>
    <mergeCell ref="O421:T421"/>
    <mergeCell ref="P441:T441"/>
  </mergeCells>
  <phoneticPr fontId="1" type="noConversion"/>
  <pageMargins left="0.7" right="0.7" top="0.75" bottom="0.75" header="0.3" footer="0.3"/>
  <pageSetup paperSize="9" orientation="portrait" r:id="rId1"/>
  <ignoredErrors>
    <ignoredError sqref="B362:F3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C1B5-4E4B-428F-9ABA-3F6BAD6E5049}">
  <dimension ref="A1:T546"/>
  <sheetViews>
    <sheetView topLeftCell="A465" zoomScaleNormal="100" workbookViewId="0">
      <selection activeCell="O464" sqref="O464"/>
    </sheetView>
  </sheetViews>
  <sheetFormatPr defaultRowHeight="15" x14ac:dyDescent="0.3"/>
  <sheetData>
    <row r="1" spans="1:20" ht="19.8" x14ac:dyDescent="0.3">
      <c r="A1" s="170">
        <v>46083</v>
      </c>
      <c r="B1" s="168"/>
      <c r="C1" s="168"/>
      <c r="D1" s="168"/>
      <c r="E1" s="168"/>
      <c r="F1" s="168"/>
      <c r="H1" s="170">
        <v>46113</v>
      </c>
      <c r="I1" s="168"/>
      <c r="J1" s="168"/>
      <c r="K1" s="168"/>
      <c r="L1" s="168"/>
      <c r="M1" s="168"/>
      <c r="O1" s="170">
        <v>46143</v>
      </c>
      <c r="P1" s="168"/>
      <c r="Q1" s="168"/>
      <c r="R1" s="168"/>
      <c r="S1" s="168"/>
      <c r="T1" s="168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3442</v>
      </c>
      <c r="C3" s="3">
        <v>964</v>
      </c>
      <c r="D3" s="3">
        <v>891</v>
      </c>
      <c r="E3" s="3">
        <v>779</v>
      </c>
      <c r="F3" s="3">
        <v>808</v>
      </c>
      <c r="H3" s="2" t="s">
        <v>5</v>
      </c>
      <c r="I3" s="3">
        <v>6215</v>
      </c>
      <c r="J3" s="3">
        <v>1650</v>
      </c>
      <c r="K3" s="3">
        <v>1763</v>
      </c>
      <c r="L3" s="3">
        <v>1465</v>
      </c>
      <c r="M3" s="3">
        <v>1337</v>
      </c>
      <c r="O3" s="2" t="s">
        <v>5</v>
      </c>
      <c r="P3" s="3">
        <v>4128</v>
      </c>
      <c r="Q3" s="3">
        <v>1428</v>
      </c>
      <c r="R3" s="3">
        <v>1274</v>
      </c>
      <c r="S3" s="3">
        <v>936</v>
      </c>
      <c r="T3" s="3">
        <v>490</v>
      </c>
    </row>
    <row r="4" spans="1:20" x14ac:dyDescent="0.3">
      <c r="A4" s="2" t="s">
        <v>6</v>
      </c>
      <c r="B4" s="3">
        <v>288</v>
      </c>
      <c r="C4" s="5">
        <v>91</v>
      </c>
      <c r="D4" s="4">
        <v>65</v>
      </c>
      <c r="E4" s="6">
        <v>66</v>
      </c>
      <c r="F4" s="6">
        <v>66</v>
      </c>
      <c r="H4" s="2" t="s">
        <v>6</v>
      </c>
      <c r="I4" s="3">
        <v>567</v>
      </c>
      <c r="J4" s="6">
        <v>145</v>
      </c>
      <c r="K4" s="5">
        <v>160</v>
      </c>
      <c r="L4" s="4">
        <v>138</v>
      </c>
      <c r="M4" s="3">
        <v>124</v>
      </c>
      <c r="O4" s="2" t="s">
        <v>6</v>
      </c>
      <c r="P4" s="3">
        <v>168</v>
      </c>
      <c r="Q4" s="5">
        <v>74</v>
      </c>
      <c r="R4" s="6">
        <v>59</v>
      </c>
      <c r="S4" s="4">
        <v>23</v>
      </c>
      <c r="T4" s="3">
        <v>12</v>
      </c>
    </row>
    <row r="5" spans="1:20" x14ac:dyDescent="0.3">
      <c r="A5" s="2" t="s">
        <v>7</v>
      </c>
      <c r="B5" s="3" t="s">
        <v>90</v>
      </c>
      <c r="C5" s="5" t="s">
        <v>91</v>
      </c>
      <c r="D5" s="3" t="s">
        <v>92</v>
      </c>
      <c r="E5" s="6" t="s">
        <v>93</v>
      </c>
      <c r="F5" s="4" t="s">
        <v>94</v>
      </c>
      <c r="H5" s="2" t="s">
        <v>7</v>
      </c>
      <c r="I5" s="3" t="s">
        <v>1204</v>
      </c>
      <c r="J5" s="3" t="s">
        <v>1205</v>
      </c>
      <c r="K5" s="4" t="s">
        <v>176</v>
      </c>
      <c r="L5" s="5" t="s">
        <v>1206</v>
      </c>
      <c r="M5" s="6" t="s">
        <v>846</v>
      </c>
      <c r="O5" s="2" t="s">
        <v>7</v>
      </c>
      <c r="P5" s="3" t="s">
        <v>1536</v>
      </c>
      <c r="Q5" s="5" t="s">
        <v>917</v>
      </c>
      <c r="R5" s="6" t="s">
        <v>837</v>
      </c>
      <c r="S5" s="4" t="s">
        <v>577</v>
      </c>
      <c r="T5" s="3" t="s">
        <v>1214</v>
      </c>
    </row>
    <row r="6" spans="1:20" x14ac:dyDescent="0.3">
      <c r="A6" s="2" t="s">
        <v>12</v>
      </c>
      <c r="B6" s="3" t="s">
        <v>95</v>
      </c>
      <c r="C6" s="5" t="s">
        <v>96</v>
      </c>
      <c r="D6" s="3" t="s">
        <v>97</v>
      </c>
      <c r="E6" s="6" t="s">
        <v>98</v>
      </c>
      <c r="F6" s="4" t="s">
        <v>94</v>
      </c>
      <c r="H6" s="2" t="s">
        <v>12</v>
      </c>
      <c r="I6" s="3" t="s">
        <v>1207</v>
      </c>
      <c r="J6" s="4" t="s">
        <v>1009</v>
      </c>
      <c r="K6" s="3" t="s">
        <v>1208</v>
      </c>
      <c r="L6" s="5" t="s">
        <v>1206</v>
      </c>
      <c r="M6" s="6" t="s">
        <v>610</v>
      </c>
      <c r="O6" s="2" t="s">
        <v>12</v>
      </c>
      <c r="P6" s="3" t="s">
        <v>1518</v>
      </c>
      <c r="Q6" s="3" t="s">
        <v>236</v>
      </c>
      <c r="R6" s="5" t="s">
        <v>660</v>
      </c>
      <c r="S6" s="4" t="s">
        <v>1019</v>
      </c>
      <c r="T6" s="6" t="s">
        <v>1214</v>
      </c>
    </row>
    <row r="7" spans="1:20" x14ac:dyDescent="0.3">
      <c r="A7" s="2" t="s">
        <v>17</v>
      </c>
      <c r="B7" s="3" t="s">
        <v>99</v>
      </c>
      <c r="C7" s="3" t="s">
        <v>81</v>
      </c>
      <c r="D7" s="5" t="s">
        <v>100</v>
      </c>
      <c r="E7" s="6" t="s">
        <v>101</v>
      </c>
      <c r="F7" s="4" t="s">
        <v>102</v>
      </c>
      <c r="H7" s="2" t="s">
        <v>17</v>
      </c>
      <c r="I7" s="3" t="s">
        <v>77</v>
      </c>
      <c r="J7" s="3" t="s">
        <v>268</v>
      </c>
      <c r="K7" s="5" t="s">
        <v>491</v>
      </c>
      <c r="L7" s="4" t="s">
        <v>138</v>
      </c>
      <c r="M7" s="6" t="s">
        <v>147</v>
      </c>
      <c r="O7" s="2" t="s">
        <v>17</v>
      </c>
      <c r="P7" s="3" t="s">
        <v>544</v>
      </c>
      <c r="Q7" s="5" t="s">
        <v>1778</v>
      </c>
      <c r="R7" s="4" t="s">
        <v>74</v>
      </c>
      <c r="S7" s="3" t="s">
        <v>77</v>
      </c>
      <c r="T7" s="6" t="s">
        <v>507</v>
      </c>
    </row>
    <row r="8" spans="1:20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282</v>
      </c>
      <c r="C9" s="8">
        <v>89</v>
      </c>
      <c r="D9" s="8">
        <v>62</v>
      </c>
      <c r="E9" s="8">
        <v>65</v>
      </c>
      <c r="F9" s="8">
        <v>66</v>
      </c>
      <c r="H9" s="7" t="s">
        <v>26</v>
      </c>
      <c r="I9" s="8">
        <v>555</v>
      </c>
      <c r="J9" s="8">
        <v>144</v>
      </c>
      <c r="K9" s="8">
        <v>153</v>
      </c>
      <c r="L9" s="8">
        <v>138</v>
      </c>
      <c r="M9" s="8">
        <v>120</v>
      </c>
      <c r="O9" s="7" t="s">
        <v>26</v>
      </c>
      <c r="P9" s="8">
        <v>110</v>
      </c>
      <c r="Q9" s="8">
        <v>21</v>
      </c>
      <c r="R9" s="8">
        <v>56</v>
      </c>
      <c r="S9" s="8">
        <v>21</v>
      </c>
      <c r="T9" s="8">
        <v>12</v>
      </c>
    </row>
    <row r="10" spans="1:20" x14ac:dyDescent="0.3">
      <c r="A10" s="9" t="s">
        <v>27</v>
      </c>
      <c r="B10" s="10">
        <v>121</v>
      </c>
      <c r="C10" s="10">
        <v>38</v>
      </c>
      <c r="D10" s="10">
        <v>33</v>
      </c>
      <c r="E10" s="10">
        <v>27</v>
      </c>
      <c r="F10" s="10">
        <v>23</v>
      </c>
      <c r="H10" s="9" t="s">
        <v>27</v>
      </c>
      <c r="I10" s="10">
        <v>230</v>
      </c>
      <c r="J10" s="10">
        <v>56</v>
      </c>
      <c r="K10" s="10">
        <v>61</v>
      </c>
      <c r="L10" s="10">
        <v>59</v>
      </c>
      <c r="M10" s="10">
        <v>54</v>
      </c>
      <c r="O10" s="9" t="s">
        <v>27</v>
      </c>
      <c r="P10" s="10">
        <v>81</v>
      </c>
      <c r="Q10" s="10">
        <v>17</v>
      </c>
      <c r="R10" s="10">
        <v>36</v>
      </c>
      <c r="S10" s="10">
        <v>17</v>
      </c>
      <c r="T10" s="10">
        <v>11</v>
      </c>
    </row>
    <row r="11" spans="1:20" x14ac:dyDescent="0.3">
      <c r="A11" s="9" t="s">
        <v>28</v>
      </c>
      <c r="B11" s="10">
        <v>35</v>
      </c>
      <c r="C11" s="10">
        <v>9</v>
      </c>
      <c r="D11" s="10">
        <v>8</v>
      </c>
      <c r="E11" s="10">
        <v>6</v>
      </c>
      <c r="F11" s="10">
        <v>12</v>
      </c>
      <c r="H11" s="9" t="s">
        <v>28</v>
      </c>
      <c r="I11" s="10">
        <v>71</v>
      </c>
      <c r="J11" s="10">
        <v>19</v>
      </c>
      <c r="K11" s="10">
        <v>23</v>
      </c>
      <c r="L11" s="10">
        <v>18</v>
      </c>
      <c r="M11" s="10">
        <v>11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14</v>
      </c>
      <c r="C12" s="10">
        <v>0</v>
      </c>
      <c r="D12" s="10">
        <v>3</v>
      </c>
      <c r="E12" s="10">
        <v>8</v>
      </c>
      <c r="F12" s="10">
        <v>3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90</v>
      </c>
      <c r="C13" s="10">
        <v>33</v>
      </c>
      <c r="D13" s="10">
        <v>13</v>
      </c>
      <c r="E13" s="10">
        <v>20</v>
      </c>
      <c r="F13" s="10">
        <v>24</v>
      </c>
      <c r="H13" s="9" t="s">
        <v>30</v>
      </c>
      <c r="I13" s="10">
        <v>192</v>
      </c>
      <c r="J13" s="10">
        <v>54</v>
      </c>
      <c r="K13" s="10">
        <v>52</v>
      </c>
      <c r="L13" s="10">
        <v>43</v>
      </c>
      <c r="M13" s="10">
        <v>43</v>
      </c>
      <c r="O13" s="9" t="s">
        <v>30</v>
      </c>
      <c r="P13" s="10">
        <v>29</v>
      </c>
      <c r="Q13" s="10">
        <v>4</v>
      </c>
      <c r="R13" s="10">
        <v>20</v>
      </c>
      <c r="S13" s="10">
        <v>4</v>
      </c>
      <c r="T13" s="10">
        <v>1</v>
      </c>
    </row>
    <row r="14" spans="1:20" x14ac:dyDescent="0.3">
      <c r="A14" s="9" t="s">
        <v>31</v>
      </c>
      <c r="B14" s="10">
        <v>22</v>
      </c>
      <c r="C14" s="10">
        <v>9</v>
      </c>
      <c r="D14" s="10">
        <v>5</v>
      </c>
      <c r="E14" s="10">
        <v>4</v>
      </c>
      <c r="F14" s="10">
        <v>4</v>
      </c>
      <c r="H14" s="9" t="s">
        <v>31</v>
      </c>
      <c r="I14" s="10">
        <v>62</v>
      </c>
      <c r="J14" s="10">
        <v>15</v>
      </c>
      <c r="K14" s="10">
        <v>17</v>
      </c>
      <c r="L14" s="10">
        <v>18</v>
      </c>
      <c r="M14" s="10">
        <v>12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7</v>
      </c>
      <c r="C15" s="12">
        <v>1</v>
      </c>
      <c r="D15" s="12">
        <v>3</v>
      </c>
      <c r="E15" s="12">
        <v>2</v>
      </c>
      <c r="F15" s="12">
        <v>1</v>
      </c>
      <c r="H15" s="11" t="s">
        <v>32</v>
      </c>
      <c r="I15" s="12">
        <v>13</v>
      </c>
      <c r="J15" s="12">
        <v>1</v>
      </c>
      <c r="K15" s="12">
        <v>7</v>
      </c>
      <c r="L15" s="12">
        <v>1</v>
      </c>
      <c r="M15" s="12">
        <v>4</v>
      </c>
      <c r="O15" s="11" t="s">
        <v>32</v>
      </c>
      <c r="P15" s="12">
        <v>64</v>
      </c>
      <c r="Q15" s="12">
        <v>56</v>
      </c>
      <c r="R15" s="12">
        <v>4</v>
      </c>
      <c r="S15" s="12">
        <v>2</v>
      </c>
      <c r="T15" s="12">
        <v>2</v>
      </c>
    </row>
    <row r="16" spans="1:20" x14ac:dyDescent="0.3">
      <c r="A16" s="13" t="s">
        <v>33</v>
      </c>
      <c r="B16" s="14">
        <v>2</v>
      </c>
      <c r="C16" s="14">
        <v>1</v>
      </c>
      <c r="D16" s="14">
        <v>1</v>
      </c>
      <c r="E16" s="14">
        <v>0</v>
      </c>
      <c r="F16" s="14">
        <v>0</v>
      </c>
      <c r="H16" s="13" t="s">
        <v>33</v>
      </c>
      <c r="I16" s="14">
        <v>8</v>
      </c>
      <c r="J16" s="14">
        <v>1</v>
      </c>
      <c r="K16" s="14">
        <v>3</v>
      </c>
      <c r="L16" s="14">
        <v>0</v>
      </c>
      <c r="M16" s="14">
        <v>4</v>
      </c>
      <c r="O16" s="13" t="s">
        <v>33</v>
      </c>
      <c r="P16" s="14">
        <v>55</v>
      </c>
      <c r="Q16" s="14">
        <v>54</v>
      </c>
      <c r="R16" s="14">
        <v>1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5</v>
      </c>
      <c r="C17" s="14">
        <v>0</v>
      </c>
      <c r="D17" s="14">
        <v>2</v>
      </c>
      <c r="E17" s="14">
        <v>2</v>
      </c>
      <c r="F17" s="14">
        <v>1</v>
      </c>
      <c r="H17" s="13" t="s">
        <v>34</v>
      </c>
      <c r="I17" s="14">
        <v>5</v>
      </c>
      <c r="J17" s="14">
        <v>0</v>
      </c>
      <c r="K17" s="14">
        <v>4</v>
      </c>
      <c r="L17" s="14">
        <v>1</v>
      </c>
      <c r="M17" s="14">
        <v>0</v>
      </c>
      <c r="O17" s="13" t="s">
        <v>34</v>
      </c>
      <c r="P17" s="14">
        <v>9</v>
      </c>
      <c r="Q17" s="14">
        <v>2</v>
      </c>
      <c r="R17" s="14">
        <v>3</v>
      </c>
      <c r="S17" s="14">
        <v>2</v>
      </c>
      <c r="T17" s="14">
        <v>2</v>
      </c>
    </row>
    <row r="18" spans="1:20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7" t="s">
        <v>103</v>
      </c>
      <c r="C21" s="168"/>
      <c r="D21" s="168"/>
      <c r="E21" s="168"/>
      <c r="F21" s="168"/>
      <c r="H21" s="17" t="s">
        <v>38</v>
      </c>
      <c r="I21" s="167" t="s">
        <v>103</v>
      </c>
      <c r="J21" s="168"/>
      <c r="K21" s="168"/>
      <c r="L21" s="168"/>
      <c r="M21" s="168"/>
      <c r="O21" s="17" t="s">
        <v>38</v>
      </c>
      <c r="P21" s="167" t="s">
        <v>1779</v>
      </c>
      <c r="Q21" s="168"/>
      <c r="R21" s="168"/>
      <c r="S21" s="168"/>
      <c r="T21" s="168"/>
    </row>
    <row r="22" spans="1:20" ht="19.8" x14ac:dyDescent="0.3">
      <c r="A22" s="170">
        <v>46084</v>
      </c>
      <c r="B22" s="168"/>
      <c r="C22" s="168"/>
      <c r="D22" s="168"/>
      <c r="E22" s="168"/>
      <c r="F22" s="168"/>
      <c r="H22" s="170">
        <v>46114</v>
      </c>
      <c r="I22" s="168"/>
      <c r="J22" s="168"/>
      <c r="K22" s="168"/>
      <c r="L22" s="168"/>
      <c r="M22" s="168"/>
      <c r="O22" s="171">
        <v>46146</v>
      </c>
      <c r="P22" s="171"/>
      <c r="Q22" s="171"/>
      <c r="R22" s="171"/>
      <c r="S22" s="171"/>
      <c r="T22" s="171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870</v>
      </c>
      <c r="T23" s="1" t="s">
        <v>4</v>
      </c>
    </row>
    <row r="24" spans="1:20" x14ac:dyDescent="0.3">
      <c r="A24" s="2" t="s">
        <v>5</v>
      </c>
      <c r="B24" s="3">
        <v>5711</v>
      </c>
      <c r="C24" s="3">
        <v>1508</v>
      </c>
      <c r="D24" s="3">
        <v>1530</v>
      </c>
      <c r="E24" s="3">
        <v>1318</v>
      </c>
      <c r="F24" s="3">
        <v>1355</v>
      </c>
      <c r="H24" s="2" t="s">
        <v>5</v>
      </c>
      <c r="I24" s="3">
        <v>7185</v>
      </c>
      <c r="J24" s="3">
        <v>1856</v>
      </c>
      <c r="K24" s="3">
        <v>2027</v>
      </c>
      <c r="L24" s="3">
        <v>1710</v>
      </c>
      <c r="M24" s="3">
        <v>1592</v>
      </c>
      <c r="O24" s="2" t="s">
        <v>5</v>
      </c>
      <c r="P24" s="3">
        <v>1749</v>
      </c>
      <c r="Q24" s="3">
        <v>675</v>
      </c>
      <c r="R24" s="3">
        <v>571</v>
      </c>
      <c r="S24" s="3">
        <v>0</v>
      </c>
      <c r="T24" s="3">
        <v>503</v>
      </c>
    </row>
    <row r="25" spans="1:20" x14ac:dyDescent="0.3">
      <c r="A25" s="2" t="s">
        <v>6</v>
      </c>
      <c r="B25" s="3">
        <v>689</v>
      </c>
      <c r="C25" s="5">
        <v>297</v>
      </c>
      <c r="D25" s="4">
        <v>122</v>
      </c>
      <c r="E25" s="6">
        <v>135</v>
      </c>
      <c r="F25" s="6">
        <v>135</v>
      </c>
      <c r="H25" s="2" t="s">
        <v>6</v>
      </c>
      <c r="I25" s="3">
        <v>563</v>
      </c>
      <c r="J25" s="5">
        <v>155</v>
      </c>
      <c r="K25" s="6">
        <v>151</v>
      </c>
      <c r="L25" s="4">
        <v>131</v>
      </c>
      <c r="M25" s="3">
        <v>126</v>
      </c>
      <c r="O25" s="2" t="s">
        <v>6</v>
      </c>
      <c r="P25" s="3">
        <v>89</v>
      </c>
      <c r="Q25" s="5">
        <v>38</v>
      </c>
      <c r="R25" s="4">
        <v>18</v>
      </c>
      <c r="S25" s="3">
        <v>0</v>
      </c>
      <c r="T25" s="6">
        <v>33</v>
      </c>
    </row>
    <row r="26" spans="1:20" x14ac:dyDescent="0.3">
      <c r="A26" s="2" t="s">
        <v>7</v>
      </c>
      <c r="B26" s="3" t="s">
        <v>159</v>
      </c>
      <c r="C26" s="5" t="s">
        <v>160</v>
      </c>
      <c r="D26" s="3" t="s">
        <v>161</v>
      </c>
      <c r="E26" s="6" t="s">
        <v>162</v>
      </c>
      <c r="F26" s="4" t="s">
        <v>163</v>
      </c>
      <c r="H26" s="2" t="s">
        <v>7</v>
      </c>
      <c r="I26" s="3" t="s">
        <v>1225</v>
      </c>
      <c r="J26" s="5" t="s">
        <v>1226</v>
      </c>
      <c r="K26" s="3" t="s">
        <v>1227</v>
      </c>
      <c r="L26" s="4" t="s">
        <v>1228</v>
      </c>
      <c r="M26" s="6" t="s">
        <v>1229</v>
      </c>
      <c r="O26" s="2" t="s">
        <v>7</v>
      </c>
      <c r="P26" s="3" t="s">
        <v>766</v>
      </c>
      <c r="Q26" s="6" t="s">
        <v>243</v>
      </c>
      <c r="R26" s="4" t="s">
        <v>68</v>
      </c>
      <c r="S26" s="3">
        <v>0</v>
      </c>
      <c r="T26" s="5" t="s">
        <v>305</v>
      </c>
    </row>
    <row r="27" spans="1:20" x14ac:dyDescent="0.3">
      <c r="A27" s="2" t="s">
        <v>12</v>
      </c>
      <c r="B27" s="3" t="s">
        <v>164</v>
      </c>
      <c r="C27" s="5" t="s">
        <v>165</v>
      </c>
      <c r="D27" s="3" t="s">
        <v>166</v>
      </c>
      <c r="E27" s="6" t="s">
        <v>167</v>
      </c>
      <c r="F27" s="4" t="s">
        <v>168</v>
      </c>
      <c r="H27" s="2" t="s">
        <v>12</v>
      </c>
      <c r="I27" s="3" t="s">
        <v>722</v>
      </c>
      <c r="J27" s="5" t="s">
        <v>912</v>
      </c>
      <c r="K27" s="3" t="s">
        <v>92</v>
      </c>
      <c r="L27" s="4" t="s">
        <v>1228</v>
      </c>
      <c r="M27" s="6" t="s">
        <v>1229</v>
      </c>
      <c r="O27" s="2" t="s">
        <v>12</v>
      </c>
      <c r="P27" s="3" t="s">
        <v>460</v>
      </c>
      <c r="Q27" s="6" t="s">
        <v>114</v>
      </c>
      <c r="R27" s="4" t="s">
        <v>117</v>
      </c>
      <c r="S27" s="3">
        <v>0</v>
      </c>
      <c r="T27" s="5" t="s">
        <v>811</v>
      </c>
    </row>
    <row r="28" spans="1:20" x14ac:dyDescent="0.3">
      <c r="A28" s="2" t="s">
        <v>17</v>
      </c>
      <c r="B28" s="3" t="s">
        <v>77</v>
      </c>
      <c r="C28" s="3" t="s">
        <v>75</v>
      </c>
      <c r="D28" s="6" t="s">
        <v>101</v>
      </c>
      <c r="E28" s="4" t="s">
        <v>121</v>
      </c>
      <c r="F28" s="5" t="s">
        <v>147</v>
      </c>
      <c r="H28" s="2" t="s">
        <v>17</v>
      </c>
      <c r="I28" s="3" t="s">
        <v>75</v>
      </c>
      <c r="J28" s="4" t="s">
        <v>49</v>
      </c>
      <c r="K28" s="6" t="s">
        <v>121</v>
      </c>
      <c r="L28" s="5" t="s">
        <v>109</v>
      </c>
      <c r="M28" s="3" t="s">
        <v>268</v>
      </c>
      <c r="O28" s="2" t="s">
        <v>17</v>
      </c>
      <c r="P28" s="3" t="s">
        <v>1793</v>
      </c>
      <c r="Q28" s="5" t="s">
        <v>1794</v>
      </c>
      <c r="R28" s="6" t="s">
        <v>1795</v>
      </c>
      <c r="S28" s="3" t="s">
        <v>25</v>
      </c>
      <c r="T28" s="4" t="s">
        <v>1796</v>
      </c>
    </row>
    <row r="29" spans="1:20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258</v>
      </c>
      <c r="J29" s="3" t="s">
        <v>25</v>
      </c>
      <c r="K29" s="3" t="s">
        <v>25</v>
      </c>
      <c r="L29" s="3" t="s">
        <v>25</v>
      </c>
      <c r="M29" s="5" t="s">
        <v>268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679</v>
      </c>
      <c r="C30" s="8">
        <v>295</v>
      </c>
      <c r="D30" s="8">
        <v>118</v>
      </c>
      <c r="E30" s="8">
        <v>134</v>
      </c>
      <c r="F30" s="8">
        <v>132</v>
      </c>
      <c r="H30" s="7" t="s">
        <v>26</v>
      </c>
      <c r="I30" s="8">
        <v>558</v>
      </c>
      <c r="J30" s="8">
        <v>153</v>
      </c>
      <c r="K30" s="8">
        <v>148</v>
      </c>
      <c r="L30" s="8">
        <v>131</v>
      </c>
      <c r="M30" s="8">
        <v>126</v>
      </c>
      <c r="O30" s="7" t="s">
        <v>26</v>
      </c>
      <c r="P30" s="8">
        <v>65</v>
      </c>
      <c r="Q30" s="8">
        <v>24</v>
      </c>
      <c r="R30" s="8">
        <v>10</v>
      </c>
      <c r="S30" s="8">
        <v>0</v>
      </c>
      <c r="T30" s="8">
        <v>31</v>
      </c>
    </row>
    <row r="31" spans="1:20" x14ac:dyDescent="0.3">
      <c r="A31" s="9" t="s">
        <v>27</v>
      </c>
      <c r="B31" s="10">
        <v>208</v>
      </c>
      <c r="C31" s="10">
        <v>47</v>
      </c>
      <c r="D31" s="10">
        <v>56</v>
      </c>
      <c r="E31" s="10">
        <v>53</v>
      </c>
      <c r="F31" s="10">
        <v>52</v>
      </c>
      <c r="H31" s="9" t="s">
        <v>27</v>
      </c>
      <c r="I31" s="10">
        <v>253</v>
      </c>
      <c r="J31" s="10">
        <v>78</v>
      </c>
      <c r="K31" s="10">
        <v>59</v>
      </c>
      <c r="L31" s="10">
        <v>70</v>
      </c>
      <c r="M31" s="10">
        <v>46</v>
      </c>
      <c r="O31" s="9" t="s">
        <v>27</v>
      </c>
      <c r="P31" s="10">
        <v>29</v>
      </c>
      <c r="Q31" s="10">
        <v>7</v>
      </c>
      <c r="R31" s="10">
        <v>7</v>
      </c>
      <c r="S31" s="10">
        <v>0</v>
      </c>
      <c r="T31" s="10">
        <v>15</v>
      </c>
    </row>
    <row r="32" spans="1:20" x14ac:dyDescent="0.3">
      <c r="A32" s="9" t="s">
        <v>28</v>
      </c>
      <c r="B32" s="10">
        <v>49</v>
      </c>
      <c r="C32" s="10">
        <v>15</v>
      </c>
      <c r="D32" s="10">
        <v>17</v>
      </c>
      <c r="E32" s="10">
        <v>11</v>
      </c>
      <c r="F32" s="10">
        <v>6</v>
      </c>
      <c r="H32" s="9" t="s">
        <v>28</v>
      </c>
      <c r="I32" s="10">
        <v>57</v>
      </c>
      <c r="J32" s="10">
        <v>17</v>
      </c>
      <c r="K32" s="10">
        <v>17</v>
      </c>
      <c r="L32" s="10">
        <v>15</v>
      </c>
      <c r="M32" s="10">
        <v>8</v>
      </c>
      <c r="O32" s="9" t="s">
        <v>28</v>
      </c>
      <c r="P32" s="10">
        <v>14</v>
      </c>
      <c r="Q32" s="10">
        <v>7</v>
      </c>
      <c r="R32" s="10">
        <v>0</v>
      </c>
      <c r="S32" s="10">
        <v>0</v>
      </c>
      <c r="T32" s="10">
        <v>7</v>
      </c>
    </row>
    <row r="33" spans="1:20" x14ac:dyDescent="0.3">
      <c r="A33" s="9" t="s">
        <v>29</v>
      </c>
      <c r="B33" s="10">
        <v>60</v>
      </c>
      <c r="C33" s="10">
        <v>0</v>
      </c>
      <c r="D33" s="10">
        <v>7</v>
      </c>
      <c r="E33" s="10">
        <v>25</v>
      </c>
      <c r="F33" s="10">
        <v>28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316</v>
      </c>
      <c r="C34" s="10">
        <v>215</v>
      </c>
      <c r="D34" s="10">
        <v>30</v>
      </c>
      <c r="E34" s="10">
        <v>33</v>
      </c>
      <c r="F34" s="10">
        <v>38</v>
      </c>
      <c r="H34" s="9" t="s">
        <v>30</v>
      </c>
      <c r="I34" s="10">
        <v>218</v>
      </c>
      <c r="J34" s="10">
        <v>50</v>
      </c>
      <c r="K34" s="10">
        <v>69</v>
      </c>
      <c r="L34" s="10">
        <v>36</v>
      </c>
      <c r="M34" s="10">
        <v>63</v>
      </c>
      <c r="O34" s="9" t="s">
        <v>30</v>
      </c>
      <c r="P34" s="10">
        <v>22</v>
      </c>
      <c r="Q34" s="10">
        <v>10</v>
      </c>
      <c r="R34" s="10">
        <v>3</v>
      </c>
      <c r="S34" s="10">
        <v>0</v>
      </c>
      <c r="T34" s="10">
        <v>9</v>
      </c>
    </row>
    <row r="35" spans="1:20" x14ac:dyDescent="0.3">
      <c r="A35" s="9" t="s">
        <v>31</v>
      </c>
      <c r="B35" s="10">
        <v>46</v>
      </c>
      <c r="C35" s="10">
        <v>18</v>
      </c>
      <c r="D35" s="10">
        <v>8</v>
      </c>
      <c r="E35" s="10">
        <v>12</v>
      </c>
      <c r="F35" s="10">
        <v>8</v>
      </c>
      <c r="H35" s="9" t="s">
        <v>31</v>
      </c>
      <c r="I35" s="10">
        <v>30</v>
      </c>
      <c r="J35" s="10">
        <v>8</v>
      </c>
      <c r="K35" s="10">
        <v>3</v>
      </c>
      <c r="L35" s="10">
        <v>10</v>
      </c>
      <c r="M35" s="10">
        <v>9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12</v>
      </c>
      <c r="C36" s="12">
        <v>2</v>
      </c>
      <c r="D36" s="12">
        <v>4</v>
      </c>
      <c r="E36" s="12">
        <v>2</v>
      </c>
      <c r="F36" s="12">
        <v>4</v>
      </c>
      <c r="H36" s="11" t="s">
        <v>32</v>
      </c>
      <c r="I36" s="12">
        <v>9</v>
      </c>
      <c r="J36" s="12">
        <v>2</v>
      </c>
      <c r="K36" s="12">
        <v>3</v>
      </c>
      <c r="L36" s="12">
        <v>3</v>
      </c>
      <c r="M36" s="12">
        <v>1</v>
      </c>
      <c r="O36" s="11" t="s">
        <v>32</v>
      </c>
      <c r="P36" s="12">
        <v>606</v>
      </c>
      <c r="Q36" s="12">
        <v>292</v>
      </c>
      <c r="R36" s="12">
        <v>242</v>
      </c>
      <c r="S36" s="12">
        <v>0</v>
      </c>
      <c r="T36" s="12">
        <v>72</v>
      </c>
    </row>
    <row r="37" spans="1:20" x14ac:dyDescent="0.3">
      <c r="A37" s="13" t="s">
        <v>33</v>
      </c>
      <c r="B37" s="14">
        <v>2</v>
      </c>
      <c r="C37" s="14">
        <v>0</v>
      </c>
      <c r="D37" s="14">
        <v>0</v>
      </c>
      <c r="E37" s="14">
        <v>0</v>
      </c>
      <c r="F37" s="14">
        <v>2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594</v>
      </c>
      <c r="Q37" s="14">
        <v>291</v>
      </c>
      <c r="R37" s="14">
        <v>238</v>
      </c>
      <c r="S37" s="14">
        <v>0</v>
      </c>
      <c r="T37" s="14">
        <v>65</v>
      </c>
    </row>
    <row r="38" spans="1:20" x14ac:dyDescent="0.3">
      <c r="A38" s="13" t="s">
        <v>34</v>
      </c>
      <c r="B38" s="14">
        <v>10</v>
      </c>
      <c r="C38" s="14">
        <v>2</v>
      </c>
      <c r="D38" s="14">
        <v>4</v>
      </c>
      <c r="E38" s="14">
        <v>2</v>
      </c>
      <c r="F38" s="14">
        <v>2</v>
      </c>
      <c r="H38" s="13" t="s">
        <v>34</v>
      </c>
      <c r="I38" s="14">
        <v>9</v>
      </c>
      <c r="J38" s="14">
        <v>2</v>
      </c>
      <c r="K38" s="14">
        <v>3</v>
      </c>
      <c r="L38" s="14">
        <v>3</v>
      </c>
      <c r="M38" s="14">
        <v>1</v>
      </c>
      <c r="O38" s="13" t="s">
        <v>34</v>
      </c>
      <c r="P38" s="14">
        <v>12</v>
      </c>
      <c r="Q38" s="14">
        <v>1</v>
      </c>
      <c r="R38" s="14">
        <v>4</v>
      </c>
      <c r="S38" s="14">
        <v>0</v>
      </c>
      <c r="T38" s="14">
        <v>7</v>
      </c>
    </row>
    <row r="39" spans="1:20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H39" s="15" t="s">
        <v>35</v>
      </c>
      <c r="I39" s="16">
        <v>1</v>
      </c>
      <c r="J39" s="16">
        <v>0</v>
      </c>
      <c r="K39" s="16">
        <v>0</v>
      </c>
      <c r="L39" s="16">
        <v>0</v>
      </c>
      <c r="M39" s="16">
        <v>1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1</v>
      </c>
      <c r="J41" s="56">
        <v>0</v>
      </c>
      <c r="K41" s="56">
        <v>0</v>
      </c>
      <c r="L41" s="56">
        <v>0</v>
      </c>
      <c r="M41" s="56">
        <v>1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7" t="s">
        <v>169</v>
      </c>
      <c r="C42" s="168"/>
      <c r="D42" s="168"/>
      <c r="E42" s="168"/>
      <c r="F42" s="168"/>
      <c r="H42" s="17" t="s">
        <v>38</v>
      </c>
      <c r="I42" s="167" t="s">
        <v>103</v>
      </c>
      <c r="J42" s="168"/>
      <c r="K42" s="168"/>
      <c r="L42" s="168"/>
      <c r="M42" s="168"/>
      <c r="O42" s="17" t="s">
        <v>38</v>
      </c>
      <c r="P42" s="172" t="s">
        <v>1797</v>
      </c>
      <c r="Q42" s="173"/>
      <c r="R42" s="173"/>
      <c r="S42" s="173"/>
      <c r="T42" s="173"/>
    </row>
    <row r="43" spans="1:20" ht="19.8" x14ac:dyDescent="0.3">
      <c r="A43" s="170">
        <v>46085</v>
      </c>
      <c r="B43" s="168"/>
      <c r="C43" s="168"/>
      <c r="D43" s="168"/>
      <c r="E43" s="168"/>
      <c r="F43" s="168"/>
      <c r="H43" s="171">
        <v>46115</v>
      </c>
      <c r="I43" s="171"/>
      <c r="J43" s="171"/>
      <c r="K43" s="171"/>
      <c r="L43" s="171"/>
      <c r="M43" s="171"/>
      <c r="O43" s="170">
        <v>46147</v>
      </c>
      <c r="P43" s="168"/>
      <c r="Q43" s="168"/>
      <c r="R43" s="168"/>
      <c r="S43" s="168"/>
      <c r="T43" s="168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6364</v>
      </c>
      <c r="C45" s="3">
        <v>1721</v>
      </c>
      <c r="D45" s="3">
        <v>1702</v>
      </c>
      <c r="E45" s="3">
        <v>1467</v>
      </c>
      <c r="F45" s="3">
        <v>1474</v>
      </c>
      <c r="H45" s="2" t="s">
        <v>5</v>
      </c>
      <c r="I45" s="3">
        <f>J45+K45+L45+M45</f>
        <v>7051</v>
      </c>
      <c r="J45" s="3">
        <v>1824</v>
      </c>
      <c r="K45" s="3">
        <v>1955</v>
      </c>
      <c r="L45" s="3">
        <v>1686</v>
      </c>
      <c r="M45" s="3">
        <v>1586</v>
      </c>
      <c r="O45" s="2" t="s">
        <v>5</v>
      </c>
      <c r="P45" s="3">
        <v>5521</v>
      </c>
      <c r="Q45" s="3">
        <v>1744</v>
      </c>
      <c r="R45" s="3">
        <v>812</v>
      </c>
      <c r="S45" s="3">
        <v>1506</v>
      </c>
      <c r="T45" s="3">
        <v>1459</v>
      </c>
    </row>
    <row r="46" spans="1:20" x14ac:dyDescent="0.3">
      <c r="A46" s="2" t="s">
        <v>6</v>
      </c>
      <c r="B46" s="3">
        <v>443</v>
      </c>
      <c r="C46" s="5">
        <v>149</v>
      </c>
      <c r="D46" s="4">
        <v>95</v>
      </c>
      <c r="E46" s="6">
        <v>107</v>
      </c>
      <c r="F46" s="3">
        <v>92</v>
      </c>
      <c r="H46" s="2" t="s">
        <v>6</v>
      </c>
      <c r="I46" s="3">
        <f>J46+K46+L46+M46</f>
        <v>429</v>
      </c>
      <c r="J46" s="5">
        <v>126</v>
      </c>
      <c r="K46" s="5">
        <v>113</v>
      </c>
      <c r="L46" s="4">
        <v>91</v>
      </c>
      <c r="M46" s="6">
        <v>99</v>
      </c>
      <c r="O46" s="2" t="s">
        <v>6</v>
      </c>
      <c r="P46" s="3">
        <v>350</v>
      </c>
      <c r="Q46" s="5">
        <v>202</v>
      </c>
      <c r="R46" s="3">
        <v>8</v>
      </c>
      <c r="S46" s="4">
        <v>67</v>
      </c>
      <c r="T46" s="6">
        <v>73</v>
      </c>
    </row>
    <row r="47" spans="1:20" x14ac:dyDescent="0.3">
      <c r="A47" s="2" t="s">
        <v>7</v>
      </c>
      <c r="B47" s="3" t="s">
        <v>97</v>
      </c>
      <c r="C47" s="5" t="s">
        <v>212</v>
      </c>
      <c r="D47" s="3" t="s">
        <v>213</v>
      </c>
      <c r="E47" s="6" t="s">
        <v>214</v>
      </c>
      <c r="F47" s="4" t="s">
        <v>215</v>
      </c>
      <c r="H47" s="2" t="s">
        <v>7</v>
      </c>
      <c r="I47" s="48">
        <f>I46/I45</f>
        <v>6.0842433697347896E-2</v>
      </c>
      <c r="J47" s="5" t="s">
        <v>322</v>
      </c>
      <c r="K47" s="6" t="s">
        <v>663</v>
      </c>
      <c r="L47" s="4" t="s">
        <v>621</v>
      </c>
      <c r="M47" s="6" t="s">
        <v>215</v>
      </c>
      <c r="O47" s="2" t="s">
        <v>7</v>
      </c>
      <c r="P47" s="3" t="s">
        <v>454</v>
      </c>
      <c r="Q47" s="5" t="s">
        <v>1806</v>
      </c>
      <c r="R47" s="3" t="s">
        <v>794</v>
      </c>
      <c r="S47" s="4" t="s">
        <v>1231</v>
      </c>
      <c r="T47" s="6" t="s">
        <v>1712</v>
      </c>
    </row>
    <row r="48" spans="1:20" x14ac:dyDescent="0.3">
      <c r="A48" s="2" t="s">
        <v>12</v>
      </c>
      <c r="B48" s="3" t="s">
        <v>216</v>
      </c>
      <c r="C48" s="5" t="s">
        <v>217</v>
      </c>
      <c r="D48" s="3" t="s">
        <v>218</v>
      </c>
      <c r="E48" s="6" t="s">
        <v>219</v>
      </c>
      <c r="F48" s="4" t="s">
        <v>220</v>
      </c>
      <c r="H48" s="2" t="s">
        <v>12</v>
      </c>
      <c r="I48" s="48">
        <f>I51/I45</f>
        <v>5.9849666713941284E-2</v>
      </c>
      <c r="J48" s="5" t="s">
        <v>1251</v>
      </c>
      <c r="K48" s="5" t="s">
        <v>243</v>
      </c>
      <c r="L48" s="4" t="s">
        <v>52</v>
      </c>
      <c r="M48" s="6" t="s">
        <v>1241</v>
      </c>
      <c r="O48" s="2" t="s">
        <v>12</v>
      </c>
      <c r="P48" s="3" t="s">
        <v>1807</v>
      </c>
      <c r="Q48" s="4" t="s">
        <v>647</v>
      </c>
      <c r="R48" s="3" t="s">
        <v>87</v>
      </c>
      <c r="S48" s="6" t="s">
        <v>1200</v>
      </c>
      <c r="T48" s="5" t="s">
        <v>1712</v>
      </c>
    </row>
    <row r="49" spans="1:20" x14ac:dyDescent="0.3">
      <c r="A49" s="2" t="s">
        <v>17</v>
      </c>
      <c r="B49" s="3" t="s">
        <v>74</v>
      </c>
      <c r="C49" s="3" t="s">
        <v>108</v>
      </c>
      <c r="D49" s="6" t="s">
        <v>135</v>
      </c>
      <c r="E49" s="5" t="s">
        <v>153</v>
      </c>
      <c r="F49" s="4" t="s">
        <v>88</v>
      </c>
      <c r="H49" s="2" t="s">
        <v>17</v>
      </c>
      <c r="I49" s="48">
        <f>I57/I45</f>
        <v>8.5094312863423624E-4</v>
      </c>
      <c r="J49" s="3" t="s">
        <v>25</v>
      </c>
      <c r="K49" s="4" t="s">
        <v>81</v>
      </c>
      <c r="L49" s="6" t="s">
        <v>102</v>
      </c>
      <c r="M49" s="5" t="s">
        <v>75</v>
      </c>
      <c r="O49" s="2" t="s">
        <v>17</v>
      </c>
      <c r="P49" s="3" t="s">
        <v>1214</v>
      </c>
      <c r="Q49" s="5" t="s">
        <v>1227</v>
      </c>
      <c r="R49" s="6" t="s">
        <v>200</v>
      </c>
      <c r="S49" s="4" t="s">
        <v>75</v>
      </c>
      <c r="T49" s="3" t="s">
        <v>25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81</v>
      </c>
      <c r="J50" s="3" t="s">
        <v>25</v>
      </c>
      <c r="K50" s="3" t="s">
        <v>25</v>
      </c>
      <c r="L50" s="3" t="s">
        <v>25</v>
      </c>
      <c r="M50" s="5" t="s">
        <v>146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431</v>
      </c>
      <c r="C51" s="8">
        <v>146</v>
      </c>
      <c r="D51" s="8">
        <v>90</v>
      </c>
      <c r="E51" s="8">
        <v>104</v>
      </c>
      <c r="F51" s="8">
        <v>91</v>
      </c>
      <c r="H51" s="7" t="s">
        <v>26</v>
      </c>
      <c r="I51" s="8">
        <f>J51+K51+L51+M51</f>
        <v>422</v>
      </c>
      <c r="J51" s="8">
        <v>125</v>
      </c>
      <c r="K51" s="8">
        <v>110</v>
      </c>
      <c r="L51" s="8">
        <v>90</v>
      </c>
      <c r="M51" s="8">
        <v>97</v>
      </c>
      <c r="O51" s="7" t="s">
        <v>26</v>
      </c>
      <c r="P51" s="8">
        <v>219</v>
      </c>
      <c r="Q51" s="8">
        <v>75</v>
      </c>
      <c r="R51" s="8">
        <v>5</v>
      </c>
      <c r="S51" s="8">
        <v>66</v>
      </c>
      <c r="T51" s="8">
        <v>73</v>
      </c>
    </row>
    <row r="52" spans="1:20" x14ac:dyDescent="0.3">
      <c r="A52" s="9" t="s">
        <v>27</v>
      </c>
      <c r="B52" s="10">
        <v>147</v>
      </c>
      <c r="C52" s="10">
        <v>48</v>
      </c>
      <c r="D52" s="10">
        <v>42</v>
      </c>
      <c r="E52" s="10">
        <v>29</v>
      </c>
      <c r="F52" s="10">
        <v>28</v>
      </c>
      <c r="H52" s="9" t="s">
        <v>27</v>
      </c>
      <c r="I52" s="10">
        <v>130</v>
      </c>
      <c r="J52" s="10">
        <v>42</v>
      </c>
      <c r="K52" s="10">
        <v>55</v>
      </c>
      <c r="L52" s="10">
        <v>41</v>
      </c>
      <c r="M52" s="10">
        <v>47</v>
      </c>
      <c r="O52" s="9" t="s">
        <v>27</v>
      </c>
      <c r="P52" s="10">
        <v>131</v>
      </c>
      <c r="Q52" s="10">
        <v>46</v>
      </c>
      <c r="R52" s="10">
        <v>4</v>
      </c>
      <c r="S52" s="10">
        <v>34</v>
      </c>
      <c r="T52" s="10">
        <v>47</v>
      </c>
    </row>
    <row r="53" spans="1:20" x14ac:dyDescent="0.3">
      <c r="A53" s="9" t="s">
        <v>28</v>
      </c>
      <c r="B53" s="10">
        <v>48</v>
      </c>
      <c r="C53" s="10">
        <v>22</v>
      </c>
      <c r="D53" s="10">
        <v>11</v>
      </c>
      <c r="E53" s="10">
        <v>9</v>
      </c>
      <c r="F53" s="10">
        <v>6</v>
      </c>
      <c r="H53" s="9" t="s">
        <v>28</v>
      </c>
      <c r="I53" s="10">
        <v>62</v>
      </c>
      <c r="J53" s="10">
        <v>32</v>
      </c>
      <c r="K53" s="10">
        <v>16</v>
      </c>
      <c r="L53" s="10">
        <v>12</v>
      </c>
      <c r="M53" s="10">
        <v>18</v>
      </c>
      <c r="O53" s="9" t="s">
        <v>28</v>
      </c>
      <c r="P53" s="10">
        <v>49</v>
      </c>
      <c r="Q53" s="10">
        <v>15</v>
      </c>
      <c r="R53" s="10">
        <v>1</v>
      </c>
      <c r="S53" s="10">
        <v>18</v>
      </c>
      <c r="T53" s="10">
        <v>15</v>
      </c>
    </row>
    <row r="54" spans="1:20" x14ac:dyDescent="0.3">
      <c r="A54" s="9" t="s">
        <v>29</v>
      </c>
      <c r="B54" s="10">
        <v>70</v>
      </c>
      <c r="C54" s="10">
        <v>0</v>
      </c>
      <c r="D54" s="10">
        <v>10</v>
      </c>
      <c r="E54" s="10">
        <v>30</v>
      </c>
      <c r="F54" s="10">
        <v>30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126</v>
      </c>
      <c r="C55" s="10">
        <v>54</v>
      </c>
      <c r="D55" s="10">
        <v>23</v>
      </c>
      <c r="E55" s="10">
        <v>26</v>
      </c>
      <c r="F55" s="10">
        <v>23</v>
      </c>
      <c r="H55" s="9" t="s">
        <v>30</v>
      </c>
      <c r="I55" s="10">
        <v>71</v>
      </c>
      <c r="J55" s="10">
        <v>24</v>
      </c>
      <c r="K55" s="10">
        <v>32</v>
      </c>
      <c r="L55" s="10">
        <v>28</v>
      </c>
      <c r="M55" s="10">
        <v>19</v>
      </c>
      <c r="O55" s="9" t="s">
        <v>30</v>
      </c>
      <c r="P55" s="10">
        <v>39</v>
      </c>
      <c r="Q55" s="10">
        <v>14</v>
      </c>
      <c r="R55" s="10">
        <v>0</v>
      </c>
      <c r="S55" s="10">
        <v>14</v>
      </c>
      <c r="T55" s="10">
        <v>11</v>
      </c>
    </row>
    <row r="56" spans="1:20" x14ac:dyDescent="0.3">
      <c r="A56" s="9" t="s">
        <v>31</v>
      </c>
      <c r="B56" s="10">
        <v>40</v>
      </c>
      <c r="C56" s="10">
        <v>22</v>
      </c>
      <c r="D56" s="10">
        <v>4</v>
      </c>
      <c r="E56" s="10">
        <v>10</v>
      </c>
      <c r="F56" s="10">
        <v>4</v>
      </c>
      <c r="H56" s="9" t="s">
        <v>31</v>
      </c>
      <c r="I56" s="10">
        <v>49</v>
      </c>
      <c r="J56" s="10">
        <v>27</v>
      </c>
      <c r="K56" s="10">
        <v>7</v>
      </c>
      <c r="L56" s="10">
        <v>9</v>
      </c>
      <c r="M56" s="10">
        <v>13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20</v>
      </c>
      <c r="C57" s="12">
        <v>3</v>
      </c>
      <c r="D57" s="12">
        <v>6</v>
      </c>
      <c r="E57" s="12">
        <v>7</v>
      </c>
      <c r="F57" s="12">
        <v>4</v>
      </c>
      <c r="H57" s="11" t="s">
        <v>32</v>
      </c>
      <c r="I57" s="12">
        <v>6</v>
      </c>
      <c r="J57" s="12">
        <v>0</v>
      </c>
      <c r="K57" s="12">
        <v>2</v>
      </c>
      <c r="L57" s="12">
        <v>2</v>
      </c>
      <c r="M57" s="12">
        <v>2</v>
      </c>
      <c r="O57" s="11" t="s">
        <v>32</v>
      </c>
      <c r="P57" s="12">
        <v>135</v>
      </c>
      <c r="Q57" s="12">
        <v>130</v>
      </c>
      <c r="R57" s="12">
        <v>3</v>
      </c>
      <c r="S57" s="12">
        <v>2</v>
      </c>
      <c r="T57" s="12">
        <v>0</v>
      </c>
    </row>
    <row r="58" spans="1:20" x14ac:dyDescent="0.3">
      <c r="A58" s="13" t="s">
        <v>33</v>
      </c>
      <c r="B58" s="14">
        <v>2</v>
      </c>
      <c r="C58" s="14">
        <v>0</v>
      </c>
      <c r="D58" s="14">
        <v>1</v>
      </c>
      <c r="E58" s="14">
        <v>1</v>
      </c>
      <c r="F58" s="14">
        <v>0</v>
      </c>
      <c r="H58" s="13" t="s">
        <v>33</v>
      </c>
      <c r="I58" s="14">
        <v>4</v>
      </c>
      <c r="J58" s="14">
        <v>0</v>
      </c>
      <c r="K58" s="14">
        <v>1</v>
      </c>
      <c r="L58" s="14">
        <v>1</v>
      </c>
      <c r="M58" s="14">
        <v>2</v>
      </c>
      <c r="O58" s="13" t="s">
        <v>33</v>
      </c>
      <c r="P58" s="14">
        <v>132</v>
      </c>
      <c r="Q58" s="14">
        <v>130</v>
      </c>
      <c r="R58" s="14">
        <v>1</v>
      </c>
      <c r="S58" s="14">
        <v>1</v>
      </c>
      <c r="T58" s="14">
        <v>0</v>
      </c>
    </row>
    <row r="59" spans="1:20" x14ac:dyDescent="0.3">
      <c r="A59" s="13" t="s">
        <v>34</v>
      </c>
      <c r="B59" s="14">
        <v>18</v>
      </c>
      <c r="C59" s="14">
        <v>3</v>
      </c>
      <c r="D59" s="14">
        <v>5</v>
      </c>
      <c r="E59" s="14">
        <v>6</v>
      </c>
      <c r="F59" s="14">
        <v>4</v>
      </c>
      <c r="H59" s="13" t="s">
        <v>34</v>
      </c>
      <c r="I59" s="14">
        <v>2</v>
      </c>
      <c r="J59" s="14">
        <v>0</v>
      </c>
      <c r="K59" s="14">
        <v>1</v>
      </c>
      <c r="L59" s="14">
        <v>1</v>
      </c>
      <c r="M59" s="14">
        <v>0</v>
      </c>
      <c r="O59" s="13" t="s">
        <v>34</v>
      </c>
      <c r="P59" s="14">
        <v>3</v>
      </c>
      <c r="Q59" s="14">
        <v>0</v>
      </c>
      <c r="R59" s="14">
        <v>2</v>
      </c>
      <c r="S59" s="14">
        <v>1</v>
      </c>
      <c r="T59" s="14">
        <v>0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5</v>
      </c>
      <c r="J60" s="16">
        <v>0</v>
      </c>
      <c r="K60" s="16">
        <v>0</v>
      </c>
      <c r="L60" s="16">
        <v>0</v>
      </c>
      <c r="M60" s="16">
        <v>5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5</v>
      </c>
      <c r="J62" s="78">
        <v>0</v>
      </c>
      <c r="K62" s="78">
        <v>0</v>
      </c>
      <c r="L62" s="78">
        <v>0</v>
      </c>
      <c r="M62" s="78">
        <v>5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7" t="s">
        <v>103</v>
      </c>
      <c r="C63" s="168"/>
      <c r="D63" s="168"/>
      <c r="E63" s="168"/>
      <c r="F63" s="168"/>
      <c r="H63" s="17" t="s">
        <v>38</v>
      </c>
      <c r="I63" s="172" t="s">
        <v>103</v>
      </c>
      <c r="J63" s="173"/>
      <c r="K63" s="173"/>
      <c r="L63" s="173"/>
      <c r="M63" s="173"/>
      <c r="O63" s="17" t="s">
        <v>38</v>
      </c>
      <c r="P63" s="167" t="s">
        <v>103</v>
      </c>
      <c r="Q63" s="168"/>
      <c r="R63" s="168"/>
      <c r="S63" s="168"/>
      <c r="T63" s="168"/>
    </row>
    <row r="64" spans="1:20" ht="19.8" x14ac:dyDescent="0.3">
      <c r="A64" s="170">
        <v>46086</v>
      </c>
      <c r="B64" s="168"/>
      <c r="C64" s="168"/>
      <c r="D64" s="168"/>
      <c r="E64" s="168"/>
      <c r="F64" s="168"/>
      <c r="H64" s="171">
        <v>46116</v>
      </c>
      <c r="I64" s="171"/>
      <c r="J64" s="171"/>
      <c r="K64" s="171"/>
      <c r="L64" s="171"/>
      <c r="M64" s="171"/>
      <c r="O64" s="170">
        <v>46148</v>
      </c>
      <c r="P64" s="168"/>
      <c r="Q64" s="168"/>
      <c r="R64" s="168"/>
      <c r="S64" s="168"/>
      <c r="T64" s="168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5783</v>
      </c>
      <c r="C66" s="3">
        <v>1608</v>
      </c>
      <c r="D66" s="3">
        <v>1531</v>
      </c>
      <c r="E66" s="3">
        <v>1357</v>
      </c>
      <c r="F66" s="3">
        <v>1287</v>
      </c>
      <c r="H66" s="2" t="s">
        <v>5</v>
      </c>
      <c r="I66" s="3">
        <f>J66+K66+L66+M66</f>
        <v>5911</v>
      </c>
      <c r="J66" s="3">
        <v>1561</v>
      </c>
      <c r="K66" s="3">
        <v>1617</v>
      </c>
      <c r="L66" s="3">
        <v>1379</v>
      </c>
      <c r="M66" s="3">
        <v>1354</v>
      </c>
      <c r="O66" s="2" t="s">
        <v>5</v>
      </c>
      <c r="P66" s="3">
        <v>6969</v>
      </c>
      <c r="Q66" s="3">
        <v>1982</v>
      </c>
      <c r="R66" s="3">
        <v>1841</v>
      </c>
      <c r="S66" s="3">
        <v>1557</v>
      </c>
      <c r="T66" s="3">
        <v>1589</v>
      </c>
    </row>
    <row r="67" spans="1:20" x14ac:dyDescent="0.3">
      <c r="A67" s="2" t="s">
        <v>6</v>
      </c>
      <c r="B67" s="3">
        <v>463</v>
      </c>
      <c r="C67" s="5">
        <v>175</v>
      </c>
      <c r="D67" s="3">
        <v>79</v>
      </c>
      <c r="E67" s="4">
        <v>98</v>
      </c>
      <c r="F67" s="6">
        <v>111</v>
      </c>
      <c r="H67" s="2" t="s">
        <v>6</v>
      </c>
      <c r="I67" s="3">
        <f>J67+K67+L67+M67</f>
        <v>372</v>
      </c>
      <c r="J67" s="5">
        <v>115</v>
      </c>
      <c r="K67" s="5">
        <v>88</v>
      </c>
      <c r="L67" s="4">
        <v>84</v>
      </c>
      <c r="M67" s="6">
        <v>85</v>
      </c>
      <c r="O67" s="2" t="s">
        <v>6</v>
      </c>
      <c r="P67" s="3">
        <v>558</v>
      </c>
      <c r="Q67" s="5">
        <v>382</v>
      </c>
      <c r="R67" s="3">
        <v>32</v>
      </c>
      <c r="S67" s="6">
        <v>81</v>
      </c>
      <c r="T67" s="4">
        <v>63</v>
      </c>
    </row>
    <row r="68" spans="1:20" x14ac:dyDescent="0.3">
      <c r="A68" s="2" t="s">
        <v>7</v>
      </c>
      <c r="B68" s="3" t="s">
        <v>259</v>
      </c>
      <c r="C68" s="5" t="s">
        <v>260</v>
      </c>
      <c r="D68" s="3" t="s">
        <v>261</v>
      </c>
      <c r="E68" s="4" t="s">
        <v>262</v>
      </c>
      <c r="F68" s="6" t="s">
        <v>263</v>
      </c>
      <c r="H68" s="2" t="s">
        <v>7</v>
      </c>
      <c r="I68" s="48">
        <f>I67/I66</f>
        <v>6.2933513787853154E-2</v>
      </c>
      <c r="J68" s="5" t="s">
        <v>903</v>
      </c>
      <c r="K68" s="4" t="s">
        <v>609</v>
      </c>
      <c r="L68" s="4" t="s">
        <v>1273</v>
      </c>
      <c r="M68" s="6" t="s">
        <v>964</v>
      </c>
      <c r="O68" s="2" t="s">
        <v>7</v>
      </c>
      <c r="P68" s="3" t="s">
        <v>259</v>
      </c>
      <c r="Q68" s="5" t="s">
        <v>1818</v>
      </c>
      <c r="R68" s="3" t="s">
        <v>606</v>
      </c>
      <c r="S68" s="6" t="s">
        <v>426</v>
      </c>
      <c r="T68" s="4" t="s">
        <v>1176</v>
      </c>
    </row>
    <row r="69" spans="1:20" x14ac:dyDescent="0.3">
      <c r="A69" s="2" t="s">
        <v>12</v>
      </c>
      <c r="B69" s="3" t="s">
        <v>264</v>
      </c>
      <c r="C69" s="5" t="s">
        <v>265</v>
      </c>
      <c r="D69" s="3" t="s">
        <v>254</v>
      </c>
      <c r="E69" s="4" t="s">
        <v>262</v>
      </c>
      <c r="F69" s="6" t="s">
        <v>263</v>
      </c>
      <c r="H69" s="2" t="s">
        <v>12</v>
      </c>
      <c r="I69" s="48">
        <f>I72/I66</f>
        <v>5.751987819319912E-2</v>
      </c>
      <c r="J69" s="5" t="s">
        <v>629</v>
      </c>
      <c r="K69" s="5" t="s">
        <v>53</v>
      </c>
      <c r="L69" s="4" t="s">
        <v>1275</v>
      </c>
      <c r="M69" s="6" t="s">
        <v>302</v>
      </c>
      <c r="O69" s="2" t="s">
        <v>12</v>
      </c>
      <c r="P69" s="3" t="s">
        <v>634</v>
      </c>
      <c r="Q69" s="4" t="s">
        <v>1363</v>
      </c>
      <c r="R69" s="3" t="s">
        <v>1364</v>
      </c>
      <c r="S69" s="5" t="s">
        <v>1636</v>
      </c>
      <c r="T69" s="6" t="s">
        <v>884</v>
      </c>
    </row>
    <row r="70" spans="1:20" x14ac:dyDescent="0.3">
      <c r="A70" s="2" t="s">
        <v>17</v>
      </c>
      <c r="B70" s="3" t="s">
        <v>101</v>
      </c>
      <c r="C70" s="5" t="s">
        <v>119</v>
      </c>
      <c r="D70" s="4" t="s">
        <v>99</v>
      </c>
      <c r="E70" s="3" t="s">
        <v>121</v>
      </c>
      <c r="F70" s="6" t="s">
        <v>266</v>
      </c>
      <c r="H70" s="2" t="s">
        <v>17</v>
      </c>
      <c r="I70" s="48">
        <f>I78/I66</f>
        <v>6.5978683809846048E-3</v>
      </c>
      <c r="J70" s="5" t="s">
        <v>332</v>
      </c>
      <c r="K70" s="4" t="s">
        <v>87</v>
      </c>
      <c r="L70" s="4" t="s">
        <v>654</v>
      </c>
      <c r="M70" s="6" t="s">
        <v>80</v>
      </c>
      <c r="O70" s="2" t="s">
        <v>17</v>
      </c>
      <c r="P70" s="3" t="s">
        <v>632</v>
      </c>
      <c r="Q70" s="5" t="s">
        <v>1677</v>
      </c>
      <c r="R70" s="3" t="s">
        <v>122</v>
      </c>
      <c r="S70" s="6" t="s">
        <v>146</v>
      </c>
      <c r="T70" s="4" t="s">
        <v>47</v>
      </c>
    </row>
    <row r="71" spans="1:20" x14ac:dyDescent="0.3">
      <c r="A71" s="2" t="s">
        <v>22</v>
      </c>
      <c r="B71" s="3" t="s">
        <v>267</v>
      </c>
      <c r="C71" s="5" t="s">
        <v>268</v>
      </c>
      <c r="D71" s="3" t="s">
        <v>25</v>
      </c>
      <c r="E71" s="3" t="s">
        <v>25</v>
      </c>
      <c r="F71" s="3" t="s">
        <v>25</v>
      </c>
      <c r="H71" s="2" t="s">
        <v>22</v>
      </c>
      <c r="I71" s="3" t="s">
        <v>138</v>
      </c>
      <c r="J71" s="3" t="s">
        <v>25</v>
      </c>
      <c r="K71" s="3" t="s">
        <v>25</v>
      </c>
      <c r="L71" s="3" t="s">
        <v>25</v>
      </c>
      <c r="M71" s="5" t="s">
        <v>122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453</v>
      </c>
      <c r="C72" s="8">
        <v>168</v>
      </c>
      <c r="D72" s="8">
        <v>76</v>
      </c>
      <c r="E72" s="8">
        <v>98</v>
      </c>
      <c r="F72" s="8">
        <v>111</v>
      </c>
      <c r="H72" s="7" t="s">
        <v>26</v>
      </c>
      <c r="I72" s="8">
        <f>J72+K72+L72+M72</f>
        <v>340</v>
      </c>
      <c r="J72" s="8">
        <v>101</v>
      </c>
      <c r="K72" s="8">
        <v>76</v>
      </c>
      <c r="L72" s="8">
        <v>81</v>
      </c>
      <c r="M72" s="8">
        <v>82</v>
      </c>
      <c r="O72" s="7" t="s">
        <v>26</v>
      </c>
      <c r="P72" s="8">
        <v>226</v>
      </c>
      <c r="Q72" s="8">
        <v>59</v>
      </c>
      <c r="R72" s="8">
        <v>28</v>
      </c>
      <c r="S72" s="8">
        <v>77</v>
      </c>
      <c r="T72" s="8">
        <v>62</v>
      </c>
    </row>
    <row r="73" spans="1:20" x14ac:dyDescent="0.3">
      <c r="A73" s="9" t="s">
        <v>27</v>
      </c>
      <c r="B73" s="10">
        <v>148</v>
      </c>
      <c r="C73" s="10">
        <v>52</v>
      </c>
      <c r="D73" s="10">
        <v>27</v>
      </c>
      <c r="E73" s="10">
        <v>35</v>
      </c>
      <c r="F73" s="10">
        <v>34</v>
      </c>
      <c r="H73" s="9" t="s">
        <v>27</v>
      </c>
      <c r="I73" s="10">
        <v>108</v>
      </c>
      <c r="J73" s="10">
        <v>41</v>
      </c>
      <c r="K73" s="10">
        <v>34</v>
      </c>
      <c r="L73" s="10">
        <v>32</v>
      </c>
      <c r="M73" s="10">
        <v>35</v>
      </c>
      <c r="O73" s="9" t="s">
        <v>27</v>
      </c>
      <c r="P73" s="10">
        <v>127</v>
      </c>
      <c r="Q73" s="10">
        <v>30</v>
      </c>
      <c r="R73" s="10">
        <v>20</v>
      </c>
      <c r="S73" s="10">
        <v>40</v>
      </c>
      <c r="T73" s="10">
        <v>37</v>
      </c>
    </row>
    <row r="74" spans="1:20" x14ac:dyDescent="0.3">
      <c r="A74" s="9" t="s">
        <v>28</v>
      </c>
      <c r="B74" s="10">
        <v>45</v>
      </c>
      <c r="C74" s="10">
        <v>16</v>
      </c>
      <c r="D74" s="10">
        <v>12</v>
      </c>
      <c r="E74" s="10">
        <v>8</v>
      </c>
      <c r="F74" s="10">
        <v>9</v>
      </c>
      <c r="H74" s="9" t="s">
        <v>28</v>
      </c>
      <c r="I74" s="10">
        <v>49</v>
      </c>
      <c r="J74" s="10">
        <v>19</v>
      </c>
      <c r="K74" s="10">
        <v>16</v>
      </c>
      <c r="L74" s="10">
        <v>17</v>
      </c>
      <c r="M74" s="10">
        <v>13</v>
      </c>
      <c r="O74" s="9" t="s">
        <v>28</v>
      </c>
      <c r="P74" s="10">
        <v>59</v>
      </c>
      <c r="Q74" s="10">
        <v>22</v>
      </c>
      <c r="R74" s="10">
        <v>6</v>
      </c>
      <c r="S74" s="10">
        <v>15</v>
      </c>
      <c r="T74" s="10">
        <v>16</v>
      </c>
    </row>
    <row r="75" spans="1:20" x14ac:dyDescent="0.3">
      <c r="A75" s="9" t="s">
        <v>29</v>
      </c>
      <c r="B75" s="10">
        <v>56</v>
      </c>
      <c r="C75" s="10">
        <v>0</v>
      </c>
      <c r="D75" s="10">
        <v>5</v>
      </c>
      <c r="E75" s="10">
        <v>21</v>
      </c>
      <c r="F75" s="10">
        <v>30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150</v>
      </c>
      <c r="C76" s="10">
        <v>72</v>
      </c>
      <c r="D76" s="10">
        <v>23</v>
      </c>
      <c r="E76" s="10">
        <v>28</v>
      </c>
      <c r="F76" s="10">
        <v>27</v>
      </c>
      <c r="H76" s="9" t="s">
        <v>30</v>
      </c>
      <c r="I76" s="10">
        <v>83</v>
      </c>
      <c r="J76" s="10">
        <v>34</v>
      </c>
      <c r="K76" s="10">
        <v>22</v>
      </c>
      <c r="L76" s="10">
        <v>24</v>
      </c>
      <c r="M76" s="10">
        <v>25</v>
      </c>
      <c r="O76" s="9" t="s">
        <v>30</v>
      </c>
      <c r="P76" s="10">
        <v>40</v>
      </c>
      <c r="Q76" s="10">
        <v>7</v>
      </c>
      <c r="R76" s="10">
        <v>2</v>
      </c>
      <c r="S76" s="10">
        <v>22</v>
      </c>
      <c r="T76" s="10">
        <v>9</v>
      </c>
    </row>
    <row r="77" spans="1:20" x14ac:dyDescent="0.3">
      <c r="A77" s="9" t="s">
        <v>31</v>
      </c>
      <c r="B77" s="10">
        <v>54</v>
      </c>
      <c r="C77" s="10">
        <v>28</v>
      </c>
      <c r="D77" s="10">
        <v>9</v>
      </c>
      <c r="E77" s="10">
        <v>6</v>
      </c>
      <c r="F77" s="10">
        <v>11</v>
      </c>
      <c r="H77" s="9" t="s">
        <v>31</v>
      </c>
      <c r="I77" s="10">
        <v>24</v>
      </c>
      <c r="J77" s="10">
        <v>7</v>
      </c>
      <c r="K77" s="10">
        <v>4</v>
      </c>
      <c r="L77" s="10">
        <v>8</v>
      </c>
      <c r="M77" s="10">
        <v>9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15</v>
      </c>
      <c r="C78" s="12">
        <v>7</v>
      </c>
      <c r="D78" s="12">
        <v>3</v>
      </c>
      <c r="E78" s="12">
        <v>2</v>
      </c>
      <c r="F78" s="12">
        <v>3</v>
      </c>
      <c r="H78" s="11" t="s">
        <v>32</v>
      </c>
      <c r="I78" s="12">
        <v>39</v>
      </c>
      <c r="J78" s="12">
        <v>12</v>
      </c>
      <c r="K78" s="12">
        <v>10</v>
      </c>
      <c r="L78" s="12">
        <v>7</v>
      </c>
      <c r="M78" s="12">
        <v>10</v>
      </c>
      <c r="O78" s="11" t="s">
        <v>32</v>
      </c>
      <c r="P78" s="12">
        <v>336</v>
      </c>
      <c r="Q78" s="12">
        <v>323</v>
      </c>
      <c r="R78" s="12">
        <v>4</v>
      </c>
      <c r="S78" s="12">
        <v>5</v>
      </c>
      <c r="T78" s="12">
        <v>4</v>
      </c>
    </row>
    <row r="79" spans="1:20" x14ac:dyDescent="0.3">
      <c r="A79" s="13" t="s">
        <v>33</v>
      </c>
      <c r="B79" s="14">
        <v>1</v>
      </c>
      <c r="C79" s="14">
        <v>1</v>
      </c>
      <c r="D79" s="14">
        <v>0</v>
      </c>
      <c r="E79" s="14">
        <v>0</v>
      </c>
      <c r="F79" s="14">
        <v>0</v>
      </c>
      <c r="H79" s="13" t="s">
        <v>33</v>
      </c>
      <c r="I79" s="14">
        <v>5</v>
      </c>
      <c r="J79" s="14">
        <v>2</v>
      </c>
      <c r="K79" s="14">
        <v>0</v>
      </c>
      <c r="L79" s="14">
        <v>2</v>
      </c>
      <c r="M79" s="14">
        <v>1</v>
      </c>
      <c r="O79" s="13" t="s">
        <v>33</v>
      </c>
      <c r="P79" s="14">
        <v>321</v>
      </c>
      <c r="Q79" s="14">
        <v>318</v>
      </c>
      <c r="R79" s="14">
        <v>1</v>
      </c>
      <c r="S79" s="14">
        <v>1</v>
      </c>
      <c r="T79" s="14">
        <v>1</v>
      </c>
    </row>
    <row r="80" spans="1:20" x14ac:dyDescent="0.3">
      <c r="A80" s="13" t="s">
        <v>34</v>
      </c>
      <c r="B80" s="14">
        <v>14</v>
      </c>
      <c r="C80" s="14">
        <v>6</v>
      </c>
      <c r="D80" s="14">
        <v>3</v>
      </c>
      <c r="E80" s="14">
        <v>2</v>
      </c>
      <c r="F80" s="14">
        <v>3</v>
      </c>
      <c r="H80" s="13" t="s">
        <v>34</v>
      </c>
      <c r="I80" s="14">
        <v>34</v>
      </c>
      <c r="J80" s="14">
        <v>10</v>
      </c>
      <c r="K80" s="14">
        <v>10</v>
      </c>
      <c r="L80" s="14">
        <v>5</v>
      </c>
      <c r="M80" s="14">
        <v>9</v>
      </c>
      <c r="O80" s="13" t="s">
        <v>34</v>
      </c>
      <c r="P80" s="14">
        <v>15</v>
      </c>
      <c r="Q80" s="14">
        <v>5</v>
      </c>
      <c r="R80" s="14">
        <v>3</v>
      </c>
      <c r="S80" s="14">
        <v>4</v>
      </c>
      <c r="T80" s="14">
        <v>3</v>
      </c>
    </row>
    <row r="81" spans="1:20" x14ac:dyDescent="0.3">
      <c r="A81" s="15" t="s">
        <v>35</v>
      </c>
      <c r="B81" s="16">
        <v>1</v>
      </c>
      <c r="C81" s="16">
        <v>1</v>
      </c>
      <c r="D81" s="16">
        <v>0</v>
      </c>
      <c r="E81" s="16">
        <v>0</v>
      </c>
      <c r="F81" s="16">
        <v>0</v>
      </c>
      <c r="H81" s="15" t="s">
        <v>35</v>
      </c>
      <c r="I81" s="16">
        <v>3</v>
      </c>
      <c r="J81" s="16">
        <v>0</v>
      </c>
      <c r="K81" s="16">
        <v>0</v>
      </c>
      <c r="L81" s="16">
        <v>0</v>
      </c>
      <c r="M81" s="16">
        <v>3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1</v>
      </c>
      <c r="C82" s="18">
        <v>1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3</v>
      </c>
      <c r="J83" s="78">
        <v>0</v>
      </c>
      <c r="K83" s="78">
        <v>0</v>
      </c>
      <c r="L83" s="78">
        <v>0</v>
      </c>
      <c r="M83" s="78">
        <v>3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7" t="s">
        <v>103</v>
      </c>
      <c r="C84" s="168"/>
      <c r="D84" s="168"/>
      <c r="E84" s="168"/>
      <c r="F84" s="168"/>
      <c r="H84" s="17" t="s">
        <v>38</v>
      </c>
      <c r="I84" s="172" t="s">
        <v>103</v>
      </c>
      <c r="J84" s="173"/>
      <c r="K84" s="173"/>
      <c r="L84" s="173"/>
      <c r="M84" s="173"/>
      <c r="O84" s="17" t="s">
        <v>38</v>
      </c>
      <c r="P84" s="167" t="s">
        <v>103</v>
      </c>
      <c r="Q84" s="168"/>
      <c r="R84" s="168"/>
      <c r="S84" s="168"/>
      <c r="T84" s="168"/>
    </row>
    <row r="85" spans="1:20" ht="19.8" x14ac:dyDescent="0.3">
      <c r="A85" s="170">
        <v>46087</v>
      </c>
      <c r="B85" s="168"/>
      <c r="C85" s="168"/>
      <c r="D85" s="168"/>
      <c r="E85" s="168"/>
      <c r="F85" s="168"/>
      <c r="H85" s="170">
        <v>46118</v>
      </c>
      <c r="I85" s="168"/>
      <c r="J85" s="168"/>
      <c r="K85" s="168"/>
      <c r="L85" s="168"/>
      <c r="M85" s="168"/>
      <c r="O85" s="170">
        <v>46149</v>
      </c>
      <c r="P85" s="168"/>
      <c r="Q85" s="168"/>
      <c r="R85" s="168"/>
      <c r="S85" s="168"/>
      <c r="T85" s="168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6156</v>
      </c>
      <c r="C87" s="3">
        <v>1682</v>
      </c>
      <c r="D87" s="3">
        <v>1628</v>
      </c>
      <c r="E87" s="3">
        <v>1411</v>
      </c>
      <c r="F87" s="3">
        <v>1435</v>
      </c>
      <c r="H87" s="2" t="s">
        <v>5</v>
      </c>
      <c r="I87" s="3">
        <v>3662</v>
      </c>
      <c r="J87" s="3">
        <v>983</v>
      </c>
      <c r="K87" s="3">
        <v>1005</v>
      </c>
      <c r="L87" s="3">
        <v>831</v>
      </c>
      <c r="M87" s="3">
        <v>843</v>
      </c>
      <c r="O87" s="2" t="s">
        <v>5</v>
      </c>
      <c r="P87" s="3">
        <v>7029</v>
      </c>
      <c r="Q87" s="3">
        <v>2056</v>
      </c>
      <c r="R87" s="3">
        <v>1876</v>
      </c>
      <c r="S87" s="3">
        <v>1613</v>
      </c>
      <c r="T87" s="3">
        <v>1484</v>
      </c>
    </row>
    <row r="88" spans="1:20" x14ac:dyDescent="0.3">
      <c r="A88" s="2" t="s">
        <v>6</v>
      </c>
      <c r="B88" s="3">
        <v>407</v>
      </c>
      <c r="C88" s="6">
        <v>102</v>
      </c>
      <c r="D88" s="4">
        <v>98</v>
      </c>
      <c r="E88" s="6">
        <v>102</v>
      </c>
      <c r="F88" s="5">
        <v>105</v>
      </c>
      <c r="H88" s="2" t="s">
        <v>6</v>
      </c>
      <c r="I88" s="3">
        <v>359</v>
      </c>
      <c r="J88" s="5">
        <v>106</v>
      </c>
      <c r="K88" s="6">
        <v>100</v>
      </c>
      <c r="L88" s="3">
        <v>68</v>
      </c>
      <c r="M88" s="4">
        <v>85</v>
      </c>
      <c r="O88" s="2" t="s">
        <v>6</v>
      </c>
      <c r="P88" s="3">
        <v>480</v>
      </c>
      <c r="Q88" s="5">
        <v>297</v>
      </c>
      <c r="R88" s="3">
        <v>38</v>
      </c>
      <c r="S88" s="6">
        <v>85</v>
      </c>
      <c r="T88" s="4">
        <v>60</v>
      </c>
    </row>
    <row r="89" spans="1:20" x14ac:dyDescent="0.3">
      <c r="A89" s="2" t="s">
        <v>7</v>
      </c>
      <c r="B89" s="3" t="s">
        <v>301</v>
      </c>
      <c r="C89" s="4" t="s">
        <v>302</v>
      </c>
      <c r="D89" s="3" t="s">
        <v>303</v>
      </c>
      <c r="E89" s="6" t="s">
        <v>304</v>
      </c>
      <c r="F89" s="5" t="s">
        <v>298</v>
      </c>
      <c r="H89" s="2" t="s">
        <v>7</v>
      </c>
      <c r="I89" s="3" t="s">
        <v>334</v>
      </c>
      <c r="J89" s="5" t="s">
        <v>1299</v>
      </c>
      <c r="K89" s="4" t="s">
        <v>360</v>
      </c>
      <c r="L89" s="3" t="s">
        <v>690</v>
      </c>
      <c r="M89" s="6" t="s">
        <v>1300</v>
      </c>
      <c r="O89" s="2" t="s">
        <v>7</v>
      </c>
      <c r="P89" s="3" t="s">
        <v>682</v>
      </c>
      <c r="Q89" s="5" t="s">
        <v>344</v>
      </c>
      <c r="R89" s="3" t="s">
        <v>776</v>
      </c>
      <c r="S89" s="6" t="s">
        <v>1386</v>
      </c>
      <c r="T89" s="4" t="s">
        <v>670</v>
      </c>
    </row>
    <row r="90" spans="1:20" x14ac:dyDescent="0.3">
      <c r="A90" s="2" t="s">
        <v>12</v>
      </c>
      <c r="B90" s="3" t="s">
        <v>305</v>
      </c>
      <c r="C90" s="4" t="s">
        <v>306</v>
      </c>
      <c r="D90" s="3" t="s">
        <v>307</v>
      </c>
      <c r="E90" s="6" t="s">
        <v>308</v>
      </c>
      <c r="F90" s="5" t="s">
        <v>298</v>
      </c>
      <c r="H90" s="2" t="s">
        <v>12</v>
      </c>
      <c r="I90" s="3" t="s">
        <v>95</v>
      </c>
      <c r="J90" s="6" t="s">
        <v>598</v>
      </c>
      <c r="K90" s="4" t="s">
        <v>1228</v>
      </c>
      <c r="L90" s="3" t="s">
        <v>211</v>
      </c>
      <c r="M90" s="5" t="s">
        <v>728</v>
      </c>
      <c r="O90" s="2" t="s">
        <v>12</v>
      </c>
      <c r="P90" s="3" t="s">
        <v>640</v>
      </c>
      <c r="Q90" s="6" t="s">
        <v>397</v>
      </c>
      <c r="R90" s="3" t="s">
        <v>776</v>
      </c>
      <c r="S90" s="5" t="s">
        <v>1445</v>
      </c>
      <c r="T90" s="4" t="s">
        <v>670</v>
      </c>
    </row>
    <row r="91" spans="1:20" x14ac:dyDescent="0.3">
      <c r="A91" s="2" t="s">
        <v>17</v>
      </c>
      <c r="B91" s="3" t="s">
        <v>309</v>
      </c>
      <c r="C91" s="3" t="s">
        <v>268</v>
      </c>
      <c r="D91" s="4" t="s">
        <v>268</v>
      </c>
      <c r="E91" s="5" t="s">
        <v>310</v>
      </c>
      <c r="F91" s="6" t="s">
        <v>138</v>
      </c>
      <c r="H91" s="2" t="s">
        <v>17</v>
      </c>
      <c r="I91" s="3" t="s">
        <v>349</v>
      </c>
      <c r="J91" s="4" t="s">
        <v>774</v>
      </c>
      <c r="K91" s="6" t="s">
        <v>540</v>
      </c>
      <c r="L91" s="3" t="s">
        <v>156</v>
      </c>
      <c r="M91" s="5" t="s">
        <v>398</v>
      </c>
      <c r="O91" s="2" t="s">
        <v>17</v>
      </c>
      <c r="P91" s="3" t="s">
        <v>626</v>
      </c>
      <c r="Q91" s="5" t="s">
        <v>1540</v>
      </c>
      <c r="R91" s="3" t="s">
        <v>25</v>
      </c>
      <c r="S91" s="4" t="s">
        <v>102</v>
      </c>
      <c r="T91" s="6" t="s">
        <v>75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404</v>
      </c>
      <c r="C93" s="8">
        <v>101</v>
      </c>
      <c r="D93" s="8">
        <v>97</v>
      </c>
      <c r="E93" s="8">
        <v>101</v>
      </c>
      <c r="F93" s="8">
        <v>105</v>
      </c>
      <c r="H93" s="7" t="s">
        <v>26</v>
      </c>
      <c r="I93" s="8">
        <v>300</v>
      </c>
      <c r="J93" s="8">
        <v>85</v>
      </c>
      <c r="K93" s="8">
        <v>77</v>
      </c>
      <c r="L93" s="8">
        <v>63</v>
      </c>
      <c r="M93" s="8">
        <v>75</v>
      </c>
      <c r="O93" s="7" t="s">
        <v>26</v>
      </c>
      <c r="P93" s="8">
        <v>275</v>
      </c>
      <c r="Q93" s="8">
        <v>94</v>
      </c>
      <c r="R93" s="8">
        <v>38</v>
      </c>
      <c r="S93" s="8">
        <v>83</v>
      </c>
      <c r="T93" s="8">
        <v>60</v>
      </c>
    </row>
    <row r="94" spans="1:20" x14ac:dyDescent="0.3">
      <c r="A94" s="9" t="s">
        <v>27</v>
      </c>
      <c r="B94" s="10">
        <v>163</v>
      </c>
      <c r="C94" s="10">
        <v>51</v>
      </c>
      <c r="D94" s="10">
        <v>46</v>
      </c>
      <c r="E94" s="10">
        <v>35</v>
      </c>
      <c r="F94" s="10">
        <v>31</v>
      </c>
      <c r="H94" s="9" t="s">
        <v>27</v>
      </c>
      <c r="I94" s="10">
        <v>133</v>
      </c>
      <c r="J94" s="10">
        <v>37</v>
      </c>
      <c r="K94" s="10">
        <v>35</v>
      </c>
      <c r="L94" s="10">
        <v>29</v>
      </c>
      <c r="M94" s="10">
        <v>32</v>
      </c>
      <c r="O94" s="9" t="s">
        <v>27</v>
      </c>
      <c r="P94" s="10">
        <v>153</v>
      </c>
      <c r="Q94" s="10">
        <v>62</v>
      </c>
      <c r="R94" s="10">
        <v>18</v>
      </c>
      <c r="S94" s="10">
        <v>46</v>
      </c>
      <c r="T94" s="10">
        <v>27</v>
      </c>
    </row>
    <row r="95" spans="1:20" x14ac:dyDescent="0.3">
      <c r="A95" s="9" t="s">
        <v>28</v>
      </c>
      <c r="B95" s="10">
        <v>45</v>
      </c>
      <c r="C95" s="10">
        <v>15</v>
      </c>
      <c r="D95" s="10">
        <v>14</v>
      </c>
      <c r="E95" s="10">
        <v>4</v>
      </c>
      <c r="F95" s="10">
        <v>12</v>
      </c>
      <c r="H95" s="9" t="s">
        <v>28</v>
      </c>
      <c r="I95" s="10">
        <v>36</v>
      </c>
      <c r="J95" s="10">
        <v>12</v>
      </c>
      <c r="K95" s="10">
        <v>10</v>
      </c>
      <c r="L95" s="10">
        <v>7</v>
      </c>
      <c r="M95" s="10">
        <v>7</v>
      </c>
      <c r="O95" s="9" t="s">
        <v>28</v>
      </c>
      <c r="P95" s="10">
        <v>70</v>
      </c>
      <c r="Q95" s="10">
        <v>20</v>
      </c>
      <c r="R95" s="10">
        <v>9</v>
      </c>
      <c r="S95" s="10">
        <v>23</v>
      </c>
      <c r="T95" s="10">
        <v>18</v>
      </c>
    </row>
    <row r="96" spans="1:20" x14ac:dyDescent="0.3">
      <c r="A96" s="9" t="s">
        <v>29</v>
      </c>
      <c r="B96" s="10">
        <v>58</v>
      </c>
      <c r="C96" s="10">
        <v>0</v>
      </c>
      <c r="D96" s="10">
        <v>10</v>
      </c>
      <c r="E96" s="10">
        <v>22</v>
      </c>
      <c r="F96" s="10">
        <v>26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98</v>
      </c>
      <c r="C97" s="10">
        <v>22</v>
      </c>
      <c r="D97" s="10">
        <v>20</v>
      </c>
      <c r="E97" s="10">
        <v>28</v>
      </c>
      <c r="F97" s="10">
        <v>28</v>
      </c>
      <c r="H97" s="9" t="s">
        <v>30</v>
      </c>
      <c r="I97" s="10">
        <v>101</v>
      </c>
      <c r="J97" s="10">
        <v>33</v>
      </c>
      <c r="K97" s="10">
        <v>31</v>
      </c>
      <c r="L97" s="10">
        <v>16</v>
      </c>
      <c r="M97" s="10">
        <v>21</v>
      </c>
      <c r="O97" s="9" t="s">
        <v>30</v>
      </c>
      <c r="P97" s="10">
        <v>52</v>
      </c>
      <c r="Q97" s="10">
        <v>12</v>
      </c>
      <c r="R97" s="10">
        <v>11</v>
      </c>
      <c r="S97" s="10">
        <v>14</v>
      </c>
      <c r="T97" s="10">
        <v>15</v>
      </c>
    </row>
    <row r="98" spans="1:20" x14ac:dyDescent="0.3">
      <c r="A98" s="9" t="s">
        <v>31</v>
      </c>
      <c r="B98" s="10">
        <v>40</v>
      </c>
      <c r="C98" s="10">
        <v>13</v>
      </c>
      <c r="D98" s="10">
        <v>7</v>
      </c>
      <c r="E98" s="10">
        <v>12</v>
      </c>
      <c r="F98" s="10">
        <v>8</v>
      </c>
      <c r="H98" s="9" t="s">
        <v>31</v>
      </c>
      <c r="I98" s="10">
        <v>30</v>
      </c>
      <c r="J98" s="10">
        <v>3</v>
      </c>
      <c r="K98" s="10">
        <v>1</v>
      </c>
      <c r="L98" s="10">
        <v>11</v>
      </c>
      <c r="M98" s="10">
        <v>15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5</v>
      </c>
      <c r="C99" s="12">
        <v>1</v>
      </c>
      <c r="D99" s="12">
        <v>1</v>
      </c>
      <c r="E99" s="12">
        <v>2</v>
      </c>
      <c r="F99" s="12">
        <v>1</v>
      </c>
      <c r="H99" s="11" t="s">
        <v>32</v>
      </c>
      <c r="I99" s="12">
        <v>72</v>
      </c>
      <c r="J99" s="12">
        <v>17</v>
      </c>
      <c r="K99" s="12">
        <v>23</v>
      </c>
      <c r="L99" s="12">
        <v>9</v>
      </c>
      <c r="M99" s="12">
        <v>23</v>
      </c>
      <c r="O99" s="11" t="s">
        <v>32</v>
      </c>
      <c r="P99" s="12">
        <v>212</v>
      </c>
      <c r="Q99" s="12">
        <v>208</v>
      </c>
      <c r="R99" s="12">
        <v>0</v>
      </c>
      <c r="S99" s="12">
        <v>2</v>
      </c>
      <c r="T99" s="12">
        <v>2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6</v>
      </c>
      <c r="J100" s="14">
        <v>1</v>
      </c>
      <c r="K100" s="14">
        <v>1</v>
      </c>
      <c r="L100" s="14">
        <v>1</v>
      </c>
      <c r="M100" s="14">
        <v>3</v>
      </c>
      <c r="O100" s="13" t="s">
        <v>33</v>
      </c>
      <c r="P100" s="14">
        <v>207</v>
      </c>
      <c r="Q100" s="14">
        <v>206</v>
      </c>
      <c r="R100" s="14">
        <v>0</v>
      </c>
      <c r="S100" s="14">
        <v>1</v>
      </c>
      <c r="T100" s="14">
        <v>0</v>
      </c>
    </row>
    <row r="101" spans="1:20" x14ac:dyDescent="0.3">
      <c r="A101" s="13" t="s">
        <v>34</v>
      </c>
      <c r="B101" s="14">
        <v>5</v>
      </c>
      <c r="C101" s="14">
        <v>1</v>
      </c>
      <c r="D101" s="14">
        <v>1</v>
      </c>
      <c r="E101" s="14">
        <v>2</v>
      </c>
      <c r="F101" s="14">
        <v>1</v>
      </c>
      <c r="H101" s="13" t="s">
        <v>34</v>
      </c>
      <c r="I101" s="14">
        <v>66</v>
      </c>
      <c r="J101" s="14">
        <v>16</v>
      </c>
      <c r="K101" s="14">
        <v>22</v>
      </c>
      <c r="L101" s="14">
        <v>8</v>
      </c>
      <c r="M101" s="14">
        <v>20</v>
      </c>
      <c r="O101" s="13" t="s">
        <v>34</v>
      </c>
      <c r="P101" s="14">
        <v>5</v>
      </c>
      <c r="Q101" s="14">
        <v>2</v>
      </c>
      <c r="R101" s="14">
        <v>0</v>
      </c>
      <c r="S101" s="14">
        <v>1</v>
      </c>
      <c r="T101" s="14">
        <v>2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7" t="s">
        <v>103</v>
      </c>
      <c r="C105" s="168"/>
      <c r="D105" s="168"/>
      <c r="E105" s="168"/>
      <c r="F105" s="168"/>
      <c r="H105" s="17" t="s">
        <v>38</v>
      </c>
      <c r="I105" s="167" t="s">
        <v>103</v>
      </c>
      <c r="J105" s="168"/>
      <c r="K105" s="168"/>
      <c r="L105" s="168"/>
      <c r="M105" s="168"/>
      <c r="O105" s="17" t="s">
        <v>38</v>
      </c>
      <c r="P105" s="167" t="s">
        <v>103</v>
      </c>
      <c r="Q105" s="168"/>
      <c r="R105" s="168"/>
      <c r="S105" s="168"/>
      <c r="T105" s="168"/>
    </row>
    <row r="106" spans="1:20" ht="19.8" x14ac:dyDescent="0.3">
      <c r="A106" s="170">
        <v>46088</v>
      </c>
      <c r="B106" s="168"/>
      <c r="C106" s="168"/>
      <c r="D106" s="168"/>
      <c r="E106" s="168"/>
      <c r="F106" s="168"/>
      <c r="H106" s="170">
        <v>46119</v>
      </c>
      <c r="I106" s="168"/>
      <c r="J106" s="168"/>
      <c r="K106" s="168"/>
      <c r="L106" s="168"/>
      <c r="M106" s="168"/>
      <c r="O106" s="170">
        <v>46150</v>
      </c>
      <c r="P106" s="168"/>
      <c r="Q106" s="168"/>
      <c r="R106" s="168"/>
      <c r="S106" s="168"/>
      <c r="T106" s="168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5757</v>
      </c>
      <c r="C108" s="3">
        <v>1233</v>
      </c>
      <c r="D108" s="3">
        <v>1622</v>
      </c>
      <c r="E108" s="3">
        <v>1434</v>
      </c>
      <c r="F108" s="3">
        <v>1468</v>
      </c>
      <c r="H108" s="2" t="s">
        <v>5</v>
      </c>
      <c r="I108" s="3">
        <v>5837</v>
      </c>
      <c r="J108" s="3">
        <v>1592</v>
      </c>
      <c r="K108" s="3">
        <v>1557</v>
      </c>
      <c r="L108" s="3">
        <v>1347</v>
      </c>
      <c r="M108" s="3">
        <v>1341</v>
      </c>
      <c r="O108" s="2" t="s">
        <v>5</v>
      </c>
      <c r="P108" s="3">
        <v>6301</v>
      </c>
      <c r="Q108" s="3">
        <v>297</v>
      </c>
      <c r="R108" s="3">
        <v>2130</v>
      </c>
      <c r="S108" s="3">
        <v>2003</v>
      </c>
      <c r="T108" s="3">
        <v>1871</v>
      </c>
    </row>
    <row r="109" spans="1:20" x14ac:dyDescent="0.3">
      <c r="A109" s="2" t="s">
        <v>6</v>
      </c>
      <c r="B109" s="3">
        <v>426</v>
      </c>
      <c r="C109" s="4">
        <v>99</v>
      </c>
      <c r="D109" s="3">
        <v>90</v>
      </c>
      <c r="E109" s="5">
        <v>132</v>
      </c>
      <c r="F109" s="6">
        <v>105</v>
      </c>
      <c r="H109" s="2" t="s">
        <v>6</v>
      </c>
      <c r="I109" s="3">
        <v>626</v>
      </c>
      <c r="J109" s="5">
        <v>176</v>
      </c>
      <c r="K109" s="6">
        <v>167</v>
      </c>
      <c r="L109" s="4">
        <v>149</v>
      </c>
      <c r="M109" s="3">
        <v>134</v>
      </c>
      <c r="O109" s="2" t="s">
        <v>6</v>
      </c>
      <c r="P109" s="3">
        <v>249</v>
      </c>
      <c r="Q109" s="3">
        <v>40</v>
      </c>
      <c r="R109" s="4">
        <v>45</v>
      </c>
      <c r="S109" s="5">
        <v>85</v>
      </c>
      <c r="T109" s="6">
        <v>79</v>
      </c>
    </row>
    <row r="110" spans="1:20" x14ac:dyDescent="0.3">
      <c r="A110" s="2" t="s">
        <v>7</v>
      </c>
      <c r="B110" s="3" t="s">
        <v>324</v>
      </c>
      <c r="C110" s="6" t="s">
        <v>325</v>
      </c>
      <c r="D110" s="3" t="s">
        <v>326</v>
      </c>
      <c r="E110" s="5" t="s">
        <v>110</v>
      </c>
      <c r="F110" s="4" t="s">
        <v>327</v>
      </c>
      <c r="H110" s="2" t="s">
        <v>7</v>
      </c>
      <c r="I110" s="3" t="s">
        <v>115</v>
      </c>
      <c r="J110" s="6" t="s">
        <v>1264</v>
      </c>
      <c r="K110" s="4" t="s">
        <v>373</v>
      </c>
      <c r="L110" s="5" t="s">
        <v>1264</v>
      </c>
      <c r="M110" s="3" t="s">
        <v>1325</v>
      </c>
      <c r="O110" s="2" t="s">
        <v>7</v>
      </c>
      <c r="P110" s="3" t="s">
        <v>1224</v>
      </c>
      <c r="Q110" s="5" t="s">
        <v>761</v>
      </c>
      <c r="R110" s="3" t="s">
        <v>278</v>
      </c>
      <c r="S110" s="6" t="s">
        <v>963</v>
      </c>
      <c r="T110" s="4" t="s">
        <v>919</v>
      </c>
    </row>
    <row r="111" spans="1:20" x14ac:dyDescent="0.3">
      <c r="A111" s="2" t="s">
        <v>12</v>
      </c>
      <c r="B111" s="3" t="s">
        <v>308</v>
      </c>
      <c r="C111" s="6" t="s">
        <v>328</v>
      </c>
      <c r="D111" s="3" t="s">
        <v>329</v>
      </c>
      <c r="E111" s="5" t="s">
        <v>330</v>
      </c>
      <c r="F111" s="4" t="s">
        <v>331</v>
      </c>
      <c r="H111" s="2" t="s">
        <v>12</v>
      </c>
      <c r="I111" s="3" t="s">
        <v>1326</v>
      </c>
      <c r="J111" s="4" t="s">
        <v>94</v>
      </c>
      <c r="K111" s="3" t="s">
        <v>513</v>
      </c>
      <c r="L111" s="5" t="s">
        <v>798</v>
      </c>
      <c r="M111" s="6" t="s">
        <v>222</v>
      </c>
      <c r="O111" s="2" t="s">
        <v>12</v>
      </c>
      <c r="P111" s="3" t="s">
        <v>1500</v>
      </c>
      <c r="Q111" s="3" t="s">
        <v>582</v>
      </c>
      <c r="R111" s="4" t="s">
        <v>1362</v>
      </c>
      <c r="S111" s="5" t="s">
        <v>963</v>
      </c>
      <c r="T111" s="6" t="s">
        <v>1005</v>
      </c>
    </row>
    <row r="112" spans="1:20" x14ac:dyDescent="0.3">
      <c r="A112" s="2" t="s">
        <v>17</v>
      </c>
      <c r="B112" s="3" t="s">
        <v>78</v>
      </c>
      <c r="C112" s="4" t="s">
        <v>146</v>
      </c>
      <c r="D112" s="3" t="s">
        <v>47</v>
      </c>
      <c r="E112" s="5" t="s">
        <v>332</v>
      </c>
      <c r="F112" s="6" t="s">
        <v>100</v>
      </c>
      <c r="H112" s="2" t="s">
        <v>17</v>
      </c>
      <c r="I112" s="3" t="s">
        <v>23</v>
      </c>
      <c r="J112" s="3" t="s">
        <v>548</v>
      </c>
      <c r="K112" s="5" t="s">
        <v>68</v>
      </c>
      <c r="L112" s="4" t="s">
        <v>573</v>
      </c>
      <c r="M112" s="6" t="s">
        <v>550</v>
      </c>
      <c r="O112" s="2" t="s">
        <v>17</v>
      </c>
      <c r="P112" s="3" t="s">
        <v>596</v>
      </c>
      <c r="Q112" s="5" t="s">
        <v>1131</v>
      </c>
      <c r="R112" s="3" t="s">
        <v>158</v>
      </c>
      <c r="S112" s="4" t="s">
        <v>158</v>
      </c>
      <c r="T112" s="6" t="s">
        <v>49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267</v>
      </c>
      <c r="J113" s="3" t="s">
        <v>25</v>
      </c>
      <c r="K113" s="3" t="s">
        <v>25</v>
      </c>
      <c r="L113" s="3" t="s">
        <v>25</v>
      </c>
      <c r="M113" s="5" t="s">
        <v>138</v>
      </c>
      <c r="O113" s="2" t="s">
        <v>22</v>
      </c>
      <c r="P113" s="3" t="s">
        <v>267</v>
      </c>
      <c r="Q113" s="3" t="s">
        <v>25</v>
      </c>
      <c r="R113" s="3" t="s">
        <v>25</v>
      </c>
      <c r="S113" s="3" t="s">
        <v>25</v>
      </c>
      <c r="T113" s="5" t="s">
        <v>158</v>
      </c>
    </row>
    <row r="114" spans="1:20" x14ac:dyDescent="0.3">
      <c r="A114" s="7" t="s">
        <v>26</v>
      </c>
      <c r="B114" s="8">
        <v>412</v>
      </c>
      <c r="C114" s="8">
        <v>95</v>
      </c>
      <c r="D114" s="8">
        <v>86</v>
      </c>
      <c r="E114" s="8">
        <v>129</v>
      </c>
      <c r="F114" s="8">
        <v>102</v>
      </c>
      <c r="H114" s="7" t="s">
        <v>26</v>
      </c>
      <c r="I114" s="8">
        <v>498</v>
      </c>
      <c r="J114" s="8">
        <v>130</v>
      </c>
      <c r="K114" s="8">
        <v>115</v>
      </c>
      <c r="L114" s="8">
        <v>127</v>
      </c>
      <c r="M114" s="8">
        <v>126</v>
      </c>
      <c r="O114" s="7" t="s">
        <v>26</v>
      </c>
      <c r="P114" s="8">
        <v>210</v>
      </c>
      <c r="Q114" s="8">
        <v>4</v>
      </c>
      <c r="R114" s="8">
        <v>44</v>
      </c>
      <c r="S114" s="8">
        <v>85</v>
      </c>
      <c r="T114" s="8">
        <v>77</v>
      </c>
    </row>
    <row r="115" spans="1:20" x14ac:dyDescent="0.3">
      <c r="A115" s="9" t="s">
        <v>27</v>
      </c>
      <c r="B115" s="10">
        <v>141</v>
      </c>
      <c r="C115" s="10">
        <v>42</v>
      </c>
      <c r="D115" s="10">
        <v>36</v>
      </c>
      <c r="E115" s="10">
        <v>41</v>
      </c>
      <c r="F115" s="10">
        <v>22</v>
      </c>
      <c r="H115" s="9" t="s">
        <v>27</v>
      </c>
      <c r="I115" s="10">
        <v>208</v>
      </c>
      <c r="J115" s="10">
        <v>57</v>
      </c>
      <c r="K115" s="10">
        <v>50</v>
      </c>
      <c r="L115" s="10">
        <v>54</v>
      </c>
      <c r="M115" s="10">
        <v>47</v>
      </c>
      <c r="O115" s="9" t="s">
        <v>27</v>
      </c>
      <c r="P115" s="10">
        <v>93</v>
      </c>
      <c r="Q115" s="10">
        <v>2</v>
      </c>
      <c r="R115" s="10">
        <v>20</v>
      </c>
      <c r="S115" s="10">
        <v>34</v>
      </c>
      <c r="T115" s="10">
        <v>37</v>
      </c>
    </row>
    <row r="116" spans="1:20" x14ac:dyDescent="0.3">
      <c r="A116" s="9" t="s">
        <v>28</v>
      </c>
      <c r="B116" s="10">
        <v>57</v>
      </c>
      <c r="C116" s="10">
        <v>20</v>
      </c>
      <c r="D116" s="10">
        <v>13</v>
      </c>
      <c r="E116" s="10">
        <v>13</v>
      </c>
      <c r="F116" s="10">
        <v>11</v>
      </c>
      <c r="H116" s="9" t="s">
        <v>28</v>
      </c>
      <c r="I116" s="10">
        <v>71</v>
      </c>
      <c r="J116" s="10">
        <v>18</v>
      </c>
      <c r="K116" s="10">
        <v>14</v>
      </c>
      <c r="L116" s="10">
        <v>17</v>
      </c>
      <c r="M116" s="10">
        <v>22</v>
      </c>
      <c r="O116" s="9" t="s">
        <v>28</v>
      </c>
      <c r="P116" s="10">
        <v>74</v>
      </c>
      <c r="Q116" s="10">
        <v>0</v>
      </c>
      <c r="R116" s="10">
        <v>18</v>
      </c>
      <c r="S116" s="10">
        <v>27</v>
      </c>
      <c r="T116" s="10">
        <v>29</v>
      </c>
    </row>
    <row r="117" spans="1:20" x14ac:dyDescent="0.3">
      <c r="A117" s="9" t="s">
        <v>29</v>
      </c>
      <c r="B117" s="10">
        <v>74</v>
      </c>
      <c r="C117" s="10">
        <v>0</v>
      </c>
      <c r="D117" s="10">
        <v>7</v>
      </c>
      <c r="E117" s="10">
        <v>31</v>
      </c>
      <c r="F117" s="10">
        <v>36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89</v>
      </c>
      <c r="C118" s="10">
        <v>16</v>
      </c>
      <c r="D118" s="10">
        <v>20</v>
      </c>
      <c r="E118" s="10">
        <v>31</v>
      </c>
      <c r="F118" s="10">
        <v>22</v>
      </c>
      <c r="H118" s="9" t="s">
        <v>30</v>
      </c>
      <c r="I118" s="10">
        <v>163</v>
      </c>
      <c r="J118" s="10">
        <v>43</v>
      </c>
      <c r="K118" s="10">
        <v>47</v>
      </c>
      <c r="L118" s="10">
        <v>36</v>
      </c>
      <c r="M118" s="10">
        <v>37</v>
      </c>
      <c r="O118" s="9" t="s">
        <v>30</v>
      </c>
      <c r="P118" s="10">
        <v>43</v>
      </c>
      <c r="Q118" s="10">
        <v>2</v>
      </c>
      <c r="R118" s="10">
        <v>6</v>
      </c>
      <c r="S118" s="10">
        <v>24</v>
      </c>
      <c r="T118" s="10">
        <v>11</v>
      </c>
    </row>
    <row r="119" spans="1:20" x14ac:dyDescent="0.3">
      <c r="A119" s="9" t="s">
        <v>31</v>
      </c>
      <c r="B119" s="10">
        <v>51</v>
      </c>
      <c r="C119" s="10">
        <v>17</v>
      </c>
      <c r="D119" s="10">
        <v>10</v>
      </c>
      <c r="E119" s="10">
        <v>13</v>
      </c>
      <c r="F119" s="10">
        <v>11</v>
      </c>
      <c r="H119" s="9" t="s">
        <v>31</v>
      </c>
      <c r="I119" s="10">
        <v>56</v>
      </c>
      <c r="J119" s="10">
        <v>12</v>
      </c>
      <c r="K119" s="10">
        <v>4</v>
      </c>
      <c r="L119" s="10">
        <v>20</v>
      </c>
      <c r="M119" s="10">
        <v>20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24</v>
      </c>
      <c r="C120" s="12">
        <v>4</v>
      </c>
      <c r="D120" s="12">
        <v>4</v>
      </c>
      <c r="E120" s="12">
        <v>11</v>
      </c>
      <c r="F120" s="12">
        <v>5</v>
      </c>
      <c r="H120" s="11" t="s">
        <v>32</v>
      </c>
      <c r="I120" s="12">
        <v>158</v>
      </c>
      <c r="J120" s="12">
        <v>40</v>
      </c>
      <c r="K120" s="12">
        <v>49</v>
      </c>
      <c r="L120" s="12">
        <v>34</v>
      </c>
      <c r="M120" s="12">
        <v>35</v>
      </c>
      <c r="O120" s="11" t="s">
        <v>32</v>
      </c>
      <c r="P120" s="12">
        <v>36</v>
      </c>
      <c r="Q120" s="12">
        <v>32</v>
      </c>
      <c r="R120" s="12">
        <v>1</v>
      </c>
      <c r="S120" s="12">
        <v>1</v>
      </c>
      <c r="T120" s="12">
        <v>2</v>
      </c>
    </row>
    <row r="121" spans="1:20" x14ac:dyDescent="0.3">
      <c r="A121" s="13" t="s">
        <v>33</v>
      </c>
      <c r="B121" s="14">
        <v>6</v>
      </c>
      <c r="C121" s="14">
        <v>0</v>
      </c>
      <c r="D121" s="14">
        <v>2</v>
      </c>
      <c r="E121" s="14">
        <v>2</v>
      </c>
      <c r="F121" s="14">
        <v>2</v>
      </c>
      <c r="H121" s="13" t="s">
        <v>33</v>
      </c>
      <c r="I121" s="14">
        <v>6</v>
      </c>
      <c r="J121" s="14">
        <v>0</v>
      </c>
      <c r="K121" s="14">
        <v>5</v>
      </c>
      <c r="L121" s="14">
        <v>1</v>
      </c>
      <c r="M121" s="14">
        <v>0</v>
      </c>
      <c r="O121" s="13" t="s">
        <v>33</v>
      </c>
      <c r="P121" s="14">
        <v>34</v>
      </c>
      <c r="Q121" s="14">
        <v>32</v>
      </c>
      <c r="R121" s="14">
        <v>0</v>
      </c>
      <c r="S121" s="14">
        <v>1</v>
      </c>
      <c r="T121" s="14">
        <v>1</v>
      </c>
    </row>
    <row r="122" spans="1:20" x14ac:dyDescent="0.3">
      <c r="A122" s="13" t="s">
        <v>34</v>
      </c>
      <c r="B122" s="14">
        <v>18</v>
      </c>
      <c r="C122" s="14">
        <v>4</v>
      </c>
      <c r="D122" s="14">
        <v>2</v>
      </c>
      <c r="E122" s="14">
        <v>9</v>
      </c>
      <c r="F122" s="14">
        <v>3</v>
      </c>
      <c r="H122" s="13" t="s">
        <v>34</v>
      </c>
      <c r="I122" s="14">
        <v>152</v>
      </c>
      <c r="J122" s="14">
        <v>40</v>
      </c>
      <c r="K122" s="14">
        <v>44</v>
      </c>
      <c r="L122" s="14">
        <v>33</v>
      </c>
      <c r="M122" s="14">
        <v>35</v>
      </c>
      <c r="O122" s="13" t="s">
        <v>34</v>
      </c>
      <c r="P122" s="14">
        <v>2</v>
      </c>
      <c r="Q122" s="14">
        <v>0</v>
      </c>
      <c r="R122" s="14">
        <v>1</v>
      </c>
      <c r="S122" s="14">
        <v>0</v>
      </c>
      <c r="T122" s="14">
        <v>1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1</v>
      </c>
      <c r="J123" s="16">
        <v>0</v>
      </c>
      <c r="K123" s="16">
        <v>0</v>
      </c>
      <c r="L123" s="16">
        <v>0</v>
      </c>
      <c r="M123" s="16">
        <v>1</v>
      </c>
      <c r="O123" s="15" t="s">
        <v>35</v>
      </c>
      <c r="P123" s="16">
        <v>1</v>
      </c>
      <c r="Q123" s="16">
        <v>0</v>
      </c>
      <c r="R123" s="16">
        <v>0</v>
      </c>
      <c r="S123" s="16">
        <v>0</v>
      </c>
      <c r="T123" s="16">
        <v>1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1</v>
      </c>
      <c r="Q124" s="112">
        <v>0</v>
      </c>
      <c r="R124" s="112">
        <v>0</v>
      </c>
      <c r="S124" s="112">
        <v>0</v>
      </c>
      <c r="T124" s="112">
        <v>1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1</v>
      </c>
      <c r="J125" s="78">
        <v>0</v>
      </c>
      <c r="K125" s="78">
        <v>0</v>
      </c>
      <c r="L125" s="78">
        <v>0</v>
      </c>
      <c r="M125" s="78">
        <v>1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7" t="s">
        <v>103</v>
      </c>
      <c r="C126" s="168"/>
      <c r="D126" s="168"/>
      <c r="E126" s="168"/>
      <c r="F126" s="168"/>
      <c r="H126" s="17" t="s">
        <v>38</v>
      </c>
      <c r="I126" s="167" t="s">
        <v>103</v>
      </c>
      <c r="J126" s="168"/>
      <c r="K126" s="168"/>
      <c r="L126" s="168"/>
      <c r="M126" s="168"/>
      <c r="O126" s="17" t="s">
        <v>38</v>
      </c>
      <c r="P126" s="167" t="s">
        <v>103</v>
      </c>
      <c r="Q126" s="168"/>
      <c r="R126" s="168"/>
      <c r="S126" s="168"/>
      <c r="T126" s="168"/>
    </row>
    <row r="127" spans="1:20" ht="19.8" x14ac:dyDescent="0.3">
      <c r="A127" s="170">
        <v>46090</v>
      </c>
      <c r="B127" s="168"/>
      <c r="C127" s="168"/>
      <c r="D127" s="168"/>
      <c r="E127" s="168"/>
      <c r="F127" s="168"/>
      <c r="H127" s="170">
        <v>46120</v>
      </c>
      <c r="I127" s="170"/>
      <c r="J127" s="170"/>
      <c r="K127" s="170"/>
      <c r="L127" s="170"/>
      <c r="M127" s="170"/>
      <c r="O127" s="170">
        <v>46151</v>
      </c>
      <c r="P127" s="168"/>
      <c r="Q127" s="168"/>
      <c r="R127" s="168"/>
      <c r="S127" s="168"/>
      <c r="T127" s="168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2544</v>
      </c>
      <c r="C129" s="3">
        <v>668</v>
      </c>
      <c r="D129" s="3">
        <v>720</v>
      </c>
      <c r="E129" s="3">
        <v>520</v>
      </c>
      <c r="F129" s="3">
        <v>636</v>
      </c>
      <c r="H129" s="2" t="s">
        <v>5</v>
      </c>
      <c r="I129" s="3">
        <v>4422</v>
      </c>
      <c r="J129" s="3">
        <v>1617</v>
      </c>
      <c r="K129" s="3">
        <v>0</v>
      </c>
      <c r="L129" s="3">
        <v>1443</v>
      </c>
      <c r="M129" s="3">
        <v>1362</v>
      </c>
      <c r="O129" s="2" t="s">
        <v>5</v>
      </c>
      <c r="P129" s="3">
        <v>6397</v>
      </c>
      <c r="Q129" s="3">
        <v>1887</v>
      </c>
      <c r="R129" s="3">
        <v>1652</v>
      </c>
      <c r="S129" s="3">
        <v>1384</v>
      </c>
      <c r="T129" s="3">
        <v>1474</v>
      </c>
    </row>
    <row r="130" spans="1:20" x14ac:dyDescent="0.3">
      <c r="A130" s="2" t="s">
        <v>6</v>
      </c>
      <c r="B130" s="3">
        <v>273</v>
      </c>
      <c r="C130" s="5">
        <v>116</v>
      </c>
      <c r="D130" s="3">
        <v>47</v>
      </c>
      <c r="E130" s="4">
        <v>51</v>
      </c>
      <c r="F130" s="6">
        <v>59</v>
      </c>
      <c r="H130" s="2" t="s">
        <v>6</v>
      </c>
      <c r="I130" s="3">
        <v>285</v>
      </c>
      <c r="J130" s="5">
        <v>123</v>
      </c>
      <c r="K130" s="3">
        <v>0</v>
      </c>
      <c r="L130" s="6">
        <v>87</v>
      </c>
      <c r="M130" s="4">
        <v>75</v>
      </c>
      <c r="O130" s="2" t="s">
        <v>6</v>
      </c>
      <c r="P130" s="3">
        <v>442</v>
      </c>
      <c r="Q130" s="5">
        <v>232</v>
      </c>
      <c r="R130" s="3">
        <v>57</v>
      </c>
      <c r="S130" s="4">
        <v>75</v>
      </c>
      <c r="T130" s="6">
        <v>78</v>
      </c>
    </row>
    <row r="131" spans="1:20" x14ac:dyDescent="0.3">
      <c r="A131" s="2" t="s">
        <v>7</v>
      </c>
      <c r="B131" s="3" t="s">
        <v>373</v>
      </c>
      <c r="C131" s="5" t="s">
        <v>374</v>
      </c>
      <c r="D131" s="3" t="s">
        <v>375</v>
      </c>
      <c r="E131" s="6" t="s">
        <v>376</v>
      </c>
      <c r="F131" s="4" t="s">
        <v>377</v>
      </c>
      <c r="H131" s="2" t="s">
        <v>7</v>
      </c>
      <c r="I131" s="3" t="s">
        <v>425</v>
      </c>
      <c r="J131" s="5" t="s">
        <v>1330</v>
      </c>
      <c r="K131" s="3">
        <v>0</v>
      </c>
      <c r="L131" s="6" t="s">
        <v>1345</v>
      </c>
      <c r="M131" s="4" t="s">
        <v>1309</v>
      </c>
      <c r="O131" s="2" t="s">
        <v>7</v>
      </c>
      <c r="P131" s="3" t="s">
        <v>322</v>
      </c>
      <c r="Q131" s="5" t="s">
        <v>1846</v>
      </c>
      <c r="R131" s="3" t="s">
        <v>411</v>
      </c>
      <c r="S131" s="6" t="s">
        <v>444</v>
      </c>
      <c r="T131" s="4" t="s">
        <v>218</v>
      </c>
    </row>
    <row r="132" spans="1:20" x14ac:dyDescent="0.3">
      <c r="A132" s="2" t="s">
        <v>12</v>
      </c>
      <c r="B132" s="3" t="s">
        <v>378</v>
      </c>
      <c r="C132" s="5" t="s">
        <v>379</v>
      </c>
      <c r="D132" s="3" t="s">
        <v>380</v>
      </c>
      <c r="E132" s="6" t="s">
        <v>381</v>
      </c>
      <c r="F132" s="4" t="s">
        <v>377</v>
      </c>
      <c r="H132" s="2" t="s">
        <v>12</v>
      </c>
      <c r="I132" s="3" t="s">
        <v>621</v>
      </c>
      <c r="J132" s="5" t="s">
        <v>305</v>
      </c>
      <c r="K132" s="3">
        <v>0</v>
      </c>
      <c r="L132" s="6" t="s">
        <v>255</v>
      </c>
      <c r="M132" s="4" t="s">
        <v>670</v>
      </c>
      <c r="O132" s="2" t="s">
        <v>12</v>
      </c>
      <c r="P132" s="3" t="s">
        <v>1469</v>
      </c>
      <c r="Q132" s="4" t="s">
        <v>536</v>
      </c>
      <c r="R132" s="3" t="s">
        <v>1007</v>
      </c>
      <c r="S132" s="5" t="s">
        <v>904</v>
      </c>
      <c r="T132" s="6" t="s">
        <v>218</v>
      </c>
    </row>
    <row r="133" spans="1:20" x14ac:dyDescent="0.3">
      <c r="A133" s="2" t="s">
        <v>17</v>
      </c>
      <c r="B133" s="3" t="s">
        <v>157</v>
      </c>
      <c r="C133" s="3" t="s">
        <v>147</v>
      </c>
      <c r="D133" s="4" t="s">
        <v>78</v>
      </c>
      <c r="E133" s="5" t="s">
        <v>137</v>
      </c>
      <c r="F133" s="6" t="s">
        <v>148</v>
      </c>
      <c r="H133" s="2" t="s">
        <v>17</v>
      </c>
      <c r="I133" s="3" t="s">
        <v>186</v>
      </c>
      <c r="J133" s="6" t="s">
        <v>806</v>
      </c>
      <c r="K133" s="3" t="s">
        <v>25</v>
      </c>
      <c r="L133" s="4" t="s">
        <v>863</v>
      </c>
      <c r="M133" s="5" t="s">
        <v>351</v>
      </c>
      <c r="O133" s="2" t="s">
        <v>17</v>
      </c>
      <c r="P133" s="3" t="s">
        <v>120</v>
      </c>
      <c r="Q133" s="5" t="s">
        <v>893</v>
      </c>
      <c r="R133" s="4" t="s">
        <v>268</v>
      </c>
      <c r="S133" s="6" t="s">
        <v>138</v>
      </c>
      <c r="T133" s="3" t="s">
        <v>25</v>
      </c>
    </row>
    <row r="134" spans="1:20" x14ac:dyDescent="0.3">
      <c r="A134" s="2" t="s">
        <v>22</v>
      </c>
      <c r="B134" s="3" t="s">
        <v>25</v>
      </c>
      <c r="C134" s="3" t="s">
        <v>25</v>
      </c>
      <c r="D134" s="3" t="s">
        <v>25</v>
      </c>
      <c r="E134" s="3" t="s">
        <v>25</v>
      </c>
      <c r="F134" s="3" t="s">
        <v>25</v>
      </c>
      <c r="H134" s="2" t="s">
        <v>22</v>
      </c>
      <c r="I134" s="3" t="s">
        <v>158</v>
      </c>
      <c r="J134" s="3" t="s">
        <v>25</v>
      </c>
      <c r="K134" s="3" t="s">
        <v>25</v>
      </c>
      <c r="L134" s="3" t="s">
        <v>25</v>
      </c>
      <c r="M134" s="5" t="s">
        <v>121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268</v>
      </c>
      <c r="C135" s="8">
        <v>114</v>
      </c>
      <c r="D135" s="8">
        <v>45</v>
      </c>
      <c r="E135" s="8">
        <v>50</v>
      </c>
      <c r="F135" s="8">
        <v>59</v>
      </c>
      <c r="H135" s="7" t="s">
        <v>26</v>
      </c>
      <c r="I135" s="8">
        <v>239</v>
      </c>
      <c r="J135" s="8">
        <v>106</v>
      </c>
      <c r="K135" s="8">
        <v>0</v>
      </c>
      <c r="L135" s="8">
        <v>78</v>
      </c>
      <c r="M135" s="8">
        <v>55</v>
      </c>
      <c r="O135" s="7" t="s">
        <v>26</v>
      </c>
      <c r="P135" s="8">
        <v>284</v>
      </c>
      <c r="Q135" s="8">
        <v>76</v>
      </c>
      <c r="R135" s="8">
        <v>56</v>
      </c>
      <c r="S135" s="8">
        <v>74</v>
      </c>
      <c r="T135" s="8">
        <v>78</v>
      </c>
    </row>
    <row r="136" spans="1:20" x14ac:dyDescent="0.3">
      <c r="A136" s="9" t="s">
        <v>27</v>
      </c>
      <c r="B136" s="10">
        <v>37</v>
      </c>
      <c r="C136" s="10">
        <v>8</v>
      </c>
      <c r="D136" s="10">
        <v>13</v>
      </c>
      <c r="E136" s="10">
        <v>7</v>
      </c>
      <c r="F136" s="10">
        <v>9</v>
      </c>
      <c r="H136" s="9" t="s">
        <v>27</v>
      </c>
      <c r="I136" s="10">
        <v>98</v>
      </c>
      <c r="J136" s="10">
        <v>44</v>
      </c>
      <c r="K136" s="10">
        <v>0</v>
      </c>
      <c r="L136" s="10">
        <v>34</v>
      </c>
      <c r="M136" s="10">
        <v>20</v>
      </c>
      <c r="O136" s="9" t="s">
        <v>27</v>
      </c>
      <c r="P136" s="10">
        <v>140</v>
      </c>
      <c r="Q136" s="10">
        <v>47</v>
      </c>
      <c r="R136" s="10">
        <v>23</v>
      </c>
      <c r="S136" s="10">
        <v>35</v>
      </c>
      <c r="T136" s="10">
        <v>35</v>
      </c>
    </row>
    <row r="137" spans="1:20" x14ac:dyDescent="0.3">
      <c r="A137" s="9" t="s">
        <v>28</v>
      </c>
      <c r="B137" s="10">
        <v>15</v>
      </c>
      <c r="C137" s="10">
        <v>4</v>
      </c>
      <c r="D137" s="10">
        <v>4</v>
      </c>
      <c r="E137" s="10">
        <v>1</v>
      </c>
      <c r="F137" s="10">
        <v>6</v>
      </c>
      <c r="H137" s="9" t="s">
        <v>28</v>
      </c>
      <c r="I137" s="10">
        <v>57</v>
      </c>
      <c r="J137" s="10">
        <v>27</v>
      </c>
      <c r="K137" s="10">
        <v>0</v>
      </c>
      <c r="L137" s="10">
        <v>19</v>
      </c>
      <c r="M137" s="10">
        <v>11</v>
      </c>
      <c r="O137" s="9" t="s">
        <v>28</v>
      </c>
      <c r="P137" s="10">
        <v>71</v>
      </c>
      <c r="Q137" s="10">
        <v>16</v>
      </c>
      <c r="R137" s="10">
        <v>8</v>
      </c>
      <c r="S137" s="10">
        <v>23</v>
      </c>
      <c r="T137" s="10">
        <v>24</v>
      </c>
    </row>
    <row r="138" spans="1:20" x14ac:dyDescent="0.3">
      <c r="A138" s="9" t="s">
        <v>29</v>
      </c>
      <c r="B138" s="10">
        <v>114</v>
      </c>
      <c r="C138" s="10">
        <v>59</v>
      </c>
      <c r="D138" s="10">
        <v>10</v>
      </c>
      <c r="E138" s="10">
        <v>25</v>
      </c>
      <c r="F138" s="10">
        <v>20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72</v>
      </c>
      <c r="C139" s="10">
        <v>33</v>
      </c>
      <c r="D139" s="10">
        <v>12</v>
      </c>
      <c r="E139" s="10">
        <v>10</v>
      </c>
      <c r="F139" s="10">
        <v>17</v>
      </c>
      <c r="H139" s="9" t="s">
        <v>30</v>
      </c>
      <c r="I139" s="10">
        <v>46</v>
      </c>
      <c r="J139" s="10">
        <v>21</v>
      </c>
      <c r="K139" s="10">
        <v>0</v>
      </c>
      <c r="L139" s="10">
        <v>9</v>
      </c>
      <c r="M139" s="10">
        <v>16</v>
      </c>
      <c r="O139" s="9" t="s">
        <v>30</v>
      </c>
      <c r="P139" s="10">
        <v>73</v>
      </c>
      <c r="Q139" s="10">
        <v>13</v>
      </c>
      <c r="R139" s="10">
        <v>25</v>
      </c>
      <c r="S139" s="10">
        <v>16</v>
      </c>
      <c r="T139" s="10">
        <v>19</v>
      </c>
    </row>
    <row r="140" spans="1:20" x14ac:dyDescent="0.3">
      <c r="A140" s="9" t="s">
        <v>31</v>
      </c>
      <c r="B140" s="10">
        <v>30</v>
      </c>
      <c r="C140" s="10">
        <v>10</v>
      </c>
      <c r="D140" s="10">
        <v>6</v>
      </c>
      <c r="E140" s="10">
        <v>7</v>
      </c>
      <c r="F140" s="10">
        <v>7</v>
      </c>
      <c r="H140" s="9" t="s">
        <v>31</v>
      </c>
      <c r="I140" s="10">
        <v>38</v>
      </c>
      <c r="J140" s="10">
        <v>14</v>
      </c>
      <c r="K140" s="10">
        <v>0</v>
      </c>
      <c r="L140" s="10">
        <v>16</v>
      </c>
      <c r="M140" s="10">
        <v>8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11</v>
      </c>
      <c r="C141" s="12">
        <v>2</v>
      </c>
      <c r="D141" s="12">
        <v>3</v>
      </c>
      <c r="E141" s="12">
        <v>3</v>
      </c>
      <c r="F141" s="12">
        <v>3</v>
      </c>
      <c r="H141" s="11" t="s">
        <v>32</v>
      </c>
      <c r="I141" s="12">
        <v>43</v>
      </c>
      <c r="J141" s="12">
        <v>17</v>
      </c>
      <c r="K141" s="12">
        <v>0</v>
      </c>
      <c r="L141" s="12">
        <v>8</v>
      </c>
      <c r="M141" s="12">
        <v>18</v>
      </c>
      <c r="O141" s="11" t="s">
        <v>32</v>
      </c>
      <c r="P141" s="12">
        <v>155</v>
      </c>
      <c r="Q141" s="12">
        <v>153</v>
      </c>
      <c r="R141" s="12">
        <v>1</v>
      </c>
      <c r="S141" s="12">
        <v>1</v>
      </c>
      <c r="T141" s="12">
        <v>0</v>
      </c>
    </row>
    <row r="142" spans="1:20" x14ac:dyDescent="0.3">
      <c r="A142" s="13" t="s">
        <v>33</v>
      </c>
      <c r="B142" s="14">
        <v>3</v>
      </c>
      <c r="C142" s="14">
        <v>0</v>
      </c>
      <c r="D142" s="14">
        <v>2</v>
      </c>
      <c r="E142" s="14">
        <v>1</v>
      </c>
      <c r="F142" s="14">
        <v>0</v>
      </c>
      <c r="H142" s="13" t="s">
        <v>33</v>
      </c>
      <c r="I142" s="14">
        <v>4</v>
      </c>
      <c r="J142" s="14">
        <v>2</v>
      </c>
      <c r="K142" s="14">
        <v>0</v>
      </c>
      <c r="L142" s="14">
        <v>0</v>
      </c>
      <c r="M142" s="14">
        <v>2</v>
      </c>
      <c r="O142" s="13" t="s">
        <v>33</v>
      </c>
      <c r="P142" s="14">
        <v>153</v>
      </c>
      <c r="Q142" s="14">
        <v>153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8</v>
      </c>
      <c r="C143" s="14">
        <v>2</v>
      </c>
      <c r="D143" s="14">
        <v>1</v>
      </c>
      <c r="E143" s="14">
        <v>2</v>
      </c>
      <c r="F143" s="14">
        <v>3</v>
      </c>
      <c r="H143" s="13" t="s">
        <v>34</v>
      </c>
      <c r="I143" s="14">
        <v>39</v>
      </c>
      <c r="J143" s="14">
        <v>15</v>
      </c>
      <c r="K143" s="14">
        <v>0</v>
      </c>
      <c r="L143" s="14">
        <v>8</v>
      </c>
      <c r="M143" s="14">
        <v>16</v>
      </c>
      <c r="O143" s="13" t="s">
        <v>34</v>
      </c>
      <c r="P143" s="14">
        <v>2</v>
      </c>
      <c r="Q143" s="14">
        <v>0</v>
      </c>
      <c r="R143" s="14">
        <v>1</v>
      </c>
      <c r="S143" s="14">
        <v>1</v>
      </c>
      <c r="T143" s="14">
        <v>0</v>
      </c>
    </row>
    <row r="144" spans="1:20" x14ac:dyDescent="0.3">
      <c r="A144" s="15" t="s">
        <v>35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H144" s="15" t="s">
        <v>35</v>
      </c>
      <c r="I144" s="16">
        <v>2</v>
      </c>
      <c r="J144" s="16">
        <v>0</v>
      </c>
      <c r="K144" s="16">
        <v>0</v>
      </c>
      <c r="L144" s="16">
        <v>0</v>
      </c>
      <c r="M144" s="16">
        <v>2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2</v>
      </c>
      <c r="J146" s="78">
        <v>0</v>
      </c>
      <c r="K146" s="78">
        <v>0</v>
      </c>
      <c r="L146" s="78">
        <v>0</v>
      </c>
      <c r="M146" s="78">
        <v>2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7" t="s">
        <v>103</v>
      </c>
      <c r="C147" s="168"/>
      <c r="D147" s="168"/>
      <c r="E147" s="168"/>
      <c r="F147" s="168"/>
      <c r="H147" s="17" t="s">
        <v>38</v>
      </c>
      <c r="I147" s="175" t="s">
        <v>103</v>
      </c>
      <c r="J147" s="176"/>
      <c r="K147" s="176"/>
      <c r="L147" s="176"/>
      <c r="M147" s="176"/>
      <c r="O147" s="17" t="s">
        <v>38</v>
      </c>
      <c r="P147" s="167" t="s">
        <v>103</v>
      </c>
      <c r="Q147" s="168"/>
      <c r="R147" s="168"/>
      <c r="S147" s="168"/>
      <c r="T147" s="168"/>
    </row>
    <row r="148" spans="1:20" ht="19.8" x14ac:dyDescent="0.3">
      <c r="A148" s="170">
        <v>46093</v>
      </c>
      <c r="B148" s="168"/>
      <c r="C148" s="168"/>
      <c r="D148" s="168"/>
      <c r="E148" s="168"/>
      <c r="F148" s="168"/>
      <c r="H148" s="171">
        <v>46121</v>
      </c>
      <c r="I148" s="171"/>
      <c r="J148" s="171"/>
      <c r="K148" s="171"/>
      <c r="L148" s="171"/>
      <c r="M148" s="171"/>
      <c r="O148" s="170">
        <v>46153</v>
      </c>
      <c r="P148" s="168"/>
      <c r="Q148" s="168"/>
      <c r="R148" s="168"/>
      <c r="S148" s="168"/>
      <c r="T148" s="168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3297</v>
      </c>
      <c r="C150" s="3">
        <v>908</v>
      </c>
      <c r="D150" s="3">
        <v>893</v>
      </c>
      <c r="E150" s="3">
        <v>769</v>
      </c>
      <c r="F150" s="3">
        <v>727</v>
      </c>
      <c r="H150" s="2" t="s">
        <v>5</v>
      </c>
      <c r="I150" s="3">
        <v>4489</v>
      </c>
      <c r="J150" s="3">
        <v>1627</v>
      </c>
      <c r="K150" s="3">
        <v>0</v>
      </c>
      <c r="L150" s="3">
        <v>1416</v>
      </c>
      <c r="M150" s="3">
        <v>1446</v>
      </c>
      <c r="O150" s="2" t="s">
        <v>5</v>
      </c>
      <c r="P150" s="3">
        <v>4440</v>
      </c>
      <c r="Q150" s="3">
        <v>1334</v>
      </c>
      <c r="R150" s="3">
        <v>1225</v>
      </c>
      <c r="S150" s="3">
        <v>1037</v>
      </c>
      <c r="T150" s="3">
        <v>844</v>
      </c>
    </row>
    <row r="151" spans="1:20" x14ac:dyDescent="0.3">
      <c r="A151" s="2" t="s">
        <v>6</v>
      </c>
      <c r="B151" s="3">
        <v>276</v>
      </c>
      <c r="C151" s="5">
        <v>96</v>
      </c>
      <c r="D151" s="4">
        <v>66</v>
      </c>
      <c r="E151" s="6">
        <v>70</v>
      </c>
      <c r="F151" s="3">
        <v>44</v>
      </c>
      <c r="H151" s="2" t="s">
        <v>6</v>
      </c>
      <c r="I151" s="3">
        <v>335</v>
      </c>
      <c r="J151" s="6">
        <v>112</v>
      </c>
      <c r="K151" s="3">
        <v>0</v>
      </c>
      <c r="L151" s="5">
        <v>128</v>
      </c>
      <c r="M151" s="4">
        <v>95</v>
      </c>
      <c r="O151" s="2" t="s">
        <v>6</v>
      </c>
      <c r="P151" s="3">
        <v>254</v>
      </c>
      <c r="Q151" s="5">
        <v>91</v>
      </c>
      <c r="R151" s="3">
        <v>34</v>
      </c>
      <c r="S151" s="6">
        <v>78</v>
      </c>
      <c r="T151" s="4">
        <v>51</v>
      </c>
    </row>
    <row r="152" spans="1:20" x14ac:dyDescent="0.3">
      <c r="A152" s="2" t="s">
        <v>7</v>
      </c>
      <c r="B152" s="3" t="s">
        <v>90</v>
      </c>
      <c r="C152" s="5" t="s">
        <v>512</v>
      </c>
      <c r="D152" s="4" t="s">
        <v>513</v>
      </c>
      <c r="E152" s="6" t="s">
        <v>514</v>
      </c>
      <c r="F152" s="3" t="s">
        <v>515</v>
      </c>
      <c r="H152" s="2" t="s">
        <v>7</v>
      </c>
      <c r="I152" s="3" t="s">
        <v>523</v>
      </c>
      <c r="J152" s="6" t="s">
        <v>488</v>
      </c>
      <c r="K152" s="3">
        <v>0</v>
      </c>
      <c r="L152" s="5" t="s">
        <v>1164</v>
      </c>
      <c r="M152" s="4" t="s">
        <v>799</v>
      </c>
      <c r="O152" s="2" t="s">
        <v>7</v>
      </c>
      <c r="P152" s="3" t="s">
        <v>1859</v>
      </c>
      <c r="Q152" s="6" t="s">
        <v>1442</v>
      </c>
      <c r="R152" s="3" t="s">
        <v>1381</v>
      </c>
      <c r="S152" s="5" t="s">
        <v>757</v>
      </c>
      <c r="T152" s="4" t="s">
        <v>558</v>
      </c>
    </row>
    <row r="153" spans="1:20" x14ac:dyDescent="0.3">
      <c r="A153" s="2" t="s">
        <v>12</v>
      </c>
      <c r="B153" s="3" t="s">
        <v>516</v>
      </c>
      <c r="C153" s="5" t="s">
        <v>517</v>
      </c>
      <c r="D153" s="4" t="s">
        <v>518</v>
      </c>
      <c r="E153" s="6" t="s">
        <v>514</v>
      </c>
      <c r="F153" s="3" t="s">
        <v>515</v>
      </c>
      <c r="H153" s="2" t="s">
        <v>12</v>
      </c>
      <c r="I153" s="3" t="s">
        <v>892</v>
      </c>
      <c r="J153" s="6" t="s">
        <v>1274</v>
      </c>
      <c r="K153" s="3">
        <v>0</v>
      </c>
      <c r="L153" s="5" t="s">
        <v>1229</v>
      </c>
      <c r="M153" s="4" t="s">
        <v>812</v>
      </c>
      <c r="O153" s="2" t="s">
        <v>12</v>
      </c>
      <c r="P153" s="3" t="s">
        <v>255</v>
      </c>
      <c r="Q153" s="4" t="s">
        <v>1023</v>
      </c>
      <c r="R153" s="3" t="s">
        <v>1381</v>
      </c>
      <c r="S153" s="5" t="s">
        <v>1076</v>
      </c>
      <c r="T153" s="6" t="s">
        <v>558</v>
      </c>
    </row>
    <row r="154" spans="1:20" x14ac:dyDescent="0.3">
      <c r="A154" s="2" t="s">
        <v>17</v>
      </c>
      <c r="B154" s="3" t="s">
        <v>102</v>
      </c>
      <c r="C154" s="5" t="s">
        <v>122</v>
      </c>
      <c r="D154" s="4" t="s">
        <v>49</v>
      </c>
      <c r="E154" s="3" t="s">
        <v>25</v>
      </c>
      <c r="F154" s="6" t="s">
        <v>310</v>
      </c>
      <c r="H154" s="2" t="s">
        <v>17</v>
      </c>
      <c r="I154" s="3" t="s">
        <v>580</v>
      </c>
      <c r="J154" s="4" t="s">
        <v>551</v>
      </c>
      <c r="K154" s="3" t="s">
        <v>25</v>
      </c>
      <c r="L154" s="5" t="s">
        <v>63</v>
      </c>
      <c r="M154" s="6" t="s">
        <v>87</v>
      </c>
      <c r="O154" s="2" t="s">
        <v>17</v>
      </c>
      <c r="P154" s="3" t="s">
        <v>227</v>
      </c>
      <c r="Q154" s="5" t="s">
        <v>186</v>
      </c>
      <c r="R154" s="3" t="s">
        <v>25</v>
      </c>
      <c r="S154" s="3" t="s">
        <v>25</v>
      </c>
      <c r="T154" s="3" t="s">
        <v>25</v>
      </c>
    </row>
    <row r="155" spans="1:20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273</v>
      </c>
      <c r="C156" s="8">
        <v>94</v>
      </c>
      <c r="D156" s="8">
        <v>65</v>
      </c>
      <c r="E156" s="8">
        <v>70</v>
      </c>
      <c r="F156" s="8">
        <v>44</v>
      </c>
      <c r="H156" s="7" t="s">
        <v>26</v>
      </c>
      <c r="I156" s="8">
        <v>292</v>
      </c>
      <c r="J156" s="8">
        <v>100</v>
      </c>
      <c r="K156" s="8">
        <v>0</v>
      </c>
      <c r="L156" s="8">
        <v>112</v>
      </c>
      <c r="M156" s="8">
        <v>80</v>
      </c>
      <c r="O156" s="7" t="s">
        <v>26</v>
      </c>
      <c r="P156" s="8">
        <v>240</v>
      </c>
      <c r="Q156" s="8">
        <v>78</v>
      </c>
      <c r="R156" s="8">
        <v>34</v>
      </c>
      <c r="S156" s="8">
        <v>77</v>
      </c>
      <c r="T156" s="8">
        <v>51</v>
      </c>
    </row>
    <row r="157" spans="1:20" x14ac:dyDescent="0.3">
      <c r="A157" s="9" t="s">
        <v>27</v>
      </c>
      <c r="B157" s="10">
        <v>101</v>
      </c>
      <c r="C157" s="10">
        <v>17</v>
      </c>
      <c r="D157" s="10">
        <v>31</v>
      </c>
      <c r="E157" s="10">
        <v>29</v>
      </c>
      <c r="F157" s="10">
        <v>24</v>
      </c>
      <c r="H157" s="9" t="s">
        <v>27</v>
      </c>
      <c r="I157" s="10">
        <v>150</v>
      </c>
      <c r="J157" s="10">
        <v>54</v>
      </c>
      <c r="K157" s="10">
        <v>0</v>
      </c>
      <c r="L157" s="10">
        <v>58</v>
      </c>
      <c r="M157" s="10">
        <v>38</v>
      </c>
      <c r="O157" s="9" t="s">
        <v>27</v>
      </c>
      <c r="P157" s="10">
        <v>130</v>
      </c>
      <c r="Q157" s="10">
        <v>50</v>
      </c>
      <c r="R157" s="10">
        <v>21</v>
      </c>
      <c r="S157" s="10">
        <v>35</v>
      </c>
      <c r="T157" s="10">
        <v>24</v>
      </c>
    </row>
    <row r="158" spans="1:20" x14ac:dyDescent="0.3">
      <c r="A158" s="9" t="s">
        <v>28</v>
      </c>
      <c r="B158" s="10">
        <v>27</v>
      </c>
      <c r="C158" s="10">
        <v>5</v>
      </c>
      <c r="D158" s="10">
        <v>11</v>
      </c>
      <c r="E158" s="10">
        <v>8</v>
      </c>
      <c r="F158" s="10">
        <v>3</v>
      </c>
      <c r="H158" s="9" t="s">
        <v>28</v>
      </c>
      <c r="I158" s="10">
        <v>48</v>
      </c>
      <c r="J158" s="10">
        <v>15</v>
      </c>
      <c r="K158" s="10">
        <v>0</v>
      </c>
      <c r="L158" s="10">
        <v>15</v>
      </c>
      <c r="M158" s="10">
        <v>18</v>
      </c>
      <c r="O158" s="9" t="s">
        <v>28</v>
      </c>
      <c r="P158" s="10">
        <v>61</v>
      </c>
      <c r="Q158" s="10">
        <v>16</v>
      </c>
      <c r="R158" s="10">
        <v>5</v>
      </c>
      <c r="S158" s="10">
        <v>25</v>
      </c>
      <c r="T158" s="10">
        <v>15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65</v>
      </c>
      <c r="C160" s="10">
        <v>13</v>
      </c>
      <c r="D160" s="10">
        <v>18</v>
      </c>
      <c r="E160" s="10">
        <v>20</v>
      </c>
      <c r="F160" s="10">
        <v>14</v>
      </c>
      <c r="H160" s="9" t="s">
        <v>30</v>
      </c>
      <c r="I160" s="10">
        <v>68</v>
      </c>
      <c r="J160" s="10">
        <v>24</v>
      </c>
      <c r="K160" s="10">
        <v>0</v>
      </c>
      <c r="L160" s="10">
        <v>26</v>
      </c>
      <c r="M160" s="10">
        <v>18</v>
      </c>
      <c r="O160" s="9" t="s">
        <v>30</v>
      </c>
      <c r="P160" s="10">
        <v>49</v>
      </c>
      <c r="Q160" s="10">
        <v>12</v>
      </c>
      <c r="R160" s="10">
        <v>8</v>
      </c>
      <c r="S160" s="10">
        <v>17</v>
      </c>
      <c r="T160" s="10">
        <v>12</v>
      </c>
    </row>
    <row r="161" spans="1:20" x14ac:dyDescent="0.3">
      <c r="A161" s="9" t="s">
        <v>31</v>
      </c>
      <c r="B161" s="10">
        <v>80</v>
      </c>
      <c r="C161" s="10">
        <v>59</v>
      </c>
      <c r="D161" s="10">
        <v>5</v>
      </c>
      <c r="E161" s="10">
        <v>13</v>
      </c>
      <c r="F161" s="10">
        <v>3</v>
      </c>
      <c r="H161" s="9" t="s">
        <v>31</v>
      </c>
      <c r="I161" s="10">
        <v>26</v>
      </c>
      <c r="J161" s="10">
        <v>7</v>
      </c>
      <c r="K161" s="10">
        <v>0</v>
      </c>
      <c r="L161" s="10">
        <v>13</v>
      </c>
      <c r="M161" s="10">
        <v>6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4</v>
      </c>
      <c r="C162" s="12">
        <v>2</v>
      </c>
      <c r="D162" s="12">
        <v>1</v>
      </c>
      <c r="E162" s="12">
        <v>0</v>
      </c>
      <c r="F162" s="12">
        <v>1</v>
      </c>
      <c r="H162" s="11" t="s">
        <v>32</v>
      </c>
      <c r="I162" s="12">
        <v>31</v>
      </c>
      <c r="J162" s="12">
        <v>10</v>
      </c>
      <c r="K162" s="12">
        <v>0</v>
      </c>
      <c r="L162" s="12">
        <v>12</v>
      </c>
      <c r="M162" s="12">
        <v>9</v>
      </c>
      <c r="O162" s="11" t="s">
        <v>32</v>
      </c>
      <c r="P162" s="12">
        <v>13</v>
      </c>
      <c r="Q162" s="12">
        <v>13</v>
      </c>
      <c r="R162" s="12">
        <v>0</v>
      </c>
      <c r="S162" s="12">
        <v>0</v>
      </c>
      <c r="T162" s="12">
        <v>0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13</v>
      </c>
      <c r="Q163" s="14">
        <v>13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4</v>
      </c>
      <c r="C164" s="14">
        <v>2</v>
      </c>
      <c r="D164" s="14">
        <v>1</v>
      </c>
      <c r="E164" s="14">
        <v>0</v>
      </c>
      <c r="F164" s="14">
        <v>1</v>
      </c>
      <c r="H164" s="13" t="s">
        <v>34</v>
      </c>
      <c r="I164" s="14">
        <v>31</v>
      </c>
      <c r="J164" s="14">
        <v>10</v>
      </c>
      <c r="K164" s="14">
        <v>0</v>
      </c>
      <c r="L164" s="14">
        <v>12</v>
      </c>
      <c r="M164" s="14">
        <v>9</v>
      </c>
      <c r="O164" s="13" t="s">
        <v>34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</row>
    <row r="165" spans="1:20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7" t="s">
        <v>103</v>
      </c>
      <c r="C168" s="168"/>
      <c r="D168" s="168"/>
      <c r="E168" s="168"/>
      <c r="F168" s="168"/>
      <c r="H168" s="17" t="s">
        <v>38</v>
      </c>
      <c r="I168" s="172" t="s">
        <v>103</v>
      </c>
      <c r="J168" s="173"/>
      <c r="K168" s="173"/>
      <c r="L168" s="173"/>
      <c r="M168" s="173"/>
      <c r="O168" s="17" t="s">
        <v>38</v>
      </c>
      <c r="P168" s="167" t="s">
        <v>103</v>
      </c>
      <c r="Q168" s="168"/>
      <c r="R168" s="168"/>
      <c r="S168" s="168"/>
      <c r="T168" s="168"/>
    </row>
    <row r="169" spans="1:20" ht="19.8" x14ac:dyDescent="0.3">
      <c r="A169" s="170">
        <v>46094</v>
      </c>
      <c r="B169" s="168"/>
      <c r="C169" s="168"/>
      <c r="D169" s="168"/>
      <c r="E169" s="168"/>
      <c r="F169" s="168"/>
      <c r="H169" s="171">
        <v>46122</v>
      </c>
      <c r="I169" s="171"/>
      <c r="J169" s="171"/>
      <c r="K169" s="171"/>
      <c r="L169" s="171"/>
      <c r="M169" s="171"/>
      <c r="O169" s="170">
        <v>46154</v>
      </c>
      <c r="P169" s="168"/>
      <c r="Q169" s="168"/>
      <c r="R169" s="168"/>
      <c r="S169" s="168"/>
      <c r="T169" s="168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760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4535</v>
      </c>
      <c r="C171" s="3">
        <v>1222</v>
      </c>
      <c r="D171" s="3">
        <v>1234</v>
      </c>
      <c r="E171" s="3">
        <v>1054</v>
      </c>
      <c r="F171" s="3">
        <v>1025</v>
      </c>
      <c r="H171" s="2" t="s">
        <v>5</v>
      </c>
      <c r="I171" s="3">
        <v>4733</v>
      </c>
      <c r="J171" s="3">
        <v>1725</v>
      </c>
      <c r="K171" s="3">
        <v>0</v>
      </c>
      <c r="L171" s="3">
        <v>1493</v>
      </c>
      <c r="M171" s="3">
        <v>1515</v>
      </c>
      <c r="O171" s="2" t="s">
        <v>5</v>
      </c>
      <c r="P171" s="3">
        <v>7064</v>
      </c>
      <c r="Q171" s="3">
        <v>2016</v>
      </c>
      <c r="R171" s="3">
        <v>1882</v>
      </c>
      <c r="S171" s="3">
        <v>1660</v>
      </c>
      <c r="T171" s="3">
        <v>1506</v>
      </c>
    </row>
    <row r="172" spans="1:20" x14ac:dyDescent="0.3">
      <c r="A172" s="2" t="s">
        <v>6</v>
      </c>
      <c r="B172" s="3">
        <v>334</v>
      </c>
      <c r="C172" s="5">
        <v>158</v>
      </c>
      <c r="D172" s="3">
        <v>51</v>
      </c>
      <c r="E172" s="4">
        <v>52</v>
      </c>
      <c r="F172" s="6">
        <v>73</v>
      </c>
      <c r="H172" s="2" t="s">
        <v>6</v>
      </c>
      <c r="I172" s="3">
        <v>292</v>
      </c>
      <c r="J172" s="5">
        <v>126</v>
      </c>
      <c r="K172" s="3">
        <v>0</v>
      </c>
      <c r="L172" s="6">
        <v>86</v>
      </c>
      <c r="M172" s="4">
        <v>80</v>
      </c>
      <c r="O172" s="2" t="s">
        <v>6</v>
      </c>
      <c r="P172" s="3">
        <v>391</v>
      </c>
      <c r="Q172" s="5">
        <v>121</v>
      </c>
      <c r="R172" s="4">
        <v>44</v>
      </c>
      <c r="S172" s="5">
        <v>121</v>
      </c>
      <c r="T172" s="6">
        <v>105</v>
      </c>
    </row>
    <row r="173" spans="1:20" x14ac:dyDescent="0.3">
      <c r="A173" s="2" t="s">
        <v>7</v>
      </c>
      <c r="B173" s="3" t="s">
        <v>561</v>
      </c>
      <c r="C173" s="5" t="s">
        <v>562</v>
      </c>
      <c r="D173" s="3" t="s">
        <v>563</v>
      </c>
      <c r="E173" s="4" t="s">
        <v>57</v>
      </c>
      <c r="F173" s="6" t="s">
        <v>564</v>
      </c>
      <c r="H173" s="2" t="s">
        <v>7</v>
      </c>
      <c r="I173" s="3" t="s">
        <v>220</v>
      </c>
      <c r="J173" s="5" t="s">
        <v>92</v>
      </c>
      <c r="K173" s="3">
        <v>0</v>
      </c>
      <c r="L173" s="6" t="s">
        <v>1322</v>
      </c>
      <c r="M173" s="4" t="s">
        <v>401</v>
      </c>
      <c r="O173" s="2" t="s">
        <v>7</v>
      </c>
      <c r="P173" s="3" t="s">
        <v>572</v>
      </c>
      <c r="Q173" s="4" t="s">
        <v>306</v>
      </c>
      <c r="R173" s="3" t="s">
        <v>1763</v>
      </c>
      <c r="S173" s="5" t="s">
        <v>214</v>
      </c>
      <c r="T173" s="6" t="s">
        <v>1036</v>
      </c>
    </row>
    <row r="174" spans="1:20" x14ac:dyDescent="0.3">
      <c r="A174" s="2" t="s">
        <v>12</v>
      </c>
      <c r="B174" s="3" t="s">
        <v>561</v>
      </c>
      <c r="C174" s="5" t="s">
        <v>562</v>
      </c>
      <c r="D174" s="3" t="s">
        <v>563</v>
      </c>
      <c r="E174" s="4" t="s">
        <v>57</v>
      </c>
      <c r="F174" s="6" t="s">
        <v>564</v>
      </c>
      <c r="H174" s="2" t="s">
        <v>12</v>
      </c>
      <c r="I174" s="3" t="s">
        <v>528</v>
      </c>
      <c r="J174" s="5" t="s">
        <v>458</v>
      </c>
      <c r="K174" s="3">
        <v>0</v>
      </c>
      <c r="L174" s="6" t="s">
        <v>644</v>
      </c>
      <c r="M174" s="4" t="s">
        <v>968</v>
      </c>
      <c r="O174" s="2" t="s">
        <v>12</v>
      </c>
      <c r="P174" s="3" t="s">
        <v>1053</v>
      </c>
      <c r="Q174" s="4" t="s">
        <v>901</v>
      </c>
      <c r="R174" s="3" t="s">
        <v>59</v>
      </c>
      <c r="S174" s="5" t="s">
        <v>597</v>
      </c>
      <c r="T174" s="6" t="s">
        <v>1036</v>
      </c>
    </row>
    <row r="175" spans="1:20" x14ac:dyDescent="0.3">
      <c r="A175" s="2" t="s">
        <v>17</v>
      </c>
      <c r="B175" s="3" t="s">
        <v>25</v>
      </c>
      <c r="C175" s="3" t="s">
        <v>25</v>
      </c>
      <c r="D175" s="3" t="s">
        <v>25</v>
      </c>
      <c r="E175" s="3" t="s">
        <v>25</v>
      </c>
      <c r="F175" s="3" t="s">
        <v>25</v>
      </c>
      <c r="H175" s="2" t="s">
        <v>17</v>
      </c>
      <c r="I175" s="3" t="s">
        <v>146</v>
      </c>
      <c r="J175" s="5" t="s">
        <v>507</v>
      </c>
      <c r="K175" s="3" t="s">
        <v>25</v>
      </c>
      <c r="L175" s="6" t="s">
        <v>88</v>
      </c>
      <c r="M175" s="4" t="s">
        <v>101</v>
      </c>
      <c r="O175" s="2" t="s">
        <v>17</v>
      </c>
      <c r="P175" s="3" t="s">
        <v>108</v>
      </c>
      <c r="Q175" s="5" t="s">
        <v>135</v>
      </c>
      <c r="R175" s="6" t="s">
        <v>154</v>
      </c>
      <c r="S175" s="4" t="s">
        <v>102</v>
      </c>
      <c r="T175" s="3" t="s">
        <v>25</v>
      </c>
    </row>
    <row r="176" spans="1:20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H176" s="2" t="s">
        <v>22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258</v>
      </c>
      <c r="Q176" s="3" t="s">
        <v>25</v>
      </c>
      <c r="R176" s="5" t="s">
        <v>158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334</v>
      </c>
      <c r="C177" s="8">
        <v>158</v>
      </c>
      <c r="D177" s="8">
        <v>51</v>
      </c>
      <c r="E177" s="8">
        <v>52</v>
      </c>
      <c r="F177" s="8">
        <v>73</v>
      </c>
      <c r="H177" s="7" t="s">
        <v>26</v>
      </c>
      <c r="I177" s="8">
        <v>276</v>
      </c>
      <c r="J177" s="8">
        <v>118</v>
      </c>
      <c r="K177" s="8">
        <v>0</v>
      </c>
      <c r="L177" s="8">
        <v>82</v>
      </c>
      <c r="M177" s="8">
        <v>76</v>
      </c>
      <c r="O177" s="7" t="s">
        <v>26</v>
      </c>
      <c r="P177" s="8">
        <v>379</v>
      </c>
      <c r="Q177" s="8">
        <v>114</v>
      </c>
      <c r="R177" s="8">
        <v>41</v>
      </c>
      <c r="S177" s="8">
        <v>119</v>
      </c>
      <c r="T177" s="8">
        <v>105</v>
      </c>
    </row>
    <row r="178" spans="1:20" x14ac:dyDescent="0.3">
      <c r="A178" s="9" t="s">
        <v>27</v>
      </c>
      <c r="B178" s="10">
        <v>102</v>
      </c>
      <c r="C178" s="10">
        <v>25</v>
      </c>
      <c r="D178" s="10">
        <v>20</v>
      </c>
      <c r="E178" s="10">
        <v>28</v>
      </c>
      <c r="F178" s="10">
        <v>29</v>
      </c>
      <c r="H178" s="9" t="s">
        <v>27</v>
      </c>
      <c r="I178" s="10">
        <v>140</v>
      </c>
      <c r="J178" s="10">
        <v>62</v>
      </c>
      <c r="K178" s="10">
        <v>0</v>
      </c>
      <c r="L178" s="10">
        <v>47</v>
      </c>
      <c r="M178" s="10">
        <v>31</v>
      </c>
      <c r="O178" s="9" t="s">
        <v>27</v>
      </c>
      <c r="P178" s="10">
        <v>199</v>
      </c>
      <c r="Q178" s="10">
        <v>63</v>
      </c>
      <c r="R178" s="10">
        <v>27</v>
      </c>
      <c r="S178" s="10">
        <v>62</v>
      </c>
      <c r="T178" s="10">
        <v>47</v>
      </c>
    </row>
    <row r="179" spans="1:20" x14ac:dyDescent="0.3">
      <c r="A179" s="9" t="s">
        <v>28</v>
      </c>
      <c r="B179" s="10">
        <v>38</v>
      </c>
      <c r="C179" s="10">
        <v>8</v>
      </c>
      <c r="D179" s="10">
        <v>13</v>
      </c>
      <c r="E179" s="10">
        <v>7</v>
      </c>
      <c r="F179" s="10">
        <v>10</v>
      </c>
      <c r="H179" s="9" t="s">
        <v>28</v>
      </c>
      <c r="I179" s="10">
        <v>55</v>
      </c>
      <c r="J179" s="10">
        <v>27</v>
      </c>
      <c r="K179" s="10">
        <v>0</v>
      </c>
      <c r="L179" s="10">
        <v>13</v>
      </c>
      <c r="M179" s="10">
        <v>15</v>
      </c>
      <c r="O179" s="9" t="s">
        <v>28</v>
      </c>
      <c r="P179" s="10">
        <v>86</v>
      </c>
      <c r="Q179" s="10">
        <v>29</v>
      </c>
      <c r="R179" s="10">
        <v>4</v>
      </c>
      <c r="S179" s="10">
        <v>38</v>
      </c>
      <c r="T179" s="10">
        <v>15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105</v>
      </c>
      <c r="C181" s="10">
        <v>63</v>
      </c>
      <c r="D181" s="10">
        <v>13</v>
      </c>
      <c r="E181" s="10">
        <v>10</v>
      </c>
      <c r="F181" s="10">
        <v>19</v>
      </c>
      <c r="H181" s="9" t="s">
        <v>30</v>
      </c>
      <c r="I181" s="10">
        <v>54</v>
      </c>
      <c r="J181" s="10">
        <v>22</v>
      </c>
      <c r="K181" s="10">
        <v>0</v>
      </c>
      <c r="L181" s="10">
        <v>12</v>
      </c>
      <c r="M181" s="10">
        <v>20</v>
      </c>
      <c r="O181" s="9" t="s">
        <v>30</v>
      </c>
      <c r="P181" s="10">
        <v>94</v>
      </c>
      <c r="Q181" s="10">
        <v>22</v>
      </c>
      <c r="R181" s="10">
        <v>10</v>
      </c>
      <c r="S181" s="10">
        <v>19</v>
      </c>
      <c r="T181" s="10">
        <v>43</v>
      </c>
    </row>
    <row r="182" spans="1:20" x14ac:dyDescent="0.3">
      <c r="A182" s="9" t="s">
        <v>31</v>
      </c>
      <c r="B182" s="10">
        <v>89</v>
      </c>
      <c r="C182" s="10">
        <v>62</v>
      </c>
      <c r="D182" s="10">
        <v>5</v>
      </c>
      <c r="E182" s="10">
        <v>7</v>
      </c>
      <c r="F182" s="10">
        <v>15</v>
      </c>
      <c r="H182" s="9" t="s">
        <v>31</v>
      </c>
      <c r="I182" s="10">
        <v>27</v>
      </c>
      <c r="J182" s="10">
        <v>7</v>
      </c>
      <c r="K182" s="10">
        <v>0</v>
      </c>
      <c r="L182" s="10">
        <v>10</v>
      </c>
      <c r="M182" s="10">
        <v>10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H183" s="11" t="s">
        <v>32</v>
      </c>
      <c r="I183" s="12">
        <v>15</v>
      </c>
      <c r="J183" s="12">
        <v>7</v>
      </c>
      <c r="K183" s="12">
        <v>0</v>
      </c>
      <c r="L183" s="12">
        <v>4</v>
      </c>
      <c r="M183" s="12">
        <v>4</v>
      </c>
      <c r="O183" s="11" t="s">
        <v>32</v>
      </c>
      <c r="P183" s="12">
        <v>12</v>
      </c>
      <c r="Q183" s="12">
        <v>7</v>
      </c>
      <c r="R183" s="12">
        <v>3</v>
      </c>
      <c r="S183" s="12">
        <v>2</v>
      </c>
      <c r="T183" s="12">
        <v>0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O184" s="13" t="s">
        <v>33</v>
      </c>
      <c r="P184" s="14">
        <v>6</v>
      </c>
      <c r="Q184" s="14">
        <v>4</v>
      </c>
      <c r="R184" s="14">
        <v>2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H185" s="13" t="s">
        <v>34</v>
      </c>
      <c r="I185" s="14">
        <v>15</v>
      </c>
      <c r="J185" s="14">
        <v>7</v>
      </c>
      <c r="K185" s="14">
        <v>0</v>
      </c>
      <c r="L185" s="14">
        <v>4</v>
      </c>
      <c r="M185" s="14">
        <v>4</v>
      </c>
      <c r="O185" s="13" t="s">
        <v>34</v>
      </c>
      <c r="P185" s="14">
        <v>6</v>
      </c>
      <c r="Q185" s="14">
        <v>3</v>
      </c>
      <c r="R185" s="14">
        <v>1</v>
      </c>
      <c r="S185" s="14">
        <v>2</v>
      </c>
      <c r="T185" s="14">
        <v>0</v>
      </c>
    </row>
    <row r="186" spans="1:20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H186" s="15" t="s">
        <v>35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O186" s="15" t="s">
        <v>35</v>
      </c>
      <c r="P186" s="16">
        <v>1</v>
      </c>
      <c r="Q186" s="16">
        <v>0</v>
      </c>
      <c r="R186" s="16">
        <v>1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O188" s="17" t="s">
        <v>37</v>
      </c>
      <c r="P188" s="112">
        <v>1</v>
      </c>
      <c r="Q188" s="112">
        <v>0</v>
      </c>
      <c r="R188" s="112">
        <v>1</v>
      </c>
      <c r="S188" s="112">
        <v>0</v>
      </c>
      <c r="T188" s="112">
        <v>0</v>
      </c>
    </row>
    <row r="189" spans="1:20" x14ac:dyDescent="0.3">
      <c r="A189" s="17" t="s">
        <v>38</v>
      </c>
      <c r="B189" s="167" t="s">
        <v>103</v>
      </c>
      <c r="C189" s="168"/>
      <c r="D189" s="168"/>
      <c r="E189" s="168"/>
      <c r="F189" s="168"/>
      <c r="H189" s="17" t="s">
        <v>38</v>
      </c>
      <c r="I189" s="172" t="s">
        <v>103</v>
      </c>
      <c r="J189" s="173"/>
      <c r="K189" s="173"/>
      <c r="L189" s="173"/>
      <c r="M189" s="173"/>
      <c r="O189" s="17" t="s">
        <v>38</v>
      </c>
      <c r="P189" s="167" t="s">
        <v>103</v>
      </c>
      <c r="Q189" s="168"/>
      <c r="R189" s="168"/>
      <c r="S189" s="168"/>
      <c r="T189" s="168"/>
    </row>
    <row r="190" spans="1:20" ht="19.8" x14ac:dyDescent="0.3">
      <c r="A190" s="170">
        <v>46095</v>
      </c>
      <c r="B190" s="168"/>
      <c r="C190" s="168"/>
      <c r="D190" s="168"/>
      <c r="E190" s="168"/>
      <c r="F190" s="168"/>
      <c r="H190" s="171">
        <v>46123</v>
      </c>
      <c r="I190" s="174"/>
      <c r="J190" s="174"/>
      <c r="K190" s="174"/>
      <c r="L190" s="174"/>
      <c r="M190" s="174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3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5539</v>
      </c>
      <c r="C192" s="3">
        <v>1482</v>
      </c>
      <c r="D192" s="3">
        <v>1492</v>
      </c>
      <c r="E192" s="3">
        <v>1392</v>
      </c>
      <c r="F192" s="3">
        <v>1173</v>
      </c>
      <c r="H192" s="2" t="s">
        <v>5</v>
      </c>
      <c r="I192" s="3">
        <f>J192+K192+L192+M192</f>
        <v>5904</v>
      </c>
      <c r="J192" s="3">
        <v>1568</v>
      </c>
      <c r="K192" s="3">
        <v>1575</v>
      </c>
      <c r="L192" s="3">
        <v>1374</v>
      </c>
      <c r="M192" s="3">
        <v>1387</v>
      </c>
      <c r="O192" s="2" t="s">
        <v>5</v>
      </c>
      <c r="P192" s="3">
        <v>6116</v>
      </c>
      <c r="Q192" s="3">
        <v>1696</v>
      </c>
      <c r="R192" s="3">
        <v>1621</v>
      </c>
      <c r="S192" s="3">
        <v>1362</v>
      </c>
      <c r="T192" s="3">
        <v>1437</v>
      </c>
    </row>
    <row r="193" spans="1:20" x14ac:dyDescent="0.3">
      <c r="A193" s="2" t="s">
        <v>6</v>
      </c>
      <c r="B193" s="3">
        <v>484</v>
      </c>
      <c r="C193" s="5">
        <v>176</v>
      </c>
      <c r="D193" s="6">
        <v>107</v>
      </c>
      <c r="E193" s="6">
        <v>107</v>
      </c>
      <c r="F193" s="4">
        <v>94</v>
      </c>
      <c r="H193" s="2" t="s">
        <v>6</v>
      </c>
      <c r="I193" s="3">
        <f>J193+K193+L193+M193</f>
        <v>580</v>
      </c>
      <c r="J193" s="5">
        <v>159</v>
      </c>
      <c r="K193" s="5">
        <v>163</v>
      </c>
      <c r="L193" s="6">
        <v>130</v>
      </c>
      <c r="M193" s="4">
        <v>128</v>
      </c>
      <c r="O193" s="2" t="s">
        <v>6</v>
      </c>
      <c r="P193" s="3">
        <v>321</v>
      </c>
      <c r="Q193" s="5">
        <v>158</v>
      </c>
      <c r="R193" s="3">
        <v>19</v>
      </c>
      <c r="S193" s="4">
        <v>64</v>
      </c>
      <c r="T193" s="6">
        <v>80</v>
      </c>
    </row>
    <row r="194" spans="1:20" x14ac:dyDescent="0.3">
      <c r="A194" s="2" t="s">
        <v>7</v>
      </c>
      <c r="B194" s="3" t="s">
        <v>494</v>
      </c>
      <c r="C194" s="5" t="s">
        <v>244</v>
      </c>
      <c r="D194" s="3" t="s">
        <v>597</v>
      </c>
      <c r="E194" s="4" t="s">
        <v>178</v>
      </c>
      <c r="F194" s="6" t="s">
        <v>259</v>
      </c>
      <c r="H194" s="2" t="s">
        <v>7</v>
      </c>
      <c r="I194" s="48">
        <f>I193/I192</f>
        <v>9.8238482384823841E-2</v>
      </c>
      <c r="J194" s="5" t="s">
        <v>291</v>
      </c>
      <c r="K194" s="5" t="s">
        <v>517</v>
      </c>
      <c r="L194" s="6" t="s">
        <v>1401</v>
      </c>
      <c r="M194" s="4" t="s">
        <v>96</v>
      </c>
      <c r="O194" s="2" t="s">
        <v>7</v>
      </c>
      <c r="P194" s="3" t="s">
        <v>976</v>
      </c>
      <c r="Q194" s="5" t="s">
        <v>1403</v>
      </c>
      <c r="R194" s="3" t="s">
        <v>346</v>
      </c>
      <c r="S194" s="4" t="s">
        <v>53</v>
      </c>
      <c r="T194" s="6" t="s">
        <v>340</v>
      </c>
    </row>
    <row r="195" spans="1:20" x14ac:dyDescent="0.3">
      <c r="A195" s="2" t="s">
        <v>12</v>
      </c>
      <c r="B195" s="3" t="s">
        <v>598</v>
      </c>
      <c r="C195" s="5" t="s">
        <v>496</v>
      </c>
      <c r="D195" s="3" t="s">
        <v>599</v>
      </c>
      <c r="E195" s="4" t="s">
        <v>178</v>
      </c>
      <c r="F195" s="6" t="s">
        <v>259</v>
      </c>
      <c r="H195" s="2" t="s">
        <v>12</v>
      </c>
      <c r="I195" s="48">
        <f>I198/I192</f>
        <v>9.6544715447154469E-2</v>
      </c>
      <c r="J195" s="5" t="s">
        <v>291</v>
      </c>
      <c r="K195" s="5" t="s">
        <v>826</v>
      </c>
      <c r="L195" s="6" t="s">
        <v>1403</v>
      </c>
      <c r="M195" s="4" t="s">
        <v>480</v>
      </c>
      <c r="O195" s="2" t="s">
        <v>12</v>
      </c>
      <c r="P195" s="3" t="s">
        <v>579</v>
      </c>
      <c r="Q195" s="4" t="s">
        <v>1224</v>
      </c>
      <c r="R195" s="3" t="s">
        <v>346</v>
      </c>
      <c r="S195" s="6" t="s">
        <v>53</v>
      </c>
      <c r="T195" s="5" t="s">
        <v>340</v>
      </c>
    </row>
    <row r="196" spans="1:20" x14ac:dyDescent="0.3">
      <c r="A196" s="2" t="s">
        <v>17</v>
      </c>
      <c r="B196" s="3" t="s">
        <v>75</v>
      </c>
      <c r="C196" s="5" t="s">
        <v>99</v>
      </c>
      <c r="D196" s="3" t="s">
        <v>138</v>
      </c>
      <c r="E196" s="6" t="s">
        <v>310</v>
      </c>
      <c r="F196" s="4" t="s">
        <v>84</v>
      </c>
      <c r="H196" s="2" t="s">
        <v>17</v>
      </c>
      <c r="I196" s="48">
        <f>I204/I192</f>
        <v>1.1856368563685636E-3</v>
      </c>
      <c r="J196" s="3" t="s">
        <v>25</v>
      </c>
      <c r="K196" s="6" t="s">
        <v>268</v>
      </c>
      <c r="L196" s="6" t="s">
        <v>121</v>
      </c>
      <c r="M196" s="5" t="s">
        <v>227</v>
      </c>
      <c r="O196" s="2" t="s">
        <v>17</v>
      </c>
      <c r="P196" s="3" t="s">
        <v>238</v>
      </c>
      <c r="Q196" s="5" t="s">
        <v>633</v>
      </c>
      <c r="R196" s="3" t="s">
        <v>25</v>
      </c>
      <c r="S196" s="3" t="s">
        <v>25</v>
      </c>
      <c r="T196" s="3" t="s">
        <v>25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479</v>
      </c>
      <c r="C198" s="8">
        <v>172</v>
      </c>
      <c r="D198" s="8">
        <v>106</v>
      </c>
      <c r="E198" s="8">
        <v>107</v>
      </c>
      <c r="F198" s="8">
        <v>94</v>
      </c>
      <c r="H198" s="7" t="s">
        <v>26</v>
      </c>
      <c r="I198" s="8">
        <f>J198+K198+L198+M198</f>
        <v>570</v>
      </c>
      <c r="J198" s="8">
        <v>159</v>
      </c>
      <c r="K198" s="8">
        <v>161</v>
      </c>
      <c r="L198" s="8">
        <v>128</v>
      </c>
      <c r="M198" s="8">
        <v>122</v>
      </c>
      <c r="O198" s="7" t="s">
        <v>26</v>
      </c>
      <c r="P198" s="8">
        <v>230</v>
      </c>
      <c r="Q198" s="8">
        <v>67</v>
      </c>
      <c r="R198" s="8">
        <v>19</v>
      </c>
      <c r="S198" s="8">
        <v>64</v>
      </c>
      <c r="T198" s="8">
        <v>80</v>
      </c>
    </row>
    <row r="199" spans="1:20" x14ac:dyDescent="0.3">
      <c r="A199" s="9" t="s">
        <v>27</v>
      </c>
      <c r="B199" s="10">
        <v>171</v>
      </c>
      <c r="C199" s="10">
        <v>41</v>
      </c>
      <c r="D199" s="10">
        <v>52</v>
      </c>
      <c r="E199" s="10">
        <v>47</v>
      </c>
      <c r="F199" s="10">
        <v>31</v>
      </c>
      <c r="H199" s="9" t="s">
        <v>27</v>
      </c>
      <c r="I199" s="10">
        <v>207</v>
      </c>
      <c r="J199" s="10">
        <v>75</v>
      </c>
      <c r="K199" s="10">
        <v>77</v>
      </c>
      <c r="L199" s="10">
        <v>67</v>
      </c>
      <c r="M199" s="10">
        <v>65</v>
      </c>
      <c r="O199" s="9" t="s">
        <v>27</v>
      </c>
      <c r="P199" s="10">
        <v>115</v>
      </c>
      <c r="Q199" s="10">
        <v>37</v>
      </c>
      <c r="R199" s="10">
        <v>10</v>
      </c>
      <c r="S199" s="10">
        <v>29</v>
      </c>
      <c r="T199" s="10">
        <v>39</v>
      </c>
    </row>
    <row r="200" spans="1:20" x14ac:dyDescent="0.3">
      <c r="A200" s="9" t="s">
        <v>28</v>
      </c>
      <c r="B200" s="10">
        <v>68</v>
      </c>
      <c r="C200" s="10">
        <v>9</v>
      </c>
      <c r="D200" s="10">
        <v>24</v>
      </c>
      <c r="E200" s="10">
        <v>15</v>
      </c>
      <c r="F200" s="10">
        <v>20</v>
      </c>
      <c r="H200" s="9" t="s">
        <v>28</v>
      </c>
      <c r="I200" s="10">
        <v>69</v>
      </c>
      <c r="J200" s="10">
        <v>26</v>
      </c>
      <c r="K200" s="10">
        <v>25</v>
      </c>
      <c r="L200" s="10">
        <v>20</v>
      </c>
      <c r="M200" s="10">
        <v>23</v>
      </c>
      <c r="O200" s="9" t="s">
        <v>28</v>
      </c>
      <c r="P200" s="10">
        <v>55</v>
      </c>
      <c r="Q200" s="10">
        <v>14</v>
      </c>
      <c r="R200" s="10">
        <v>5</v>
      </c>
      <c r="S200" s="10">
        <v>25</v>
      </c>
      <c r="T200" s="10">
        <v>11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109</v>
      </c>
      <c r="C202" s="10">
        <v>21</v>
      </c>
      <c r="D202" s="10">
        <v>24</v>
      </c>
      <c r="E202" s="10">
        <v>36</v>
      </c>
      <c r="F202" s="10">
        <v>28</v>
      </c>
      <c r="H202" s="9" t="s">
        <v>30</v>
      </c>
      <c r="I202" s="10">
        <v>84</v>
      </c>
      <c r="J202" s="10">
        <v>38</v>
      </c>
      <c r="K202" s="10">
        <v>51</v>
      </c>
      <c r="L202" s="10">
        <v>26</v>
      </c>
      <c r="M202" s="10">
        <v>20</v>
      </c>
      <c r="O202" s="9" t="s">
        <v>30</v>
      </c>
      <c r="P202" s="10">
        <v>60</v>
      </c>
      <c r="Q202" s="10">
        <v>16</v>
      </c>
      <c r="R202" s="10">
        <v>4</v>
      </c>
      <c r="S202" s="10">
        <v>10</v>
      </c>
      <c r="T202" s="10">
        <v>30</v>
      </c>
    </row>
    <row r="203" spans="1:20" x14ac:dyDescent="0.3">
      <c r="A203" s="9" t="s">
        <v>31</v>
      </c>
      <c r="B203" s="10">
        <v>131</v>
      </c>
      <c r="C203" s="10">
        <v>101</v>
      </c>
      <c r="D203" s="10">
        <v>6</v>
      </c>
      <c r="E203" s="10">
        <v>9</v>
      </c>
      <c r="F203" s="10">
        <v>15</v>
      </c>
      <c r="H203" s="9" t="s">
        <v>31</v>
      </c>
      <c r="I203" s="10">
        <v>49</v>
      </c>
      <c r="J203" s="10">
        <v>20</v>
      </c>
      <c r="K203" s="10">
        <v>8</v>
      </c>
      <c r="L203" s="10">
        <v>15</v>
      </c>
      <c r="M203" s="10">
        <v>14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7</v>
      </c>
      <c r="C204" s="12">
        <v>3</v>
      </c>
      <c r="D204" s="12">
        <v>1</v>
      </c>
      <c r="E204" s="12">
        <v>2</v>
      </c>
      <c r="F204" s="12">
        <v>1</v>
      </c>
      <c r="H204" s="11" t="s">
        <v>32</v>
      </c>
      <c r="I204" s="12">
        <v>7</v>
      </c>
      <c r="J204" s="12">
        <v>0</v>
      </c>
      <c r="K204" s="12">
        <v>1</v>
      </c>
      <c r="L204" s="12">
        <v>2</v>
      </c>
      <c r="M204" s="12">
        <v>4</v>
      </c>
      <c r="O204" s="11" t="s">
        <v>32</v>
      </c>
      <c r="P204" s="12">
        <v>100</v>
      </c>
      <c r="Q204" s="12">
        <v>100</v>
      </c>
      <c r="R204" s="12">
        <v>0</v>
      </c>
      <c r="S204" s="12">
        <v>0</v>
      </c>
      <c r="T204" s="12">
        <v>0</v>
      </c>
    </row>
    <row r="205" spans="1:20" x14ac:dyDescent="0.3">
      <c r="A205" s="13" t="s">
        <v>33</v>
      </c>
      <c r="B205" s="14">
        <v>1</v>
      </c>
      <c r="C205" s="14">
        <v>1</v>
      </c>
      <c r="D205" s="14">
        <v>0</v>
      </c>
      <c r="E205" s="14">
        <v>0</v>
      </c>
      <c r="F205" s="14">
        <v>0</v>
      </c>
      <c r="H205" s="13" t="s">
        <v>33</v>
      </c>
      <c r="I205" s="14">
        <v>2</v>
      </c>
      <c r="J205" s="14">
        <v>0</v>
      </c>
      <c r="K205" s="14">
        <v>0</v>
      </c>
      <c r="L205" s="14">
        <v>0</v>
      </c>
      <c r="M205" s="14">
        <v>2</v>
      </c>
      <c r="O205" s="13" t="s">
        <v>33</v>
      </c>
      <c r="P205" s="14">
        <v>99</v>
      </c>
      <c r="Q205" s="14">
        <v>99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6</v>
      </c>
      <c r="C206" s="14">
        <v>2</v>
      </c>
      <c r="D206" s="14">
        <v>1</v>
      </c>
      <c r="E206" s="14">
        <v>2</v>
      </c>
      <c r="F206" s="14">
        <v>1</v>
      </c>
      <c r="H206" s="13" t="s">
        <v>34</v>
      </c>
      <c r="I206" s="14">
        <v>5</v>
      </c>
      <c r="J206" s="14">
        <v>0</v>
      </c>
      <c r="K206" s="14">
        <v>1</v>
      </c>
      <c r="L206" s="14">
        <v>2</v>
      </c>
      <c r="M206" s="14">
        <v>2</v>
      </c>
      <c r="O206" s="13" t="s">
        <v>34</v>
      </c>
      <c r="P206" s="14">
        <v>1</v>
      </c>
      <c r="Q206" s="14">
        <v>1</v>
      </c>
      <c r="R206" s="14">
        <v>0</v>
      </c>
      <c r="S206" s="14">
        <v>0</v>
      </c>
      <c r="T206" s="14">
        <v>0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7" t="s">
        <v>103</v>
      </c>
      <c r="C210" s="168"/>
      <c r="D210" s="168"/>
      <c r="E210" s="168"/>
      <c r="F210" s="168"/>
      <c r="H210" s="17" t="s">
        <v>38</v>
      </c>
      <c r="I210" s="172" t="s">
        <v>103</v>
      </c>
      <c r="J210" s="173"/>
      <c r="K210" s="173"/>
      <c r="L210" s="173"/>
      <c r="M210" s="173"/>
      <c r="O210" s="17" t="s">
        <v>38</v>
      </c>
      <c r="P210" s="167" t="s">
        <v>103</v>
      </c>
      <c r="Q210" s="168"/>
      <c r="R210" s="168"/>
      <c r="S210" s="168"/>
      <c r="T210" s="168"/>
    </row>
    <row r="211" spans="1:20" ht="19.8" x14ac:dyDescent="0.3">
      <c r="A211" s="170">
        <v>46097</v>
      </c>
      <c r="B211" s="168"/>
      <c r="C211" s="168"/>
      <c r="D211" s="168"/>
      <c r="E211" s="168"/>
      <c r="F211" s="168"/>
      <c r="H211" s="171">
        <v>46125</v>
      </c>
      <c r="I211" s="174"/>
      <c r="J211" s="174"/>
      <c r="K211" s="174"/>
      <c r="L211" s="174"/>
      <c r="M211" s="174"/>
      <c r="O211" s="170">
        <v>46156</v>
      </c>
      <c r="P211" s="168"/>
      <c r="Q211" s="168"/>
      <c r="R211" s="168"/>
      <c r="S211" s="168"/>
      <c r="T211" s="168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3428</v>
      </c>
      <c r="C213" s="3">
        <v>932</v>
      </c>
      <c r="D213" s="3">
        <v>894</v>
      </c>
      <c r="E213" s="3">
        <v>793</v>
      </c>
      <c r="F213" s="3">
        <v>809</v>
      </c>
      <c r="H213" s="2" t="s">
        <v>5</v>
      </c>
      <c r="I213" s="3">
        <f>J213+K213+L213+M213</f>
        <v>4584</v>
      </c>
      <c r="J213" s="3">
        <v>1236</v>
      </c>
      <c r="K213" s="3">
        <v>1240</v>
      </c>
      <c r="L213" s="3">
        <v>1066</v>
      </c>
      <c r="M213" s="3">
        <v>1042</v>
      </c>
      <c r="O213" s="2" t="s">
        <v>5</v>
      </c>
      <c r="P213" s="3">
        <v>7002</v>
      </c>
      <c r="Q213" s="3">
        <v>1994</v>
      </c>
      <c r="R213" s="3">
        <v>1824</v>
      </c>
      <c r="S213" s="3">
        <v>1543</v>
      </c>
      <c r="T213" s="3">
        <v>1641</v>
      </c>
    </row>
    <row r="214" spans="1:20" x14ac:dyDescent="0.3">
      <c r="A214" s="2" t="s">
        <v>6</v>
      </c>
      <c r="B214" s="3">
        <v>318</v>
      </c>
      <c r="C214" s="5">
        <v>180</v>
      </c>
      <c r="D214" s="6">
        <v>50</v>
      </c>
      <c r="E214" s="4">
        <v>44</v>
      </c>
      <c r="F214" s="4">
        <v>44</v>
      </c>
      <c r="H214" s="2" t="s">
        <v>6</v>
      </c>
      <c r="I214" s="3">
        <f>J214+K214+L214+M214</f>
        <v>607</v>
      </c>
      <c r="J214" s="5">
        <v>103</v>
      </c>
      <c r="K214" s="5">
        <v>352</v>
      </c>
      <c r="L214" s="6">
        <v>81</v>
      </c>
      <c r="M214" s="4">
        <v>71</v>
      </c>
      <c r="O214" s="2" t="s">
        <v>6</v>
      </c>
      <c r="P214" s="3">
        <v>504</v>
      </c>
      <c r="Q214" s="5">
        <v>316</v>
      </c>
      <c r="R214" s="3">
        <v>21</v>
      </c>
      <c r="S214" s="6">
        <v>87</v>
      </c>
      <c r="T214" s="4">
        <v>80</v>
      </c>
    </row>
    <row r="215" spans="1:20" x14ac:dyDescent="0.3">
      <c r="A215" s="2" t="s">
        <v>7</v>
      </c>
      <c r="B215" s="3" t="s">
        <v>377</v>
      </c>
      <c r="C215" s="5" t="s">
        <v>608</v>
      </c>
      <c r="D215" s="6" t="s">
        <v>118</v>
      </c>
      <c r="E215" s="4" t="s">
        <v>326</v>
      </c>
      <c r="F215" s="3" t="s">
        <v>609</v>
      </c>
      <c r="H215" s="2" t="s">
        <v>7</v>
      </c>
      <c r="I215" s="48">
        <f>I214/I213</f>
        <v>0.1324171029668412</v>
      </c>
      <c r="J215" s="5" t="s">
        <v>173</v>
      </c>
      <c r="K215" s="5" t="s">
        <v>1449</v>
      </c>
      <c r="L215" s="6" t="s">
        <v>1126</v>
      </c>
      <c r="M215" s="4" t="s">
        <v>865</v>
      </c>
      <c r="O215" s="2" t="s">
        <v>7</v>
      </c>
      <c r="P215" s="3" t="s">
        <v>1071</v>
      </c>
      <c r="Q215" s="5" t="s">
        <v>1899</v>
      </c>
      <c r="R215" s="3" t="s">
        <v>417</v>
      </c>
      <c r="S215" s="6" t="s">
        <v>571</v>
      </c>
      <c r="T215" s="4" t="s">
        <v>535</v>
      </c>
    </row>
    <row r="216" spans="1:20" x14ac:dyDescent="0.3">
      <c r="A216" s="2" t="s">
        <v>12</v>
      </c>
      <c r="B216" s="3" t="s">
        <v>610</v>
      </c>
      <c r="C216" s="5" t="s">
        <v>611</v>
      </c>
      <c r="D216" s="3" t="s">
        <v>612</v>
      </c>
      <c r="E216" s="6" t="s">
        <v>326</v>
      </c>
      <c r="F216" s="4" t="s">
        <v>609</v>
      </c>
      <c r="H216" s="2" t="s">
        <v>12</v>
      </c>
      <c r="I216" s="48">
        <f>I219/I213</f>
        <v>0.13089005235602094</v>
      </c>
      <c r="J216" s="5" t="s">
        <v>94</v>
      </c>
      <c r="K216" s="5" t="s">
        <v>1450</v>
      </c>
      <c r="L216" s="6" t="s">
        <v>262</v>
      </c>
      <c r="M216" s="4" t="s">
        <v>865</v>
      </c>
      <c r="O216" s="2" t="s">
        <v>12</v>
      </c>
      <c r="P216" s="3" t="s">
        <v>640</v>
      </c>
      <c r="Q216" s="4" t="s">
        <v>867</v>
      </c>
      <c r="R216" s="3" t="s">
        <v>406</v>
      </c>
      <c r="S216" s="5" t="s">
        <v>571</v>
      </c>
      <c r="T216" s="6" t="s">
        <v>810</v>
      </c>
    </row>
    <row r="217" spans="1:20" x14ac:dyDescent="0.3">
      <c r="A217" s="2" t="s">
        <v>17</v>
      </c>
      <c r="B217" s="3" t="s">
        <v>150</v>
      </c>
      <c r="C217" s="6" t="s">
        <v>157</v>
      </c>
      <c r="D217" s="5" t="s">
        <v>337</v>
      </c>
      <c r="E217" s="3" t="s">
        <v>25</v>
      </c>
      <c r="F217" s="4" t="s">
        <v>200</v>
      </c>
      <c r="H217" s="2" t="s">
        <v>17</v>
      </c>
      <c r="I217" s="48">
        <f>I225/I213</f>
        <v>1.7452006980802793E-3</v>
      </c>
      <c r="J217" s="4" t="s">
        <v>154</v>
      </c>
      <c r="K217" s="6" t="s">
        <v>309</v>
      </c>
      <c r="L217" s="5" t="s">
        <v>595</v>
      </c>
      <c r="M217" s="6" t="s">
        <v>136</v>
      </c>
      <c r="O217" s="2" t="s">
        <v>17</v>
      </c>
      <c r="P217" s="3" t="s">
        <v>1500</v>
      </c>
      <c r="Q217" s="5" t="s">
        <v>1806</v>
      </c>
      <c r="R217" s="4" t="s">
        <v>158</v>
      </c>
      <c r="S217" s="3" t="s">
        <v>25</v>
      </c>
      <c r="T217" s="6" t="s">
        <v>268</v>
      </c>
    </row>
    <row r="218" spans="1:20" x14ac:dyDescent="0.3">
      <c r="A218" s="2" t="s">
        <v>22</v>
      </c>
      <c r="B218" s="3" t="s">
        <v>25</v>
      </c>
      <c r="C218" s="3" t="s">
        <v>25</v>
      </c>
      <c r="D218" s="3" t="s">
        <v>25</v>
      </c>
      <c r="E218" s="3" t="s">
        <v>25</v>
      </c>
      <c r="F218" s="3" t="s">
        <v>25</v>
      </c>
      <c r="H218" s="2" t="s">
        <v>22</v>
      </c>
      <c r="I218" s="48">
        <f>I228/I213</f>
        <v>0</v>
      </c>
      <c r="J218" s="3" t="s">
        <v>25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308</v>
      </c>
      <c r="C219" s="8">
        <v>176</v>
      </c>
      <c r="D219" s="8">
        <v>44</v>
      </c>
      <c r="E219" s="8">
        <v>44</v>
      </c>
      <c r="F219" s="8">
        <v>44</v>
      </c>
      <c r="H219" s="7" t="s">
        <v>26</v>
      </c>
      <c r="I219" s="8">
        <f>J219+K219+L219+M219</f>
        <v>600</v>
      </c>
      <c r="J219" s="8">
        <v>101</v>
      </c>
      <c r="K219" s="8">
        <v>351</v>
      </c>
      <c r="L219" s="8">
        <v>77</v>
      </c>
      <c r="M219" s="8">
        <v>71</v>
      </c>
      <c r="O219" s="7" t="s">
        <v>26</v>
      </c>
      <c r="P219" s="8">
        <v>274</v>
      </c>
      <c r="Q219" s="8">
        <v>88</v>
      </c>
      <c r="R219" s="8">
        <v>20</v>
      </c>
      <c r="S219" s="8">
        <v>87</v>
      </c>
      <c r="T219" s="8">
        <v>79</v>
      </c>
    </row>
    <row r="220" spans="1:20" x14ac:dyDescent="0.3">
      <c r="A220" s="9" t="s">
        <v>27</v>
      </c>
      <c r="B220" s="10">
        <v>86</v>
      </c>
      <c r="C220" s="10">
        <v>29</v>
      </c>
      <c r="D220" s="10">
        <v>19</v>
      </c>
      <c r="E220" s="10">
        <v>20</v>
      </c>
      <c r="F220" s="10">
        <v>18</v>
      </c>
      <c r="H220" s="9" t="s">
        <v>27</v>
      </c>
      <c r="I220" s="10">
        <v>120</v>
      </c>
      <c r="J220" s="10">
        <v>43</v>
      </c>
      <c r="K220" s="10">
        <v>69</v>
      </c>
      <c r="L220" s="10">
        <v>41</v>
      </c>
      <c r="M220" s="10">
        <v>36</v>
      </c>
      <c r="O220" s="9" t="s">
        <v>27</v>
      </c>
      <c r="P220" s="10">
        <v>138</v>
      </c>
      <c r="Q220" s="10">
        <v>45</v>
      </c>
      <c r="R220" s="10">
        <v>11</v>
      </c>
      <c r="S220" s="10">
        <v>41</v>
      </c>
      <c r="T220" s="10">
        <v>41</v>
      </c>
    </row>
    <row r="221" spans="1:20" x14ac:dyDescent="0.3">
      <c r="A221" s="9" t="s">
        <v>28</v>
      </c>
      <c r="B221" s="10">
        <v>32</v>
      </c>
      <c r="C221" s="10">
        <v>8</v>
      </c>
      <c r="D221" s="10">
        <v>9</v>
      </c>
      <c r="E221" s="10">
        <v>5</v>
      </c>
      <c r="F221" s="10">
        <v>10</v>
      </c>
      <c r="H221" s="9" t="s">
        <v>28</v>
      </c>
      <c r="I221" s="10">
        <v>53</v>
      </c>
      <c r="J221" s="10">
        <v>26</v>
      </c>
      <c r="K221" s="10">
        <v>11</v>
      </c>
      <c r="L221" s="10">
        <v>16</v>
      </c>
      <c r="M221" s="10">
        <v>11</v>
      </c>
      <c r="O221" s="9" t="s">
        <v>28</v>
      </c>
      <c r="P221" s="10">
        <v>84</v>
      </c>
      <c r="Q221" s="10">
        <v>23</v>
      </c>
      <c r="R221" s="10">
        <v>6</v>
      </c>
      <c r="S221" s="10">
        <v>30</v>
      </c>
      <c r="T221" s="10">
        <v>25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52</v>
      </c>
      <c r="C223" s="10">
        <v>18</v>
      </c>
      <c r="D223" s="10">
        <v>10</v>
      </c>
      <c r="E223" s="10">
        <v>15</v>
      </c>
      <c r="F223" s="10">
        <v>9</v>
      </c>
      <c r="H223" s="9" t="s">
        <v>30</v>
      </c>
      <c r="I223" s="10">
        <v>58</v>
      </c>
      <c r="J223" s="10">
        <v>26</v>
      </c>
      <c r="K223" s="10">
        <v>252</v>
      </c>
      <c r="L223" s="10">
        <v>14</v>
      </c>
      <c r="M223" s="10">
        <v>18</v>
      </c>
      <c r="O223" s="9" t="s">
        <v>30</v>
      </c>
      <c r="P223" s="10">
        <v>52</v>
      </c>
      <c r="Q223" s="10">
        <v>20</v>
      </c>
      <c r="R223" s="10">
        <v>3</v>
      </c>
      <c r="S223" s="10">
        <v>16</v>
      </c>
      <c r="T223" s="10">
        <v>13</v>
      </c>
    </row>
    <row r="224" spans="1:20" x14ac:dyDescent="0.3">
      <c r="A224" s="9" t="s">
        <v>31</v>
      </c>
      <c r="B224" s="10">
        <v>138</v>
      </c>
      <c r="C224" s="10">
        <v>121</v>
      </c>
      <c r="D224" s="10">
        <v>6</v>
      </c>
      <c r="E224" s="10">
        <v>4</v>
      </c>
      <c r="F224" s="10">
        <v>7</v>
      </c>
      <c r="H224" s="9" t="s">
        <v>31</v>
      </c>
      <c r="I224" s="10">
        <v>18</v>
      </c>
      <c r="J224" s="10">
        <v>6</v>
      </c>
      <c r="K224" s="10">
        <v>19</v>
      </c>
      <c r="L224" s="10">
        <v>6</v>
      </c>
      <c r="M224" s="10">
        <v>6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13</v>
      </c>
      <c r="C225" s="12">
        <v>4</v>
      </c>
      <c r="D225" s="12">
        <v>6</v>
      </c>
      <c r="E225" s="12">
        <v>0</v>
      </c>
      <c r="F225" s="12">
        <v>3</v>
      </c>
      <c r="H225" s="11" t="s">
        <v>32</v>
      </c>
      <c r="I225" s="12">
        <f>J225+K225+L225+M225</f>
        <v>8</v>
      </c>
      <c r="J225" s="12">
        <v>2</v>
      </c>
      <c r="K225" s="12">
        <v>1</v>
      </c>
      <c r="L225" s="12">
        <v>3</v>
      </c>
      <c r="M225" s="12">
        <v>2</v>
      </c>
      <c r="O225" s="11" t="s">
        <v>32</v>
      </c>
      <c r="P225" s="12">
        <v>233</v>
      </c>
      <c r="Q225" s="12">
        <v>231</v>
      </c>
      <c r="R225" s="12">
        <v>1</v>
      </c>
      <c r="S225" s="12">
        <v>0</v>
      </c>
      <c r="T225" s="12">
        <v>1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1</v>
      </c>
      <c r="J226" s="14">
        <v>0</v>
      </c>
      <c r="K226" s="14">
        <v>0</v>
      </c>
      <c r="L226" s="14">
        <v>1</v>
      </c>
      <c r="M226" s="14">
        <v>0</v>
      </c>
      <c r="O226" s="13" t="s">
        <v>33</v>
      </c>
      <c r="P226" s="14">
        <v>232</v>
      </c>
      <c r="Q226" s="14">
        <v>231</v>
      </c>
      <c r="R226" s="14">
        <v>1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13</v>
      </c>
      <c r="C227" s="14">
        <v>4</v>
      </c>
      <c r="D227" s="14">
        <v>6</v>
      </c>
      <c r="E227" s="14">
        <v>0</v>
      </c>
      <c r="F227" s="14">
        <v>3</v>
      </c>
      <c r="H227" s="13" t="s">
        <v>34</v>
      </c>
      <c r="I227" s="14">
        <f>J227+K227+L227+M227</f>
        <v>7</v>
      </c>
      <c r="J227" s="14">
        <v>2</v>
      </c>
      <c r="K227" s="14">
        <v>1</v>
      </c>
      <c r="L227" s="14">
        <v>2</v>
      </c>
      <c r="M227" s="14">
        <v>2</v>
      </c>
      <c r="O227" s="13" t="s">
        <v>34</v>
      </c>
      <c r="P227" s="14">
        <v>1</v>
      </c>
      <c r="Q227" s="14">
        <v>0</v>
      </c>
      <c r="R227" s="14">
        <v>0</v>
      </c>
      <c r="S227" s="14">
        <v>0</v>
      </c>
      <c r="T227" s="14">
        <v>1</v>
      </c>
    </row>
    <row r="228" spans="1:20" x14ac:dyDescent="0.3">
      <c r="A228" s="15" t="s">
        <v>35</v>
      </c>
      <c r="B228" s="16">
        <v>0</v>
      </c>
      <c r="C228" s="16">
        <v>0</v>
      </c>
      <c r="D228" s="16">
        <v>0</v>
      </c>
      <c r="E228" s="16">
        <v>0</v>
      </c>
      <c r="F228" s="16">
        <v>0</v>
      </c>
      <c r="H228" s="15" t="s">
        <v>35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7" t="s">
        <v>103</v>
      </c>
      <c r="C231" s="168"/>
      <c r="D231" s="168"/>
      <c r="E231" s="168"/>
      <c r="F231" s="168"/>
      <c r="H231" s="17" t="s">
        <v>38</v>
      </c>
      <c r="I231" s="172" t="s">
        <v>103</v>
      </c>
      <c r="J231" s="173"/>
      <c r="K231" s="173"/>
      <c r="L231" s="173"/>
      <c r="M231" s="173"/>
      <c r="O231" s="17" t="s">
        <v>38</v>
      </c>
      <c r="P231" s="167" t="s">
        <v>103</v>
      </c>
      <c r="Q231" s="168"/>
      <c r="R231" s="168"/>
      <c r="S231" s="168"/>
      <c r="T231" s="168"/>
    </row>
    <row r="232" spans="1:20" ht="19.8" x14ac:dyDescent="0.3">
      <c r="A232" s="170">
        <v>46098</v>
      </c>
      <c r="B232" s="168"/>
      <c r="C232" s="168"/>
      <c r="D232" s="168"/>
      <c r="E232" s="168"/>
      <c r="F232" s="168"/>
      <c r="H232" s="170">
        <v>46126</v>
      </c>
      <c r="I232" s="168"/>
      <c r="J232" s="168"/>
      <c r="K232" s="168"/>
      <c r="L232" s="168"/>
      <c r="M232" s="168"/>
      <c r="O232" s="170">
        <v>46157</v>
      </c>
      <c r="P232" s="168"/>
      <c r="Q232" s="168"/>
      <c r="R232" s="168"/>
      <c r="S232" s="168"/>
      <c r="T232" s="168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6237</v>
      </c>
      <c r="C234" s="3">
        <v>1685</v>
      </c>
      <c r="D234" s="3">
        <v>1688</v>
      </c>
      <c r="E234" s="3">
        <v>1494</v>
      </c>
      <c r="F234" s="3">
        <v>1370</v>
      </c>
      <c r="H234" s="2" t="s">
        <v>5</v>
      </c>
      <c r="I234" s="3">
        <v>6724</v>
      </c>
      <c r="J234" s="3">
        <v>1765</v>
      </c>
      <c r="K234" s="3">
        <v>1805</v>
      </c>
      <c r="L234" s="3">
        <v>1568</v>
      </c>
      <c r="M234" s="3">
        <v>1586</v>
      </c>
      <c r="O234" s="2" t="s">
        <v>5</v>
      </c>
      <c r="P234" s="3">
        <v>6412</v>
      </c>
      <c r="Q234" s="3">
        <v>1870</v>
      </c>
      <c r="R234" s="3">
        <v>1638</v>
      </c>
      <c r="S234" s="3">
        <v>1444</v>
      </c>
      <c r="T234" s="3">
        <v>1460</v>
      </c>
    </row>
    <row r="235" spans="1:20" x14ac:dyDescent="0.3">
      <c r="A235" s="2" t="s">
        <v>6</v>
      </c>
      <c r="B235" s="3">
        <v>748</v>
      </c>
      <c r="C235" s="5">
        <v>452</v>
      </c>
      <c r="D235" s="6">
        <v>107</v>
      </c>
      <c r="E235" s="4">
        <v>102</v>
      </c>
      <c r="F235" s="3">
        <v>87</v>
      </c>
      <c r="H235" s="2" t="s">
        <v>6</v>
      </c>
      <c r="I235" s="3">
        <v>487</v>
      </c>
      <c r="J235" s="6">
        <v>117</v>
      </c>
      <c r="K235" s="5">
        <v>168</v>
      </c>
      <c r="L235" s="4">
        <v>115</v>
      </c>
      <c r="M235" s="3">
        <v>87</v>
      </c>
      <c r="O235" s="2" t="s">
        <v>6</v>
      </c>
      <c r="P235" s="3">
        <v>263</v>
      </c>
      <c r="Q235" s="5">
        <v>116</v>
      </c>
      <c r="R235" s="3">
        <v>30</v>
      </c>
      <c r="S235" s="6">
        <v>62</v>
      </c>
      <c r="T235" s="4">
        <v>55</v>
      </c>
    </row>
    <row r="236" spans="1:20" x14ac:dyDescent="0.3">
      <c r="A236" s="2" t="s">
        <v>7</v>
      </c>
      <c r="B236" s="3" t="s">
        <v>680</v>
      </c>
      <c r="C236" s="5" t="s">
        <v>681</v>
      </c>
      <c r="D236" s="3" t="s">
        <v>454</v>
      </c>
      <c r="E236" s="6" t="s">
        <v>682</v>
      </c>
      <c r="F236" s="4" t="s">
        <v>600</v>
      </c>
      <c r="H236" s="2" t="s">
        <v>7</v>
      </c>
      <c r="I236" s="3" t="s">
        <v>1463</v>
      </c>
      <c r="J236" s="4" t="s">
        <v>1464</v>
      </c>
      <c r="K236" s="5" t="s">
        <v>1465</v>
      </c>
      <c r="L236" s="6" t="s">
        <v>1466</v>
      </c>
      <c r="M236" s="3" t="s">
        <v>644</v>
      </c>
      <c r="O236" s="2" t="s">
        <v>7</v>
      </c>
      <c r="P236" s="3" t="s">
        <v>1865</v>
      </c>
      <c r="Q236" s="5" t="s">
        <v>459</v>
      </c>
      <c r="R236" s="3" t="s">
        <v>450</v>
      </c>
      <c r="S236" s="6" t="s">
        <v>758</v>
      </c>
      <c r="T236" s="4" t="s">
        <v>190</v>
      </c>
    </row>
    <row r="237" spans="1:20" x14ac:dyDescent="0.3">
      <c r="A237" s="2" t="s">
        <v>12</v>
      </c>
      <c r="B237" s="3" t="s">
        <v>683</v>
      </c>
      <c r="C237" s="5" t="s">
        <v>684</v>
      </c>
      <c r="D237" s="3" t="s">
        <v>685</v>
      </c>
      <c r="E237" s="6" t="s">
        <v>646</v>
      </c>
      <c r="F237" s="4" t="s">
        <v>686</v>
      </c>
      <c r="H237" s="2" t="s">
        <v>12</v>
      </c>
      <c r="I237" s="3" t="s">
        <v>319</v>
      </c>
      <c r="J237" s="4" t="s">
        <v>771</v>
      </c>
      <c r="K237" s="5" t="s">
        <v>1269</v>
      </c>
      <c r="L237" s="6" t="s">
        <v>643</v>
      </c>
      <c r="M237" s="3" t="s">
        <v>644</v>
      </c>
      <c r="O237" s="2" t="s">
        <v>12</v>
      </c>
      <c r="P237" s="3" t="s">
        <v>415</v>
      </c>
      <c r="Q237" s="4" t="s">
        <v>206</v>
      </c>
      <c r="R237" s="3" t="s">
        <v>199</v>
      </c>
      <c r="S237" s="5" t="s">
        <v>758</v>
      </c>
      <c r="T237" s="6" t="s">
        <v>190</v>
      </c>
    </row>
    <row r="238" spans="1:20" x14ac:dyDescent="0.3">
      <c r="A238" s="2" t="s">
        <v>17</v>
      </c>
      <c r="B238" s="3" t="s">
        <v>491</v>
      </c>
      <c r="C238" s="5" t="s">
        <v>66</v>
      </c>
      <c r="D238" s="4" t="s">
        <v>134</v>
      </c>
      <c r="E238" s="3" t="s">
        <v>75</v>
      </c>
      <c r="F238" s="6" t="s">
        <v>654</v>
      </c>
      <c r="H238" s="2" t="s">
        <v>17</v>
      </c>
      <c r="I238" s="3" t="s">
        <v>154</v>
      </c>
      <c r="J238" s="3" t="s">
        <v>49</v>
      </c>
      <c r="K238" s="6" t="s">
        <v>108</v>
      </c>
      <c r="L238" s="5" t="s">
        <v>101</v>
      </c>
      <c r="M238" s="4" t="s">
        <v>75</v>
      </c>
      <c r="O238" s="2" t="s">
        <v>17</v>
      </c>
      <c r="P238" s="3" t="s">
        <v>233</v>
      </c>
      <c r="Q238" s="5" t="s">
        <v>636</v>
      </c>
      <c r="R238" s="4" t="s">
        <v>268</v>
      </c>
      <c r="S238" s="3" t="s">
        <v>25</v>
      </c>
      <c r="T238" s="6" t="s">
        <v>138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267</v>
      </c>
      <c r="Q239" s="3" t="s">
        <v>25</v>
      </c>
      <c r="R239" s="3" t="s">
        <v>25</v>
      </c>
      <c r="S239" s="3" t="s">
        <v>25</v>
      </c>
      <c r="T239" s="5" t="s">
        <v>138</v>
      </c>
    </row>
    <row r="240" spans="1:20" x14ac:dyDescent="0.3">
      <c r="A240" s="7" t="s">
        <v>26</v>
      </c>
      <c r="B240" s="8">
        <v>726</v>
      </c>
      <c r="C240" s="8">
        <v>441</v>
      </c>
      <c r="D240" s="8">
        <v>101</v>
      </c>
      <c r="E240" s="8">
        <v>100</v>
      </c>
      <c r="F240" s="8">
        <v>84</v>
      </c>
      <c r="H240" s="7" t="s">
        <v>26</v>
      </c>
      <c r="I240" s="8">
        <v>478</v>
      </c>
      <c r="J240" s="8">
        <v>115</v>
      </c>
      <c r="K240" s="8">
        <v>165</v>
      </c>
      <c r="L240" s="8">
        <v>111</v>
      </c>
      <c r="M240" s="8">
        <v>87</v>
      </c>
      <c r="O240" s="7" t="s">
        <v>26</v>
      </c>
      <c r="P240" s="8">
        <v>215</v>
      </c>
      <c r="Q240" s="8">
        <v>69</v>
      </c>
      <c r="R240" s="8">
        <v>29</v>
      </c>
      <c r="S240" s="8">
        <v>62</v>
      </c>
      <c r="T240" s="8">
        <v>55</v>
      </c>
    </row>
    <row r="241" spans="1:20" x14ac:dyDescent="0.3">
      <c r="A241" s="9" t="s">
        <v>27</v>
      </c>
      <c r="B241" s="10">
        <v>180</v>
      </c>
      <c r="C241" s="10">
        <v>33</v>
      </c>
      <c r="D241" s="10">
        <v>46</v>
      </c>
      <c r="E241" s="10">
        <v>48</v>
      </c>
      <c r="F241" s="10">
        <v>53</v>
      </c>
      <c r="H241" s="9" t="s">
        <v>27</v>
      </c>
      <c r="I241" s="10">
        <v>198</v>
      </c>
      <c r="J241" s="10">
        <v>50</v>
      </c>
      <c r="K241" s="10">
        <v>59</v>
      </c>
      <c r="L241" s="10">
        <v>48</v>
      </c>
      <c r="M241" s="10">
        <v>41</v>
      </c>
      <c r="O241" s="9" t="s">
        <v>27</v>
      </c>
      <c r="P241" s="10">
        <v>120</v>
      </c>
      <c r="Q241" s="10">
        <v>36</v>
      </c>
      <c r="R241" s="10">
        <v>18</v>
      </c>
      <c r="S241" s="10">
        <v>40</v>
      </c>
      <c r="T241" s="10">
        <v>26</v>
      </c>
    </row>
    <row r="242" spans="1:20" x14ac:dyDescent="0.3">
      <c r="A242" s="9" t="s">
        <v>28</v>
      </c>
      <c r="B242" s="10">
        <v>54</v>
      </c>
      <c r="C242" s="10">
        <v>18</v>
      </c>
      <c r="D242" s="10">
        <v>18</v>
      </c>
      <c r="E242" s="10">
        <v>11</v>
      </c>
      <c r="F242" s="10">
        <v>7</v>
      </c>
      <c r="H242" s="9" t="s">
        <v>28</v>
      </c>
      <c r="I242" s="10">
        <v>85</v>
      </c>
      <c r="J242" s="10">
        <v>21</v>
      </c>
      <c r="K242" s="10">
        <v>25</v>
      </c>
      <c r="L242" s="10">
        <v>22</v>
      </c>
      <c r="M242" s="10">
        <v>17</v>
      </c>
      <c r="O242" s="9" t="s">
        <v>28</v>
      </c>
      <c r="P242" s="10">
        <v>53</v>
      </c>
      <c r="Q242" s="10">
        <v>21</v>
      </c>
      <c r="R242" s="10">
        <v>5</v>
      </c>
      <c r="S242" s="10">
        <v>13</v>
      </c>
      <c r="T242" s="10">
        <v>14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117</v>
      </c>
      <c r="C244" s="10">
        <v>29</v>
      </c>
      <c r="D244" s="10">
        <v>35</v>
      </c>
      <c r="E244" s="10">
        <v>33</v>
      </c>
      <c r="F244" s="10">
        <v>20</v>
      </c>
      <c r="H244" s="9" t="s">
        <v>30</v>
      </c>
      <c r="I244" s="10">
        <v>138</v>
      </c>
      <c r="J244" s="10">
        <v>31</v>
      </c>
      <c r="K244" s="10">
        <v>66</v>
      </c>
      <c r="L244" s="10">
        <v>24</v>
      </c>
      <c r="M244" s="10">
        <v>17</v>
      </c>
      <c r="O244" s="9" t="s">
        <v>30</v>
      </c>
      <c r="P244" s="10">
        <v>42</v>
      </c>
      <c r="Q244" s="10">
        <v>12</v>
      </c>
      <c r="R244" s="10">
        <v>6</v>
      </c>
      <c r="S244" s="10">
        <v>9</v>
      </c>
      <c r="T244" s="10">
        <v>15</v>
      </c>
    </row>
    <row r="245" spans="1:20" x14ac:dyDescent="0.3">
      <c r="A245" s="9" t="s">
        <v>31</v>
      </c>
      <c r="B245" s="10">
        <v>375</v>
      </c>
      <c r="C245" s="10">
        <v>361</v>
      </c>
      <c r="D245" s="10">
        <v>2</v>
      </c>
      <c r="E245" s="10">
        <v>8</v>
      </c>
      <c r="F245" s="10">
        <v>4</v>
      </c>
      <c r="H245" s="9" t="s">
        <v>31</v>
      </c>
      <c r="I245" s="10">
        <v>57</v>
      </c>
      <c r="J245" s="10">
        <v>13</v>
      </c>
      <c r="K245" s="10">
        <v>15</v>
      </c>
      <c r="L245" s="10">
        <v>17</v>
      </c>
      <c r="M245" s="10">
        <v>12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25</v>
      </c>
      <c r="C246" s="12">
        <v>10</v>
      </c>
      <c r="D246" s="12">
        <v>6</v>
      </c>
      <c r="E246" s="12">
        <v>2</v>
      </c>
      <c r="F246" s="12">
        <v>7</v>
      </c>
      <c r="H246" s="11" t="s">
        <v>32</v>
      </c>
      <c r="I246" s="12">
        <v>11</v>
      </c>
      <c r="J246" s="12">
        <v>2</v>
      </c>
      <c r="K246" s="12">
        <v>3</v>
      </c>
      <c r="L246" s="12">
        <v>4</v>
      </c>
      <c r="M246" s="12">
        <v>2</v>
      </c>
      <c r="O246" s="11" t="s">
        <v>32</v>
      </c>
      <c r="P246" s="12">
        <v>51</v>
      </c>
      <c r="Q246" s="12">
        <v>49</v>
      </c>
      <c r="R246" s="12">
        <v>1</v>
      </c>
      <c r="S246" s="12">
        <v>0</v>
      </c>
      <c r="T246" s="12">
        <v>1</v>
      </c>
    </row>
    <row r="247" spans="1:20" x14ac:dyDescent="0.3">
      <c r="A247" s="13" t="s">
        <v>33</v>
      </c>
      <c r="B247" s="14">
        <v>8</v>
      </c>
      <c r="C247" s="14">
        <v>1</v>
      </c>
      <c r="D247" s="14">
        <v>3</v>
      </c>
      <c r="E247" s="14">
        <v>1</v>
      </c>
      <c r="F247" s="14">
        <v>3</v>
      </c>
      <c r="H247" s="13" t="s">
        <v>33</v>
      </c>
      <c r="I247" s="14">
        <v>1</v>
      </c>
      <c r="J247" s="14">
        <v>1</v>
      </c>
      <c r="K247" s="14">
        <v>0</v>
      </c>
      <c r="L247" s="14">
        <v>0</v>
      </c>
      <c r="M247" s="14">
        <v>0</v>
      </c>
      <c r="O247" s="13" t="s">
        <v>33</v>
      </c>
      <c r="P247" s="14">
        <v>47</v>
      </c>
      <c r="Q247" s="14">
        <v>47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17</v>
      </c>
      <c r="C248" s="14">
        <v>9</v>
      </c>
      <c r="D248" s="14">
        <v>3</v>
      </c>
      <c r="E248" s="14">
        <v>1</v>
      </c>
      <c r="F248" s="14">
        <v>4</v>
      </c>
      <c r="H248" s="13" t="s">
        <v>34</v>
      </c>
      <c r="I248" s="14">
        <v>10</v>
      </c>
      <c r="J248" s="14">
        <v>1</v>
      </c>
      <c r="K248" s="14">
        <v>3</v>
      </c>
      <c r="L248" s="14">
        <v>4</v>
      </c>
      <c r="M248" s="14">
        <v>2</v>
      </c>
      <c r="O248" s="13" t="s">
        <v>34</v>
      </c>
      <c r="P248" s="14">
        <v>4</v>
      </c>
      <c r="Q248" s="14">
        <v>2</v>
      </c>
      <c r="R248" s="14">
        <v>1</v>
      </c>
      <c r="S248" s="14">
        <v>0</v>
      </c>
      <c r="T248" s="14">
        <v>1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1</v>
      </c>
      <c r="Q249" s="16">
        <v>0</v>
      </c>
      <c r="R249" s="16">
        <v>0</v>
      </c>
      <c r="S249" s="16">
        <v>0</v>
      </c>
      <c r="T249" s="16">
        <v>1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1</v>
      </c>
      <c r="Q251" s="130">
        <v>0</v>
      </c>
      <c r="R251" s="130">
        <v>0</v>
      </c>
      <c r="S251" s="130">
        <v>0</v>
      </c>
      <c r="T251" s="130">
        <v>1</v>
      </c>
    </row>
    <row r="252" spans="1:20" x14ac:dyDescent="0.3">
      <c r="A252" s="17" t="s">
        <v>38</v>
      </c>
      <c r="B252" s="167" t="s">
        <v>103</v>
      </c>
      <c r="C252" s="168"/>
      <c r="D252" s="168"/>
      <c r="E252" s="168"/>
      <c r="F252" s="168"/>
      <c r="H252" s="17" t="s">
        <v>38</v>
      </c>
      <c r="I252" s="167" t="s">
        <v>103</v>
      </c>
      <c r="J252" s="168"/>
      <c r="K252" s="168"/>
      <c r="L252" s="168"/>
      <c r="M252" s="168"/>
      <c r="O252" s="17" t="s">
        <v>38</v>
      </c>
      <c r="P252" s="167" t="s">
        <v>103</v>
      </c>
      <c r="Q252" s="168"/>
      <c r="R252" s="168"/>
      <c r="S252" s="168"/>
      <c r="T252" s="168"/>
    </row>
    <row r="253" spans="1:20" ht="19.8" x14ac:dyDescent="0.3">
      <c r="A253" s="170">
        <v>46099</v>
      </c>
      <c r="B253" s="168"/>
      <c r="C253" s="168"/>
      <c r="D253" s="168"/>
      <c r="E253" s="168"/>
      <c r="F253" s="168"/>
      <c r="H253" s="170">
        <v>46127</v>
      </c>
      <c r="I253" s="168"/>
      <c r="J253" s="168"/>
      <c r="K253" s="168"/>
      <c r="L253" s="168"/>
      <c r="M253" s="168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5345</v>
      </c>
      <c r="C255" s="3">
        <v>1509</v>
      </c>
      <c r="D255" s="3">
        <v>1444</v>
      </c>
      <c r="E255" s="3">
        <v>1292</v>
      </c>
      <c r="F255" s="3">
        <v>1100</v>
      </c>
      <c r="H255" s="2" t="s">
        <v>5</v>
      </c>
      <c r="I255" s="3">
        <v>5292</v>
      </c>
      <c r="J255" s="3">
        <v>1506</v>
      </c>
      <c r="K255" s="3">
        <v>1503</v>
      </c>
      <c r="L255" s="3">
        <v>1369</v>
      </c>
      <c r="M255" s="3">
        <v>914</v>
      </c>
      <c r="O255" s="2" t="s">
        <v>5</v>
      </c>
      <c r="P255" s="3">
        <v>6087</v>
      </c>
      <c r="Q255" s="3">
        <v>1728</v>
      </c>
      <c r="R255" s="3">
        <v>1611</v>
      </c>
      <c r="S255" s="3">
        <v>1391</v>
      </c>
      <c r="T255" s="3">
        <v>1357</v>
      </c>
    </row>
    <row r="256" spans="1:20" x14ac:dyDescent="0.3">
      <c r="A256" s="2" t="s">
        <v>6</v>
      </c>
      <c r="B256" s="3">
        <v>747</v>
      </c>
      <c r="C256" s="5">
        <v>314</v>
      </c>
      <c r="D256" s="4">
        <v>145</v>
      </c>
      <c r="E256" s="6">
        <v>149</v>
      </c>
      <c r="F256" s="3">
        <v>139</v>
      </c>
      <c r="H256" s="2" t="s">
        <v>6</v>
      </c>
      <c r="I256" s="3">
        <v>582</v>
      </c>
      <c r="J256" s="6">
        <v>159</v>
      </c>
      <c r="K256" s="4">
        <v>157</v>
      </c>
      <c r="L256" s="5">
        <v>183</v>
      </c>
      <c r="M256" s="3">
        <v>83</v>
      </c>
      <c r="O256" s="2" t="s">
        <v>6</v>
      </c>
      <c r="P256" s="3">
        <v>382</v>
      </c>
      <c r="Q256" s="6">
        <v>86</v>
      </c>
      <c r="R256" s="5">
        <v>162</v>
      </c>
      <c r="S256" s="4">
        <v>85</v>
      </c>
      <c r="T256" s="3">
        <v>49</v>
      </c>
    </row>
    <row r="257" spans="1:20" x14ac:dyDescent="0.3">
      <c r="A257" s="2" t="s">
        <v>7</v>
      </c>
      <c r="B257" s="3" t="s">
        <v>698</v>
      </c>
      <c r="C257" s="5" t="s">
        <v>699</v>
      </c>
      <c r="D257" s="3" t="s">
        <v>700</v>
      </c>
      <c r="E257" s="4" t="s">
        <v>701</v>
      </c>
      <c r="F257" s="6" t="s">
        <v>702</v>
      </c>
      <c r="H257" s="2" t="s">
        <v>7</v>
      </c>
      <c r="I257" s="3" t="s">
        <v>733</v>
      </c>
      <c r="J257" s="6" t="s">
        <v>1495</v>
      </c>
      <c r="K257" s="4" t="s">
        <v>265</v>
      </c>
      <c r="L257" s="5" t="s">
        <v>1496</v>
      </c>
      <c r="M257" s="3" t="s">
        <v>176</v>
      </c>
      <c r="O257" s="2" t="s">
        <v>7</v>
      </c>
      <c r="P257" s="3" t="s">
        <v>964</v>
      </c>
      <c r="Q257" s="4" t="s">
        <v>549</v>
      </c>
      <c r="R257" s="5" t="s">
        <v>1349</v>
      </c>
      <c r="S257" s="6" t="s">
        <v>284</v>
      </c>
      <c r="T257" s="3" t="s">
        <v>1703</v>
      </c>
    </row>
    <row r="258" spans="1:20" x14ac:dyDescent="0.3">
      <c r="A258" s="2" t="s">
        <v>12</v>
      </c>
      <c r="B258" s="3" t="s">
        <v>703</v>
      </c>
      <c r="C258" s="5" t="s">
        <v>704</v>
      </c>
      <c r="D258" s="3" t="s">
        <v>705</v>
      </c>
      <c r="E258" s="4" t="s">
        <v>706</v>
      </c>
      <c r="F258" s="6" t="s">
        <v>707</v>
      </c>
      <c r="H258" s="2" t="s">
        <v>12</v>
      </c>
      <c r="I258" s="3" t="s">
        <v>1497</v>
      </c>
      <c r="J258" s="6" t="s">
        <v>650</v>
      </c>
      <c r="K258" s="4" t="s">
        <v>755</v>
      </c>
      <c r="L258" s="5" t="s">
        <v>20</v>
      </c>
      <c r="M258" s="3" t="s">
        <v>176</v>
      </c>
      <c r="O258" s="2" t="s">
        <v>12</v>
      </c>
      <c r="P258" s="3" t="s">
        <v>1358</v>
      </c>
      <c r="Q258" s="4" t="s">
        <v>991</v>
      </c>
      <c r="R258" s="5" t="s">
        <v>1325</v>
      </c>
      <c r="S258" s="6" t="s">
        <v>633</v>
      </c>
      <c r="T258" s="3" t="s">
        <v>1703</v>
      </c>
    </row>
    <row r="259" spans="1:20" x14ac:dyDescent="0.3">
      <c r="A259" s="2" t="s">
        <v>17</v>
      </c>
      <c r="B259" s="3" t="s">
        <v>146</v>
      </c>
      <c r="C259" s="3" t="s">
        <v>138</v>
      </c>
      <c r="D259" s="4" t="s">
        <v>595</v>
      </c>
      <c r="E259" s="6" t="s">
        <v>419</v>
      </c>
      <c r="F259" s="5" t="s">
        <v>42</v>
      </c>
      <c r="H259" s="2" t="s">
        <v>17</v>
      </c>
      <c r="I259" s="3" t="s">
        <v>108</v>
      </c>
      <c r="J259" s="4" t="s">
        <v>99</v>
      </c>
      <c r="K259" s="6" t="s">
        <v>99</v>
      </c>
      <c r="L259" s="5" t="s">
        <v>122</v>
      </c>
      <c r="M259" s="3" t="s">
        <v>25</v>
      </c>
      <c r="O259" s="2" t="s">
        <v>17</v>
      </c>
      <c r="P259" s="3" t="s">
        <v>418</v>
      </c>
      <c r="Q259" s="5" t="s">
        <v>850</v>
      </c>
      <c r="R259" s="4" t="s">
        <v>268</v>
      </c>
      <c r="S259" s="6" t="s">
        <v>122</v>
      </c>
      <c r="T259" s="3" t="s">
        <v>25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552</v>
      </c>
      <c r="Q260" s="5" t="s">
        <v>102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733</v>
      </c>
      <c r="C261" s="8">
        <v>313</v>
      </c>
      <c r="D261" s="8">
        <v>140</v>
      </c>
      <c r="E261" s="8">
        <v>146</v>
      </c>
      <c r="F261" s="8">
        <v>134</v>
      </c>
      <c r="H261" s="7" t="s">
        <v>26</v>
      </c>
      <c r="I261" s="8">
        <v>573</v>
      </c>
      <c r="J261" s="8">
        <v>156</v>
      </c>
      <c r="K261" s="8">
        <v>154</v>
      </c>
      <c r="L261" s="8">
        <v>180</v>
      </c>
      <c r="M261" s="8">
        <v>83</v>
      </c>
      <c r="O261" s="7" t="s">
        <v>26</v>
      </c>
      <c r="P261" s="8">
        <v>362</v>
      </c>
      <c r="Q261" s="8">
        <v>70</v>
      </c>
      <c r="R261" s="8">
        <v>161</v>
      </c>
      <c r="S261" s="8">
        <v>82</v>
      </c>
      <c r="T261" s="8">
        <v>49</v>
      </c>
    </row>
    <row r="262" spans="1:20" x14ac:dyDescent="0.3">
      <c r="A262" s="9" t="s">
        <v>27</v>
      </c>
      <c r="B262" s="10">
        <v>248</v>
      </c>
      <c r="C262" s="10">
        <v>57</v>
      </c>
      <c r="D262" s="10">
        <v>60</v>
      </c>
      <c r="E262" s="10">
        <v>77</v>
      </c>
      <c r="F262" s="10">
        <v>54</v>
      </c>
      <c r="H262" s="9" t="s">
        <v>27</v>
      </c>
      <c r="I262" s="10">
        <v>284</v>
      </c>
      <c r="J262" s="10">
        <v>68</v>
      </c>
      <c r="K262" s="10">
        <v>85</v>
      </c>
      <c r="L262" s="10">
        <v>90</v>
      </c>
      <c r="M262" s="10">
        <v>41</v>
      </c>
      <c r="O262" s="9" t="s">
        <v>27</v>
      </c>
      <c r="P262" s="10">
        <v>150</v>
      </c>
      <c r="Q262" s="10">
        <v>41</v>
      </c>
      <c r="R262" s="10">
        <v>31</v>
      </c>
      <c r="S262" s="10">
        <v>49</v>
      </c>
      <c r="T262" s="10">
        <v>29</v>
      </c>
    </row>
    <row r="263" spans="1:20" x14ac:dyDescent="0.3">
      <c r="A263" s="9" t="s">
        <v>28</v>
      </c>
      <c r="B263" s="10">
        <v>41</v>
      </c>
      <c r="C263" s="10">
        <v>9</v>
      </c>
      <c r="D263" s="10">
        <v>14</v>
      </c>
      <c r="E263" s="10">
        <v>11</v>
      </c>
      <c r="F263" s="10">
        <v>7</v>
      </c>
      <c r="H263" s="9" t="s">
        <v>28</v>
      </c>
      <c r="I263" s="10">
        <v>69</v>
      </c>
      <c r="J263" s="10">
        <v>21</v>
      </c>
      <c r="K263" s="10">
        <v>16</v>
      </c>
      <c r="L263" s="10">
        <v>19</v>
      </c>
      <c r="M263" s="10">
        <v>13</v>
      </c>
      <c r="O263" s="9" t="s">
        <v>28</v>
      </c>
      <c r="P263" s="10">
        <v>60</v>
      </c>
      <c r="Q263" s="10">
        <v>18</v>
      </c>
      <c r="R263" s="10">
        <v>7</v>
      </c>
      <c r="S263" s="10">
        <v>25</v>
      </c>
      <c r="T263" s="10">
        <v>10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195</v>
      </c>
      <c r="C265" s="10">
        <v>36</v>
      </c>
      <c r="D265" s="10">
        <v>52</v>
      </c>
      <c r="E265" s="10">
        <v>48</v>
      </c>
      <c r="F265" s="10">
        <v>59</v>
      </c>
      <c r="H265" s="9" t="s">
        <v>30</v>
      </c>
      <c r="I265" s="10">
        <v>196</v>
      </c>
      <c r="J265" s="10">
        <v>58</v>
      </c>
      <c r="K265" s="10">
        <v>52</v>
      </c>
      <c r="L265" s="10">
        <v>60</v>
      </c>
      <c r="M265" s="10">
        <v>26</v>
      </c>
      <c r="O265" s="9" t="s">
        <v>30</v>
      </c>
      <c r="P265" s="10">
        <v>152</v>
      </c>
      <c r="Q265" s="10">
        <v>11</v>
      </c>
      <c r="R265" s="10">
        <v>123</v>
      </c>
      <c r="S265" s="10">
        <v>8</v>
      </c>
      <c r="T265" s="10">
        <v>10</v>
      </c>
    </row>
    <row r="266" spans="1:20" x14ac:dyDescent="0.3">
      <c r="A266" s="9" t="s">
        <v>31</v>
      </c>
      <c r="B266" s="10">
        <v>249</v>
      </c>
      <c r="C266" s="10">
        <v>211</v>
      </c>
      <c r="D266" s="10">
        <v>14</v>
      </c>
      <c r="E266" s="10">
        <v>10</v>
      </c>
      <c r="F266" s="10">
        <v>14</v>
      </c>
      <c r="H266" s="9" t="s">
        <v>31</v>
      </c>
      <c r="I266" s="10">
        <v>24</v>
      </c>
      <c r="J266" s="10">
        <v>9</v>
      </c>
      <c r="K266" s="10">
        <v>1</v>
      </c>
      <c r="L266" s="10">
        <v>11</v>
      </c>
      <c r="M266" s="10">
        <v>3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17</v>
      </c>
      <c r="C267" s="12">
        <v>1</v>
      </c>
      <c r="D267" s="12">
        <v>4</v>
      </c>
      <c r="E267" s="12">
        <v>5</v>
      </c>
      <c r="F267" s="12">
        <v>7</v>
      </c>
      <c r="H267" s="11" t="s">
        <v>32</v>
      </c>
      <c r="I267" s="12">
        <v>9</v>
      </c>
      <c r="J267" s="12">
        <v>3</v>
      </c>
      <c r="K267" s="12">
        <v>3</v>
      </c>
      <c r="L267" s="12">
        <v>3</v>
      </c>
      <c r="M267" s="12">
        <v>0</v>
      </c>
      <c r="O267" s="11" t="s">
        <v>32</v>
      </c>
      <c r="P267" s="12">
        <v>20</v>
      </c>
      <c r="Q267" s="12">
        <v>16</v>
      </c>
      <c r="R267" s="12">
        <v>1</v>
      </c>
      <c r="S267" s="12">
        <v>3</v>
      </c>
      <c r="T267" s="12">
        <v>0</v>
      </c>
    </row>
    <row r="268" spans="1:20" x14ac:dyDescent="0.3">
      <c r="A268" s="13" t="s">
        <v>33</v>
      </c>
      <c r="B268" s="14">
        <v>8</v>
      </c>
      <c r="C268" s="14">
        <v>0</v>
      </c>
      <c r="D268" s="14">
        <v>1</v>
      </c>
      <c r="E268" s="14">
        <v>2</v>
      </c>
      <c r="F268" s="14">
        <v>5</v>
      </c>
      <c r="H268" s="13" t="s">
        <v>33</v>
      </c>
      <c r="I268" s="14">
        <v>2</v>
      </c>
      <c r="J268" s="14">
        <v>0</v>
      </c>
      <c r="K268" s="14">
        <v>1</v>
      </c>
      <c r="L268" s="14">
        <v>1</v>
      </c>
      <c r="M268" s="14">
        <v>0</v>
      </c>
      <c r="O268" s="13" t="s">
        <v>33</v>
      </c>
      <c r="P268" s="14">
        <v>15</v>
      </c>
      <c r="Q268" s="14">
        <v>14</v>
      </c>
      <c r="R268" s="14">
        <v>1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9</v>
      </c>
      <c r="C269" s="14">
        <v>1</v>
      </c>
      <c r="D269" s="14">
        <v>3</v>
      </c>
      <c r="E269" s="14">
        <v>3</v>
      </c>
      <c r="F269" s="14">
        <v>2</v>
      </c>
      <c r="H269" s="13" t="s">
        <v>34</v>
      </c>
      <c r="I269" s="14">
        <v>7</v>
      </c>
      <c r="J269" s="14">
        <v>3</v>
      </c>
      <c r="K269" s="14">
        <v>2</v>
      </c>
      <c r="L269" s="14">
        <v>2</v>
      </c>
      <c r="M269" s="14">
        <v>0</v>
      </c>
      <c r="O269" s="13" t="s">
        <v>34</v>
      </c>
      <c r="P269" s="14">
        <v>5</v>
      </c>
      <c r="Q269" s="14">
        <v>2</v>
      </c>
      <c r="R269" s="14">
        <v>0</v>
      </c>
      <c r="S269" s="14">
        <v>3</v>
      </c>
      <c r="T269" s="14">
        <v>0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2</v>
      </c>
      <c r="Q270" s="16">
        <v>2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2</v>
      </c>
      <c r="Q272" s="130">
        <v>2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7" t="s">
        <v>103</v>
      </c>
      <c r="C273" s="168"/>
      <c r="D273" s="168"/>
      <c r="E273" s="168"/>
      <c r="F273" s="168"/>
      <c r="H273" s="17" t="s">
        <v>38</v>
      </c>
      <c r="I273" s="167" t="s">
        <v>103</v>
      </c>
      <c r="J273" s="168"/>
      <c r="K273" s="168"/>
      <c r="L273" s="168"/>
      <c r="M273" s="168"/>
      <c r="O273" s="17" t="s">
        <v>38</v>
      </c>
      <c r="P273" s="167" t="s">
        <v>103</v>
      </c>
      <c r="Q273" s="168"/>
      <c r="R273" s="168"/>
      <c r="S273" s="168"/>
      <c r="T273" s="168"/>
    </row>
    <row r="274" spans="1:20" ht="19.8" x14ac:dyDescent="0.3">
      <c r="A274" s="170">
        <v>46100</v>
      </c>
      <c r="B274" s="168"/>
      <c r="C274" s="168"/>
      <c r="D274" s="168"/>
      <c r="E274" s="168"/>
      <c r="F274" s="168"/>
      <c r="H274" s="170">
        <v>46128</v>
      </c>
      <c r="I274" s="168"/>
      <c r="J274" s="168"/>
      <c r="K274" s="168"/>
      <c r="L274" s="168"/>
      <c r="M274" s="168"/>
      <c r="O274" s="170">
        <v>46160</v>
      </c>
      <c r="P274" s="168"/>
      <c r="Q274" s="168"/>
      <c r="R274" s="168"/>
      <c r="S274" s="168"/>
      <c r="T274" s="168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3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4759</v>
      </c>
      <c r="C276" s="3">
        <v>426</v>
      </c>
      <c r="D276" s="3">
        <v>1478</v>
      </c>
      <c r="E276" s="3">
        <v>1442</v>
      </c>
      <c r="F276" s="3">
        <v>1413</v>
      </c>
      <c r="H276" s="2" t="s">
        <v>5</v>
      </c>
      <c r="I276" s="3">
        <v>6120</v>
      </c>
      <c r="J276" s="3">
        <v>1649</v>
      </c>
      <c r="K276" s="3">
        <v>1564</v>
      </c>
      <c r="L276" s="3">
        <v>1500</v>
      </c>
      <c r="M276" s="3">
        <v>1407</v>
      </c>
      <c r="O276" s="2" t="s">
        <v>5</v>
      </c>
      <c r="P276" s="3">
        <v>4986</v>
      </c>
      <c r="Q276" s="3">
        <v>1291</v>
      </c>
      <c r="R276" s="3">
        <v>1307</v>
      </c>
      <c r="S276" s="3">
        <v>1231</v>
      </c>
      <c r="T276" s="3">
        <v>1157</v>
      </c>
    </row>
    <row r="277" spans="1:20" x14ac:dyDescent="0.3">
      <c r="A277" s="2" t="s">
        <v>6</v>
      </c>
      <c r="B277" s="3">
        <v>480</v>
      </c>
      <c r="C277" s="3">
        <v>91</v>
      </c>
      <c r="D277" s="6">
        <v>128</v>
      </c>
      <c r="E277" s="4">
        <v>126</v>
      </c>
      <c r="F277" s="5">
        <v>135</v>
      </c>
      <c r="H277" s="2" t="s">
        <v>6</v>
      </c>
      <c r="I277" s="3">
        <v>499</v>
      </c>
      <c r="J277" s="5">
        <v>153</v>
      </c>
      <c r="K277" s="3">
        <v>95</v>
      </c>
      <c r="L277" s="6">
        <v>142</v>
      </c>
      <c r="M277" s="4">
        <v>109</v>
      </c>
      <c r="O277" s="2" t="s">
        <v>6</v>
      </c>
      <c r="P277" s="3">
        <v>329</v>
      </c>
      <c r="Q277" s="4">
        <v>76</v>
      </c>
      <c r="R277" s="5">
        <v>122</v>
      </c>
      <c r="S277" s="6">
        <v>78</v>
      </c>
      <c r="T277" s="3">
        <v>53</v>
      </c>
    </row>
    <row r="278" spans="1:20" x14ac:dyDescent="0.3">
      <c r="A278" s="2" t="s">
        <v>7</v>
      </c>
      <c r="B278" s="3" t="s">
        <v>734</v>
      </c>
      <c r="C278" s="5" t="s">
        <v>735</v>
      </c>
      <c r="D278" s="3" t="s">
        <v>212</v>
      </c>
      <c r="E278" s="4" t="s">
        <v>494</v>
      </c>
      <c r="F278" s="6" t="s">
        <v>736</v>
      </c>
      <c r="H278" s="2" t="s">
        <v>7</v>
      </c>
      <c r="I278" s="3" t="s">
        <v>1512</v>
      </c>
      <c r="J278" s="6" t="s">
        <v>377</v>
      </c>
      <c r="K278" s="3" t="s">
        <v>902</v>
      </c>
      <c r="L278" s="5" t="s">
        <v>1513</v>
      </c>
      <c r="M278" s="4" t="s">
        <v>1279</v>
      </c>
      <c r="O278" s="2" t="s">
        <v>7</v>
      </c>
      <c r="P278" s="3" t="s">
        <v>1038</v>
      </c>
      <c r="Q278" s="4" t="s">
        <v>271</v>
      </c>
      <c r="R278" s="5" t="s">
        <v>1440</v>
      </c>
      <c r="S278" s="6" t="s">
        <v>454</v>
      </c>
      <c r="T278" s="3" t="s">
        <v>677</v>
      </c>
    </row>
    <row r="279" spans="1:20" x14ac:dyDescent="0.3">
      <c r="A279" s="2" t="s">
        <v>12</v>
      </c>
      <c r="B279" s="3" t="s">
        <v>737</v>
      </c>
      <c r="C279" s="5" t="s">
        <v>738</v>
      </c>
      <c r="D279" s="3" t="s">
        <v>483</v>
      </c>
      <c r="E279" s="4" t="s">
        <v>494</v>
      </c>
      <c r="F279" s="6" t="s">
        <v>739</v>
      </c>
      <c r="H279" s="2" t="s">
        <v>12</v>
      </c>
      <c r="I279" s="3" t="s">
        <v>55</v>
      </c>
      <c r="J279" s="6" t="s">
        <v>922</v>
      </c>
      <c r="K279" s="3" t="s">
        <v>1266</v>
      </c>
      <c r="L279" s="5" t="s">
        <v>93</v>
      </c>
      <c r="M279" s="4" t="s">
        <v>298</v>
      </c>
      <c r="O279" s="2" t="s">
        <v>12</v>
      </c>
      <c r="P279" s="3" t="s">
        <v>1656</v>
      </c>
      <c r="Q279" s="4" t="s">
        <v>444</v>
      </c>
      <c r="R279" s="5" t="s">
        <v>1440</v>
      </c>
      <c r="S279" s="6" t="s">
        <v>962</v>
      </c>
      <c r="T279" s="3" t="s">
        <v>677</v>
      </c>
    </row>
    <row r="280" spans="1:20" x14ac:dyDescent="0.3">
      <c r="A280" s="2" t="s">
        <v>17</v>
      </c>
      <c r="B280" s="3" t="s">
        <v>75</v>
      </c>
      <c r="C280" s="5" t="s">
        <v>266</v>
      </c>
      <c r="D280" s="3" t="s">
        <v>138</v>
      </c>
      <c r="E280" s="4" t="s">
        <v>138</v>
      </c>
      <c r="F280" s="6" t="s">
        <v>77</v>
      </c>
      <c r="H280" s="2" t="s">
        <v>17</v>
      </c>
      <c r="I280" s="3" t="s">
        <v>697</v>
      </c>
      <c r="J280" s="4" t="s">
        <v>545</v>
      </c>
      <c r="K280" s="5" t="s">
        <v>46</v>
      </c>
      <c r="L280" s="3" t="s">
        <v>337</v>
      </c>
      <c r="M280" s="6" t="s">
        <v>63</v>
      </c>
      <c r="O280" s="2" t="s">
        <v>17</v>
      </c>
      <c r="P280" s="3" t="s">
        <v>310</v>
      </c>
      <c r="Q280" s="5" t="s">
        <v>317</v>
      </c>
      <c r="R280" s="3" t="s">
        <v>25</v>
      </c>
      <c r="S280" s="6" t="s">
        <v>309</v>
      </c>
      <c r="T280" s="3" t="s">
        <v>25</v>
      </c>
    </row>
    <row r="281" spans="1:20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H281" s="2" t="s">
        <v>22</v>
      </c>
      <c r="I281" s="3" t="s">
        <v>25</v>
      </c>
      <c r="J281" s="3" t="s">
        <v>25</v>
      </c>
      <c r="K281" s="3" t="s">
        <v>25</v>
      </c>
      <c r="L281" s="3" t="s">
        <v>25</v>
      </c>
      <c r="M281" s="3" t="s">
        <v>25</v>
      </c>
      <c r="O281" s="2" t="s">
        <v>22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475</v>
      </c>
      <c r="C282" s="8">
        <v>89</v>
      </c>
      <c r="D282" s="8">
        <v>127</v>
      </c>
      <c r="E282" s="8">
        <v>126</v>
      </c>
      <c r="F282" s="8">
        <v>133</v>
      </c>
      <c r="H282" s="7" t="s">
        <v>26</v>
      </c>
      <c r="I282" s="8">
        <v>445</v>
      </c>
      <c r="J282" s="8">
        <v>139</v>
      </c>
      <c r="K282" s="8">
        <v>76</v>
      </c>
      <c r="L282" s="8">
        <v>127</v>
      </c>
      <c r="M282" s="8">
        <v>103</v>
      </c>
      <c r="O282" s="7" t="s">
        <v>26</v>
      </c>
      <c r="P282" s="8">
        <v>322</v>
      </c>
      <c r="Q282" s="8">
        <v>70</v>
      </c>
      <c r="R282" s="8">
        <v>122</v>
      </c>
      <c r="S282" s="8">
        <v>77</v>
      </c>
      <c r="T282" s="8">
        <v>53</v>
      </c>
    </row>
    <row r="283" spans="1:20" x14ac:dyDescent="0.3">
      <c r="A283" s="9" t="s">
        <v>27</v>
      </c>
      <c r="B283" s="10">
        <v>203</v>
      </c>
      <c r="C283" s="10">
        <v>8</v>
      </c>
      <c r="D283" s="10">
        <v>64</v>
      </c>
      <c r="E283" s="10">
        <v>66</v>
      </c>
      <c r="F283" s="10">
        <v>65</v>
      </c>
      <c r="H283" s="9" t="s">
        <v>27</v>
      </c>
      <c r="I283" s="10">
        <v>202</v>
      </c>
      <c r="J283" s="10">
        <v>55</v>
      </c>
      <c r="K283" s="10">
        <v>36</v>
      </c>
      <c r="L283" s="10">
        <v>64</v>
      </c>
      <c r="M283" s="10">
        <v>47</v>
      </c>
      <c r="O283" s="9" t="s">
        <v>27</v>
      </c>
      <c r="P283" s="10">
        <v>147</v>
      </c>
      <c r="Q283" s="10">
        <v>44</v>
      </c>
      <c r="R283" s="10">
        <v>29</v>
      </c>
      <c r="S283" s="10">
        <v>40</v>
      </c>
      <c r="T283" s="10">
        <v>34</v>
      </c>
    </row>
    <row r="284" spans="1:20" x14ac:dyDescent="0.3">
      <c r="A284" s="9" t="s">
        <v>28</v>
      </c>
      <c r="B284" s="10">
        <v>64</v>
      </c>
      <c r="C284" s="10">
        <v>5</v>
      </c>
      <c r="D284" s="10">
        <v>20</v>
      </c>
      <c r="E284" s="10">
        <v>18</v>
      </c>
      <c r="F284" s="10">
        <v>21</v>
      </c>
      <c r="H284" s="9" t="s">
        <v>28</v>
      </c>
      <c r="I284" s="10">
        <v>96</v>
      </c>
      <c r="J284" s="10">
        <v>36</v>
      </c>
      <c r="K284" s="10">
        <v>15</v>
      </c>
      <c r="L284" s="10">
        <v>26</v>
      </c>
      <c r="M284" s="10">
        <v>19</v>
      </c>
      <c r="O284" s="9" t="s">
        <v>28</v>
      </c>
      <c r="P284" s="10">
        <v>55</v>
      </c>
      <c r="Q284" s="10">
        <v>16</v>
      </c>
      <c r="R284" s="10">
        <v>4</v>
      </c>
      <c r="S284" s="10">
        <v>26</v>
      </c>
      <c r="T284" s="10">
        <v>9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100</v>
      </c>
      <c r="C286" s="10">
        <v>4</v>
      </c>
      <c r="D286" s="10">
        <v>34</v>
      </c>
      <c r="E286" s="10">
        <v>30</v>
      </c>
      <c r="F286" s="10">
        <v>32</v>
      </c>
      <c r="H286" s="9" t="s">
        <v>30</v>
      </c>
      <c r="I286" s="10">
        <v>115</v>
      </c>
      <c r="J286" s="10">
        <v>43</v>
      </c>
      <c r="K286" s="10">
        <v>21</v>
      </c>
      <c r="L286" s="10">
        <v>28</v>
      </c>
      <c r="M286" s="10">
        <v>23</v>
      </c>
      <c r="O286" s="9" t="s">
        <v>30</v>
      </c>
      <c r="P286" s="10">
        <v>120</v>
      </c>
      <c r="Q286" s="10">
        <v>10</v>
      </c>
      <c r="R286" s="10">
        <v>89</v>
      </c>
      <c r="S286" s="10">
        <v>11</v>
      </c>
      <c r="T286" s="10">
        <v>10</v>
      </c>
    </row>
    <row r="287" spans="1:20" x14ac:dyDescent="0.3">
      <c r="A287" s="9" t="s">
        <v>31</v>
      </c>
      <c r="B287" s="10">
        <v>108</v>
      </c>
      <c r="C287" s="10">
        <v>72</v>
      </c>
      <c r="D287" s="10">
        <v>9</v>
      </c>
      <c r="E287" s="10">
        <v>12</v>
      </c>
      <c r="F287" s="10">
        <v>15</v>
      </c>
      <c r="H287" s="9" t="s">
        <v>31</v>
      </c>
      <c r="I287" s="10">
        <v>32</v>
      </c>
      <c r="J287" s="10">
        <v>5</v>
      </c>
      <c r="K287" s="10">
        <v>4</v>
      </c>
      <c r="L287" s="10">
        <v>9</v>
      </c>
      <c r="M287" s="10">
        <v>14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6</v>
      </c>
      <c r="C288" s="12">
        <v>1</v>
      </c>
      <c r="D288" s="12">
        <v>1</v>
      </c>
      <c r="E288" s="12">
        <v>1</v>
      </c>
      <c r="F288" s="12">
        <v>3</v>
      </c>
      <c r="H288" s="11" t="s">
        <v>32</v>
      </c>
      <c r="I288" s="12">
        <v>51</v>
      </c>
      <c r="J288" s="12">
        <v>13</v>
      </c>
      <c r="K288" s="12">
        <v>16</v>
      </c>
      <c r="L288" s="12">
        <v>10</v>
      </c>
      <c r="M288" s="12">
        <v>12</v>
      </c>
      <c r="O288" s="11" t="s">
        <v>32</v>
      </c>
      <c r="P288" s="12">
        <v>7</v>
      </c>
      <c r="Q288" s="12">
        <v>6</v>
      </c>
      <c r="R288" s="12">
        <v>0</v>
      </c>
      <c r="S288" s="12">
        <v>1</v>
      </c>
      <c r="T288" s="12">
        <v>0</v>
      </c>
    </row>
    <row r="289" spans="1:20" x14ac:dyDescent="0.3">
      <c r="A289" s="13" t="s">
        <v>33</v>
      </c>
      <c r="B289" s="14">
        <v>3</v>
      </c>
      <c r="C289" s="14">
        <v>1</v>
      </c>
      <c r="D289" s="14">
        <v>1</v>
      </c>
      <c r="E289" s="14">
        <v>0</v>
      </c>
      <c r="F289" s="14">
        <v>1</v>
      </c>
      <c r="H289" s="13" t="s">
        <v>33</v>
      </c>
      <c r="I289" s="14">
        <v>9</v>
      </c>
      <c r="J289" s="14">
        <v>1</v>
      </c>
      <c r="K289" s="14">
        <v>5</v>
      </c>
      <c r="L289" s="14">
        <v>0</v>
      </c>
      <c r="M289" s="14">
        <v>3</v>
      </c>
      <c r="O289" s="13" t="s">
        <v>33</v>
      </c>
      <c r="P289" s="14">
        <v>5</v>
      </c>
      <c r="Q289" s="14">
        <v>5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3</v>
      </c>
      <c r="C290" s="14">
        <v>0</v>
      </c>
      <c r="D290" s="14">
        <v>0</v>
      </c>
      <c r="E290" s="14">
        <v>1</v>
      </c>
      <c r="F290" s="14">
        <v>2</v>
      </c>
      <c r="H290" s="13" t="s">
        <v>34</v>
      </c>
      <c r="I290" s="14">
        <v>42</v>
      </c>
      <c r="J290" s="14">
        <v>12</v>
      </c>
      <c r="K290" s="14">
        <v>11</v>
      </c>
      <c r="L290" s="14">
        <v>10</v>
      </c>
      <c r="M290" s="14">
        <v>9</v>
      </c>
      <c r="O290" s="13" t="s">
        <v>34</v>
      </c>
      <c r="P290" s="14">
        <v>2</v>
      </c>
      <c r="Q290" s="14">
        <v>1</v>
      </c>
      <c r="R290" s="14">
        <v>0</v>
      </c>
      <c r="S290" s="14">
        <v>1</v>
      </c>
      <c r="T290" s="14">
        <v>0</v>
      </c>
    </row>
    <row r="291" spans="1:20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H291" s="15" t="s">
        <v>35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O291" s="15" t="s">
        <v>35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7" t="s">
        <v>103</v>
      </c>
      <c r="C294" s="168"/>
      <c r="D294" s="168"/>
      <c r="E294" s="168"/>
      <c r="F294" s="168"/>
      <c r="H294" s="17" t="s">
        <v>38</v>
      </c>
      <c r="I294" s="167" t="s">
        <v>103</v>
      </c>
      <c r="J294" s="168"/>
      <c r="K294" s="168"/>
      <c r="L294" s="168"/>
      <c r="M294" s="168"/>
      <c r="O294" s="17" t="s">
        <v>38</v>
      </c>
      <c r="P294" s="167" t="s">
        <v>103</v>
      </c>
      <c r="Q294" s="168"/>
      <c r="R294" s="168"/>
      <c r="S294" s="168"/>
      <c r="T294" s="168"/>
    </row>
    <row r="295" spans="1:20" ht="19.8" x14ac:dyDescent="0.3">
      <c r="A295" s="171">
        <v>46101</v>
      </c>
      <c r="B295" s="171"/>
      <c r="C295" s="171"/>
      <c r="D295" s="171"/>
      <c r="E295" s="171"/>
      <c r="F295" s="171"/>
      <c r="H295" s="170">
        <v>46129</v>
      </c>
      <c r="I295" s="168"/>
      <c r="J295" s="168"/>
      <c r="K295" s="168"/>
      <c r="L295" s="168"/>
      <c r="M295" s="168"/>
      <c r="O295" s="170">
        <v>46161</v>
      </c>
      <c r="P295" s="168"/>
      <c r="Q295" s="168"/>
      <c r="R295" s="168"/>
      <c r="S295" s="168"/>
      <c r="T295" s="168"/>
    </row>
    <row r="296" spans="1:20" x14ac:dyDescent="0.3">
      <c r="A296" s="1" t="s">
        <v>0</v>
      </c>
      <c r="B296" s="1" t="s">
        <v>1</v>
      </c>
      <c r="C296" s="1" t="s">
        <v>642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3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6239</v>
      </c>
      <c r="C297" s="3">
        <v>0</v>
      </c>
      <c r="D297" s="3">
        <v>2098</v>
      </c>
      <c r="E297" s="3">
        <v>2111</v>
      </c>
      <c r="F297" s="3">
        <v>2030</v>
      </c>
      <c r="H297" s="2" t="s">
        <v>5</v>
      </c>
      <c r="I297" s="3">
        <v>6587</v>
      </c>
      <c r="J297" s="3">
        <v>1764</v>
      </c>
      <c r="K297" s="3">
        <v>1820</v>
      </c>
      <c r="L297" s="3">
        <v>1676</v>
      </c>
      <c r="M297" s="3">
        <v>1327</v>
      </c>
      <c r="O297" s="2" t="s">
        <v>5</v>
      </c>
      <c r="P297" s="3">
        <v>5971</v>
      </c>
      <c r="Q297" s="3">
        <v>1713</v>
      </c>
      <c r="R297" s="3">
        <v>1498</v>
      </c>
      <c r="S297" s="3">
        <v>1440</v>
      </c>
      <c r="T297" s="3">
        <v>1320</v>
      </c>
    </row>
    <row r="298" spans="1:20" x14ac:dyDescent="0.3">
      <c r="A298" s="2" t="s">
        <v>6</v>
      </c>
      <c r="B298" s="3">
        <v>516</v>
      </c>
      <c r="C298" s="3">
        <v>0</v>
      </c>
      <c r="D298" s="6">
        <v>170</v>
      </c>
      <c r="E298" s="4">
        <v>169</v>
      </c>
      <c r="F298" s="5">
        <v>177</v>
      </c>
      <c r="H298" s="2" t="s">
        <v>6</v>
      </c>
      <c r="I298" s="3">
        <v>559</v>
      </c>
      <c r="J298" s="6">
        <v>155</v>
      </c>
      <c r="K298" s="4">
        <v>143</v>
      </c>
      <c r="L298" s="5">
        <v>159</v>
      </c>
      <c r="M298" s="3">
        <v>102</v>
      </c>
      <c r="O298" s="2" t="s">
        <v>6</v>
      </c>
      <c r="P298" s="3">
        <v>480</v>
      </c>
      <c r="Q298" s="4">
        <v>94</v>
      </c>
      <c r="R298" s="5">
        <v>165</v>
      </c>
      <c r="S298" s="3">
        <v>82</v>
      </c>
      <c r="T298" s="6">
        <v>139</v>
      </c>
    </row>
    <row r="299" spans="1:20" x14ac:dyDescent="0.3">
      <c r="A299" s="2" t="s">
        <v>7</v>
      </c>
      <c r="B299" s="3" t="s">
        <v>777</v>
      </c>
      <c r="C299" s="3">
        <v>0</v>
      </c>
      <c r="D299" s="6" t="s">
        <v>232</v>
      </c>
      <c r="E299" s="4" t="s">
        <v>259</v>
      </c>
      <c r="F299" s="5" t="s">
        <v>778</v>
      </c>
      <c r="H299" s="2" t="s">
        <v>7</v>
      </c>
      <c r="I299" s="3" t="s">
        <v>1339</v>
      </c>
      <c r="J299" s="6" t="s">
        <v>1205</v>
      </c>
      <c r="K299" s="4" t="s">
        <v>780</v>
      </c>
      <c r="L299" s="5" t="s">
        <v>664</v>
      </c>
      <c r="M299" s="3" t="s">
        <v>178</v>
      </c>
      <c r="O299" s="2" t="s">
        <v>7</v>
      </c>
      <c r="P299" s="3" t="s">
        <v>721</v>
      </c>
      <c r="Q299" s="3" t="s">
        <v>644</v>
      </c>
      <c r="R299" s="5" t="s">
        <v>1823</v>
      </c>
      <c r="S299" s="4" t="s">
        <v>1939</v>
      </c>
      <c r="T299" s="6" t="s">
        <v>378</v>
      </c>
    </row>
    <row r="300" spans="1:20" x14ac:dyDescent="0.3">
      <c r="A300" s="2" t="s">
        <v>12</v>
      </c>
      <c r="B300" s="3" t="s">
        <v>367</v>
      </c>
      <c r="C300" s="3">
        <v>0</v>
      </c>
      <c r="D300" s="4" t="s">
        <v>779</v>
      </c>
      <c r="E300" s="6" t="s">
        <v>780</v>
      </c>
      <c r="F300" s="5" t="s">
        <v>93</v>
      </c>
      <c r="H300" s="2" t="s">
        <v>12</v>
      </c>
      <c r="I300" s="3" t="s">
        <v>1531</v>
      </c>
      <c r="J300" s="4" t="s">
        <v>1291</v>
      </c>
      <c r="K300" s="3" t="s">
        <v>609</v>
      </c>
      <c r="L300" s="6" t="s">
        <v>308</v>
      </c>
      <c r="M300" s="5" t="s">
        <v>513</v>
      </c>
      <c r="O300" s="2" t="s">
        <v>12</v>
      </c>
      <c r="P300" s="3" t="s">
        <v>1940</v>
      </c>
      <c r="Q300" s="3" t="s">
        <v>1469</v>
      </c>
      <c r="R300" s="5" t="s">
        <v>260</v>
      </c>
      <c r="S300" s="4" t="s">
        <v>644</v>
      </c>
      <c r="T300" s="6" t="s">
        <v>378</v>
      </c>
    </row>
    <row r="301" spans="1:20" x14ac:dyDescent="0.3">
      <c r="A301" s="2" t="s">
        <v>17</v>
      </c>
      <c r="B301" s="3" t="s">
        <v>491</v>
      </c>
      <c r="C301" s="3" t="s">
        <v>25</v>
      </c>
      <c r="D301" s="4" t="s">
        <v>227</v>
      </c>
      <c r="E301" s="6" t="s">
        <v>418</v>
      </c>
      <c r="F301" s="5" t="s">
        <v>66</v>
      </c>
      <c r="H301" s="2" t="s">
        <v>17</v>
      </c>
      <c r="I301" s="3" t="s">
        <v>546</v>
      </c>
      <c r="J301" s="4" t="s">
        <v>583</v>
      </c>
      <c r="K301" s="5" t="s">
        <v>776</v>
      </c>
      <c r="L301" s="6" t="s">
        <v>349</v>
      </c>
      <c r="M301" s="3" t="s">
        <v>155</v>
      </c>
      <c r="O301" s="2" t="s">
        <v>17</v>
      </c>
      <c r="P301" s="3" t="s">
        <v>591</v>
      </c>
      <c r="Q301" s="5" t="s">
        <v>290</v>
      </c>
      <c r="R301" s="3" t="s">
        <v>75</v>
      </c>
      <c r="S301" s="6" t="s">
        <v>77</v>
      </c>
      <c r="T301" s="4" t="s">
        <v>121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502</v>
      </c>
      <c r="C303" s="8">
        <v>0</v>
      </c>
      <c r="D303" s="8">
        <v>164</v>
      </c>
      <c r="E303" s="8">
        <v>166</v>
      </c>
      <c r="F303" s="8">
        <v>172</v>
      </c>
      <c r="H303" s="7" t="s">
        <v>26</v>
      </c>
      <c r="I303" s="8">
        <v>436</v>
      </c>
      <c r="J303" s="8">
        <v>119</v>
      </c>
      <c r="K303" s="8">
        <v>99</v>
      </c>
      <c r="L303" s="8">
        <v>120</v>
      </c>
      <c r="M303" s="8">
        <v>98</v>
      </c>
      <c r="O303" s="7" t="s">
        <v>26</v>
      </c>
      <c r="P303" s="8">
        <v>457</v>
      </c>
      <c r="Q303" s="8">
        <v>76</v>
      </c>
      <c r="R303" s="8">
        <v>163</v>
      </c>
      <c r="S303" s="8">
        <v>79</v>
      </c>
      <c r="T303" s="8">
        <v>139</v>
      </c>
    </row>
    <row r="304" spans="1:20" x14ac:dyDescent="0.3">
      <c r="A304" s="9" t="s">
        <v>27</v>
      </c>
      <c r="B304" s="10">
        <v>269</v>
      </c>
      <c r="C304" s="10">
        <v>0</v>
      </c>
      <c r="D304" s="10">
        <v>82</v>
      </c>
      <c r="E304" s="10">
        <v>88</v>
      </c>
      <c r="F304" s="10">
        <v>99</v>
      </c>
      <c r="H304" s="9" t="s">
        <v>27</v>
      </c>
      <c r="I304" s="10">
        <v>184</v>
      </c>
      <c r="J304" s="10">
        <v>55</v>
      </c>
      <c r="K304" s="10">
        <v>48</v>
      </c>
      <c r="L304" s="10">
        <v>50</v>
      </c>
      <c r="M304" s="10">
        <v>31</v>
      </c>
      <c r="O304" s="9" t="s">
        <v>27</v>
      </c>
      <c r="P304" s="10">
        <v>187</v>
      </c>
      <c r="Q304" s="10">
        <v>48</v>
      </c>
      <c r="R304" s="10">
        <v>28</v>
      </c>
      <c r="S304" s="10">
        <v>47</v>
      </c>
      <c r="T304" s="10">
        <v>64</v>
      </c>
    </row>
    <row r="305" spans="1:20" x14ac:dyDescent="0.3">
      <c r="A305" s="9" t="s">
        <v>28</v>
      </c>
      <c r="B305" s="10">
        <v>61</v>
      </c>
      <c r="C305" s="10">
        <v>0</v>
      </c>
      <c r="D305" s="10">
        <v>20</v>
      </c>
      <c r="E305" s="10">
        <v>25</v>
      </c>
      <c r="F305" s="10">
        <v>16</v>
      </c>
      <c r="H305" s="9" t="s">
        <v>28</v>
      </c>
      <c r="I305" s="10">
        <v>102</v>
      </c>
      <c r="J305" s="10">
        <v>30</v>
      </c>
      <c r="K305" s="10">
        <v>25</v>
      </c>
      <c r="L305" s="10">
        <v>26</v>
      </c>
      <c r="M305" s="10">
        <v>21</v>
      </c>
      <c r="O305" s="9" t="s">
        <v>28</v>
      </c>
      <c r="P305" s="10">
        <v>51</v>
      </c>
      <c r="Q305" s="10">
        <v>12</v>
      </c>
      <c r="R305" s="10">
        <v>3</v>
      </c>
      <c r="S305" s="10">
        <v>18</v>
      </c>
      <c r="T305" s="10">
        <v>18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129</v>
      </c>
      <c r="C307" s="10">
        <v>0</v>
      </c>
      <c r="D307" s="10">
        <v>51</v>
      </c>
      <c r="E307" s="10">
        <v>39</v>
      </c>
      <c r="F307" s="10">
        <v>39</v>
      </c>
      <c r="H307" s="9" t="s">
        <v>30</v>
      </c>
      <c r="I307" s="10">
        <v>112</v>
      </c>
      <c r="J307" s="10">
        <v>30</v>
      </c>
      <c r="K307" s="10">
        <v>21</v>
      </c>
      <c r="L307" s="10">
        <v>28</v>
      </c>
      <c r="M307" s="10">
        <v>33</v>
      </c>
      <c r="O307" s="9" t="s">
        <v>30</v>
      </c>
      <c r="P307" s="10">
        <v>215</v>
      </c>
      <c r="Q307" s="10">
        <v>14</v>
      </c>
      <c r="R307" s="10">
        <v>130</v>
      </c>
      <c r="S307" s="10">
        <v>14</v>
      </c>
      <c r="T307" s="10">
        <v>57</v>
      </c>
    </row>
    <row r="308" spans="1:20" x14ac:dyDescent="0.3">
      <c r="A308" s="9" t="s">
        <v>31</v>
      </c>
      <c r="B308" s="10">
        <v>43</v>
      </c>
      <c r="C308" s="10">
        <v>0</v>
      </c>
      <c r="D308" s="10">
        <v>11</v>
      </c>
      <c r="E308" s="10">
        <v>14</v>
      </c>
      <c r="F308" s="10">
        <v>18</v>
      </c>
      <c r="H308" s="9" t="s">
        <v>31</v>
      </c>
      <c r="I308" s="10">
        <v>38</v>
      </c>
      <c r="J308" s="10">
        <v>4</v>
      </c>
      <c r="K308" s="10">
        <v>5</v>
      </c>
      <c r="L308" s="10">
        <v>16</v>
      </c>
      <c r="M308" s="10">
        <v>13</v>
      </c>
      <c r="O308" s="9" t="s">
        <v>31</v>
      </c>
      <c r="P308" s="10">
        <v>4</v>
      </c>
      <c r="Q308" s="10">
        <v>2</v>
      </c>
      <c r="R308" s="10">
        <v>2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25</v>
      </c>
      <c r="C309" s="12">
        <v>0</v>
      </c>
      <c r="D309" s="12">
        <v>6</v>
      </c>
      <c r="E309" s="12">
        <v>7</v>
      </c>
      <c r="F309" s="12">
        <v>12</v>
      </c>
      <c r="H309" s="11" t="s">
        <v>32</v>
      </c>
      <c r="I309" s="12">
        <v>117</v>
      </c>
      <c r="J309" s="12">
        <v>27</v>
      </c>
      <c r="K309" s="12">
        <v>37</v>
      </c>
      <c r="L309" s="12">
        <v>33</v>
      </c>
      <c r="M309" s="12">
        <v>20</v>
      </c>
      <c r="O309" s="11" t="s">
        <v>32</v>
      </c>
      <c r="P309" s="12">
        <v>31</v>
      </c>
      <c r="Q309" s="12">
        <v>24</v>
      </c>
      <c r="R309" s="12">
        <v>2</v>
      </c>
      <c r="S309" s="12">
        <v>3</v>
      </c>
      <c r="T309" s="12">
        <v>2</v>
      </c>
    </row>
    <row r="310" spans="1:20" x14ac:dyDescent="0.3">
      <c r="A310" s="13" t="s">
        <v>33</v>
      </c>
      <c r="B310" s="14">
        <v>3</v>
      </c>
      <c r="C310" s="14">
        <v>0</v>
      </c>
      <c r="D310" s="14">
        <v>1</v>
      </c>
      <c r="E310" s="14">
        <v>1</v>
      </c>
      <c r="F310" s="14">
        <v>1</v>
      </c>
      <c r="H310" s="13" t="s">
        <v>33</v>
      </c>
      <c r="I310" s="14">
        <v>12</v>
      </c>
      <c r="J310" s="14">
        <v>5</v>
      </c>
      <c r="K310" s="14">
        <v>4</v>
      </c>
      <c r="L310" s="14">
        <v>0</v>
      </c>
      <c r="M310" s="14">
        <v>3</v>
      </c>
      <c r="O310" s="13" t="s">
        <v>33</v>
      </c>
      <c r="P310" s="14">
        <v>22</v>
      </c>
      <c r="Q310" s="14">
        <v>22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22</v>
      </c>
      <c r="C311" s="14">
        <v>0</v>
      </c>
      <c r="D311" s="14">
        <v>5</v>
      </c>
      <c r="E311" s="14">
        <v>6</v>
      </c>
      <c r="F311" s="14">
        <v>11</v>
      </c>
      <c r="H311" s="13" t="s">
        <v>34</v>
      </c>
      <c r="I311" s="14">
        <v>105</v>
      </c>
      <c r="J311" s="14">
        <v>22</v>
      </c>
      <c r="K311" s="14">
        <v>33</v>
      </c>
      <c r="L311" s="14">
        <v>33</v>
      </c>
      <c r="M311" s="14">
        <v>17</v>
      </c>
      <c r="O311" s="13" t="s">
        <v>34</v>
      </c>
      <c r="P311" s="14">
        <v>9</v>
      </c>
      <c r="Q311" s="14">
        <v>2</v>
      </c>
      <c r="R311" s="14">
        <v>2</v>
      </c>
      <c r="S311" s="14">
        <v>3</v>
      </c>
      <c r="T311" s="14">
        <v>2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72" t="s">
        <v>103</v>
      </c>
      <c r="C315" s="173"/>
      <c r="D315" s="173"/>
      <c r="E315" s="173"/>
      <c r="F315" s="173"/>
      <c r="H315" s="17" t="s">
        <v>38</v>
      </c>
      <c r="I315" s="167" t="s">
        <v>103</v>
      </c>
      <c r="J315" s="168"/>
      <c r="K315" s="168"/>
      <c r="L315" s="168"/>
      <c r="M315" s="168"/>
      <c r="O315" s="17" t="s">
        <v>38</v>
      </c>
      <c r="P315" s="167" t="s">
        <v>103</v>
      </c>
      <c r="Q315" s="168"/>
      <c r="R315" s="168"/>
      <c r="S315" s="168"/>
      <c r="T315" s="168"/>
    </row>
    <row r="316" spans="1:20" ht="19.8" x14ac:dyDescent="0.3">
      <c r="A316" s="171">
        <v>46102</v>
      </c>
      <c r="B316" s="171"/>
      <c r="C316" s="171"/>
      <c r="D316" s="171"/>
      <c r="E316" s="171"/>
      <c r="F316" s="171"/>
      <c r="H316" s="170">
        <v>46130</v>
      </c>
      <c r="I316" s="168"/>
      <c r="J316" s="168"/>
      <c r="K316" s="168"/>
      <c r="L316" s="168"/>
      <c r="M316" s="168"/>
      <c r="O316" s="170">
        <v>46162</v>
      </c>
      <c r="P316" s="168"/>
      <c r="Q316" s="168"/>
      <c r="R316" s="168"/>
      <c r="S316" s="168"/>
      <c r="T316" s="168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870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40</v>
      </c>
      <c r="T317" s="1" t="s">
        <v>4</v>
      </c>
    </row>
    <row r="318" spans="1:20" x14ac:dyDescent="0.3">
      <c r="A318" s="2" t="s">
        <v>5</v>
      </c>
      <c r="B318" s="3">
        <v>3746</v>
      </c>
      <c r="C318" s="3">
        <v>630</v>
      </c>
      <c r="D318" s="3">
        <v>1648</v>
      </c>
      <c r="E318" s="3">
        <v>0</v>
      </c>
      <c r="F318" s="3">
        <v>1468</v>
      </c>
      <c r="H318" s="2" t="s">
        <v>5</v>
      </c>
      <c r="I318" s="3">
        <v>5706</v>
      </c>
      <c r="J318" s="3">
        <v>1585</v>
      </c>
      <c r="K318" s="3">
        <v>1685</v>
      </c>
      <c r="L318" s="3">
        <v>1634</v>
      </c>
      <c r="M318" s="3">
        <v>802</v>
      </c>
      <c r="O318" s="2" t="s">
        <v>5</v>
      </c>
      <c r="P318" s="3">
        <v>6897</v>
      </c>
      <c r="Q318" s="3">
        <v>1757</v>
      </c>
      <c r="R318" s="3">
        <v>1530</v>
      </c>
      <c r="S318" s="3">
        <v>1813</v>
      </c>
      <c r="T318" s="3">
        <v>1797</v>
      </c>
    </row>
    <row r="319" spans="1:20" x14ac:dyDescent="0.3">
      <c r="A319" s="2" t="s">
        <v>6</v>
      </c>
      <c r="B319" s="3">
        <v>314</v>
      </c>
      <c r="C319" s="5">
        <v>123</v>
      </c>
      <c r="D319" s="6">
        <v>96</v>
      </c>
      <c r="E319" s="3">
        <v>0</v>
      </c>
      <c r="F319" s="4">
        <v>95</v>
      </c>
      <c r="H319" s="2" t="s">
        <v>6</v>
      </c>
      <c r="I319" s="3">
        <v>555</v>
      </c>
      <c r="J319" s="5">
        <v>191</v>
      </c>
      <c r="K319" s="4">
        <v>135</v>
      </c>
      <c r="L319" s="6">
        <v>151</v>
      </c>
      <c r="M319" s="3">
        <v>78</v>
      </c>
      <c r="O319" s="2" t="s">
        <v>6</v>
      </c>
      <c r="P319" s="3">
        <v>1032</v>
      </c>
      <c r="Q319" s="6">
        <v>217</v>
      </c>
      <c r="R319" s="5">
        <v>522</v>
      </c>
      <c r="S319" s="4">
        <v>154</v>
      </c>
      <c r="T319" s="3">
        <v>139</v>
      </c>
    </row>
    <row r="320" spans="1:20" x14ac:dyDescent="0.3">
      <c r="A320" s="2" t="s">
        <v>7</v>
      </c>
      <c r="B320" s="3" t="s">
        <v>820</v>
      </c>
      <c r="C320" s="5" t="s">
        <v>821</v>
      </c>
      <c r="D320" s="4" t="s">
        <v>528</v>
      </c>
      <c r="E320" s="3">
        <v>0</v>
      </c>
      <c r="F320" s="6" t="s">
        <v>629</v>
      </c>
      <c r="H320" s="2" t="s">
        <v>7</v>
      </c>
      <c r="I320" s="3" t="s">
        <v>1549</v>
      </c>
      <c r="J320" s="5" t="s">
        <v>906</v>
      </c>
      <c r="K320" s="3" t="s">
        <v>259</v>
      </c>
      <c r="L320" s="4" t="s">
        <v>543</v>
      </c>
      <c r="M320" s="6" t="s">
        <v>1549</v>
      </c>
      <c r="O320" s="2" t="s">
        <v>7</v>
      </c>
      <c r="P320" s="3" t="s">
        <v>1866</v>
      </c>
      <c r="Q320" s="6" t="s">
        <v>1951</v>
      </c>
      <c r="R320" s="5" t="s">
        <v>1952</v>
      </c>
      <c r="S320" s="4" t="s">
        <v>1339</v>
      </c>
      <c r="T320" s="3" t="s">
        <v>1953</v>
      </c>
    </row>
    <row r="321" spans="1:20" x14ac:dyDescent="0.3">
      <c r="A321" s="2" t="s">
        <v>12</v>
      </c>
      <c r="B321" s="3" t="s">
        <v>822</v>
      </c>
      <c r="C321" s="5" t="s">
        <v>823</v>
      </c>
      <c r="D321" s="4" t="s">
        <v>824</v>
      </c>
      <c r="E321" s="3">
        <v>0</v>
      </c>
      <c r="F321" s="6" t="s">
        <v>629</v>
      </c>
      <c r="H321" s="2" t="s">
        <v>12</v>
      </c>
      <c r="I321" s="3" t="s">
        <v>1237</v>
      </c>
      <c r="J321" s="5" t="s">
        <v>1371</v>
      </c>
      <c r="K321" s="3" t="s">
        <v>1533</v>
      </c>
      <c r="L321" s="4" t="s">
        <v>1550</v>
      </c>
      <c r="M321" s="6" t="s">
        <v>1226</v>
      </c>
      <c r="O321" s="2" t="s">
        <v>12</v>
      </c>
      <c r="P321" s="3" t="s">
        <v>1954</v>
      </c>
      <c r="Q321" s="6" t="s">
        <v>1050</v>
      </c>
      <c r="R321" s="5" t="s">
        <v>1955</v>
      </c>
      <c r="S321" s="4" t="s">
        <v>777</v>
      </c>
      <c r="T321" s="3" t="s">
        <v>712</v>
      </c>
    </row>
    <row r="322" spans="1:20" x14ac:dyDescent="0.3">
      <c r="A322" s="2" t="s">
        <v>17</v>
      </c>
      <c r="B322" s="3" t="s">
        <v>227</v>
      </c>
      <c r="C322" s="4" t="s">
        <v>154</v>
      </c>
      <c r="D322" s="5" t="s">
        <v>134</v>
      </c>
      <c r="E322" s="3" t="s">
        <v>25</v>
      </c>
      <c r="F322" s="6" t="s">
        <v>88</v>
      </c>
      <c r="H322" s="2" t="s">
        <v>17</v>
      </c>
      <c r="I322" s="3" t="s">
        <v>511</v>
      </c>
      <c r="J322" s="6" t="s">
        <v>577</v>
      </c>
      <c r="K322" s="3" t="s">
        <v>280</v>
      </c>
      <c r="L322" s="4" t="s">
        <v>537</v>
      </c>
      <c r="M322" s="5" t="s">
        <v>1178</v>
      </c>
      <c r="O322" s="2" t="s">
        <v>17</v>
      </c>
      <c r="P322" s="3" t="s">
        <v>78</v>
      </c>
      <c r="Q322" s="5" t="s">
        <v>476</v>
      </c>
      <c r="R322" s="3" t="s">
        <v>25</v>
      </c>
      <c r="S322" s="6" t="s">
        <v>122</v>
      </c>
      <c r="T322" s="4" t="s">
        <v>108</v>
      </c>
    </row>
    <row r="323" spans="1:20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158</v>
      </c>
      <c r="J323" s="6" t="s">
        <v>268</v>
      </c>
      <c r="K323" s="3" t="s">
        <v>25</v>
      </c>
      <c r="L323" s="3" t="s">
        <v>25</v>
      </c>
      <c r="M323" s="5" t="s">
        <v>47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305</v>
      </c>
      <c r="C324" s="8">
        <v>120</v>
      </c>
      <c r="D324" s="8">
        <v>90</v>
      </c>
      <c r="E324" s="8">
        <v>0</v>
      </c>
      <c r="F324" s="8">
        <v>95</v>
      </c>
      <c r="H324" s="7" t="s">
        <v>26</v>
      </c>
      <c r="I324" s="8">
        <v>419</v>
      </c>
      <c r="J324" s="8">
        <v>138</v>
      </c>
      <c r="K324" s="8">
        <v>99</v>
      </c>
      <c r="L324" s="8">
        <v>115</v>
      </c>
      <c r="M324" s="8">
        <v>67</v>
      </c>
      <c r="O324" s="7" t="s">
        <v>26</v>
      </c>
      <c r="P324" s="8">
        <v>1003</v>
      </c>
      <c r="Q324" s="8">
        <v>194</v>
      </c>
      <c r="R324" s="8">
        <v>521</v>
      </c>
      <c r="S324" s="8">
        <v>150</v>
      </c>
      <c r="T324" s="8">
        <v>138</v>
      </c>
    </row>
    <row r="325" spans="1:20" x14ac:dyDescent="0.3">
      <c r="A325" s="9" t="s">
        <v>27</v>
      </c>
      <c r="B325" s="10">
        <v>127</v>
      </c>
      <c r="C325" s="10">
        <v>21</v>
      </c>
      <c r="D325" s="10">
        <v>48</v>
      </c>
      <c r="E325" s="10">
        <v>0</v>
      </c>
      <c r="F325" s="10">
        <v>58</v>
      </c>
      <c r="H325" s="9" t="s">
        <v>27</v>
      </c>
      <c r="I325" s="10">
        <v>134</v>
      </c>
      <c r="J325" s="10">
        <v>46</v>
      </c>
      <c r="K325" s="10">
        <v>34</v>
      </c>
      <c r="L325" s="10">
        <v>38</v>
      </c>
      <c r="M325" s="10">
        <v>16</v>
      </c>
      <c r="O325" s="9" t="s">
        <v>27</v>
      </c>
      <c r="P325" s="10">
        <v>233</v>
      </c>
      <c r="Q325" s="10">
        <v>67</v>
      </c>
      <c r="R325" s="10">
        <v>56</v>
      </c>
      <c r="S325" s="10">
        <v>58</v>
      </c>
      <c r="T325" s="10">
        <v>52</v>
      </c>
    </row>
    <row r="326" spans="1:20" x14ac:dyDescent="0.3">
      <c r="A326" s="9" t="s">
        <v>28</v>
      </c>
      <c r="B326" s="10">
        <v>37</v>
      </c>
      <c r="C326" s="10">
        <v>5</v>
      </c>
      <c r="D326" s="10">
        <v>17</v>
      </c>
      <c r="E326" s="10">
        <v>0</v>
      </c>
      <c r="F326" s="10">
        <v>15</v>
      </c>
      <c r="H326" s="9" t="s">
        <v>28</v>
      </c>
      <c r="I326" s="10">
        <v>77</v>
      </c>
      <c r="J326" s="10">
        <v>21</v>
      </c>
      <c r="K326" s="10">
        <v>19</v>
      </c>
      <c r="L326" s="10">
        <v>26</v>
      </c>
      <c r="M326" s="10">
        <v>11</v>
      </c>
      <c r="O326" s="9" t="s">
        <v>28</v>
      </c>
      <c r="P326" s="10">
        <v>147</v>
      </c>
      <c r="Q326" s="10">
        <v>47</v>
      </c>
      <c r="R326" s="10">
        <v>18</v>
      </c>
      <c r="S326" s="10">
        <v>39</v>
      </c>
      <c r="T326" s="10">
        <v>43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42</v>
      </c>
      <c r="C328" s="10">
        <v>6</v>
      </c>
      <c r="D328" s="10">
        <v>20</v>
      </c>
      <c r="E328" s="10">
        <v>0</v>
      </c>
      <c r="F328" s="10">
        <v>16</v>
      </c>
      <c r="H328" s="9" t="s">
        <v>30</v>
      </c>
      <c r="I328" s="10">
        <v>103</v>
      </c>
      <c r="J328" s="10">
        <v>31</v>
      </c>
      <c r="K328" s="10">
        <v>30</v>
      </c>
      <c r="L328" s="10">
        <v>25</v>
      </c>
      <c r="M328" s="10">
        <v>17</v>
      </c>
      <c r="O328" s="9" t="s">
        <v>30</v>
      </c>
      <c r="P328" s="10">
        <v>458</v>
      </c>
      <c r="Q328" s="10">
        <v>31</v>
      </c>
      <c r="R328" s="10">
        <v>388</v>
      </c>
      <c r="S328" s="10">
        <v>23</v>
      </c>
      <c r="T328" s="10">
        <v>16</v>
      </c>
    </row>
    <row r="329" spans="1:20" x14ac:dyDescent="0.3">
      <c r="A329" s="9" t="s">
        <v>31</v>
      </c>
      <c r="B329" s="10">
        <v>99</v>
      </c>
      <c r="C329" s="10">
        <v>88</v>
      </c>
      <c r="D329" s="10">
        <v>5</v>
      </c>
      <c r="E329" s="10">
        <v>0</v>
      </c>
      <c r="F329" s="10">
        <v>6</v>
      </c>
      <c r="H329" s="9" t="s">
        <v>31</v>
      </c>
      <c r="I329" s="10">
        <v>105</v>
      </c>
      <c r="J329" s="10">
        <v>40</v>
      </c>
      <c r="K329" s="10">
        <v>16</v>
      </c>
      <c r="L329" s="10">
        <v>26</v>
      </c>
      <c r="M329" s="10">
        <v>23</v>
      </c>
      <c r="O329" s="9" t="s">
        <v>31</v>
      </c>
      <c r="P329" s="10">
        <v>165</v>
      </c>
      <c r="Q329" s="10">
        <v>49</v>
      </c>
      <c r="R329" s="10">
        <v>59</v>
      </c>
      <c r="S329" s="10">
        <v>30</v>
      </c>
      <c r="T329" s="10">
        <v>27</v>
      </c>
    </row>
    <row r="330" spans="1:20" x14ac:dyDescent="0.3">
      <c r="A330" s="11" t="s">
        <v>32</v>
      </c>
      <c r="B330" s="12">
        <v>11</v>
      </c>
      <c r="C330" s="12">
        <v>1</v>
      </c>
      <c r="D330" s="12">
        <v>6</v>
      </c>
      <c r="E330" s="12">
        <v>0</v>
      </c>
      <c r="F330" s="12">
        <v>4</v>
      </c>
      <c r="H330" s="11" t="s">
        <v>32</v>
      </c>
      <c r="I330" s="12">
        <v>119</v>
      </c>
      <c r="J330" s="12">
        <v>39</v>
      </c>
      <c r="K330" s="12">
        <v>29</v>
      </c>
      <c r="L330" s="12">
        <v>31</v>
      </c>
      <c r="M330" s="12">
        <v>20</v>
      </c>
      <c r="O330" s="11" t="s">
        <v>32</v>
      </c>
      <c r="P330" s="12">
        <v>29</v>
      </c>
      <c r="Q330" s="12">
        <v>22</v>
      </c>
      <c r="R330" s="12">
        <v>0</v>
      </c>
      <c r="S330" s="12">
        <v>4</v>
      </c>
      <c r="T330" s="12">
        <v>3</v>
      </c>
    </row>
    <row r="331" spans="1:20" x14ac:dyDescent="0.3">
      <c r="A331" s="13" t="s">
        <v>33</v>
      </c>
      <c r="B331" s="14">
        <v>1</v>
      </c>
      <c r="C331" s="14">
        <v>0</v>
      </c>
      <c r="D331" s="14">
        <v>1</v>
      </c>
      <c r="E331" s="14">
        <v>0</v>
      </c>
      <c r="F331" s="14">
        <v>0</v>
      </c>
      <c r="H331" s="13" t="s">
        <v>33</v>
      </c>
      <c r="I331" s="14">
        <v>31</v>
      </c>
      <c r="J331" s="14">
        <v>10</v>
      </c>
      <c r="K331" s="14">
        <v>4</v>
      </c>
      <c r="L331" s="14">
        <v>7</v>
      </c>
      <c r="M331" s="14">
        <v>10</v>
      </c>
      <c r="O331" s="13" t="s">
        <v>33</v>
      </c>
      <c r="P331" s="14">
        <v>21</v>
      </c>
      <c r="Q331" s="14">
        <v>20</v>
      </c>
      <c r="R331" s="14">
        <v>0</v>
      </c>
      <c r="S331" s="14">
        <v>0</v>
      </c>
      <c r="T331" s="14">
        <v>1</v>
      </c>
    </row>
    <row r="332" spans="1:20" x14ac:dyDescent="0.3">
      <c r="A332" s="13" t="s">
        <v>34</v>
      </c>
      <c r="B332" s="14">
        <v>10</v>
      </c>
      <c r="C332" s="14">
        <v>1</v>
      </c>
      <c r="D332" s="14">
        <v>5</v>
      </c>
      <c r="E332" s="14">
        <v>0</v>
      </c>
      <c r="F332" s="14">
        <v>4</v>
      </c>
      <c r="H332" s="13" t="s">
        <v>34</v>
      </c>
      <c r="I332" s="14">
        <v>88</v>
      </c>
      <c r="J332" s="14">
        <v>29</v>
      </c>
      <c r="K332" s="14">
        <v>25</v>
      </c>
      <c r="L332" s="14">
        <v>24</v>
      </c>
      <c r="M332" s="14">
        <v>10</v>
      </c>
      <c r="O332" s="13" t="s">
        <v>34</v>
      </c>
      <c r="P332" s="14">
        <v>8</v>
      </c>
      <c r="Q332" s="14">
        <v>2</v>
      </c>
      <c r="R332" s="14">
        <v>0</v>
      </c>
      <c r="S332" s="14">
        <v>4</v>
      </c>
      <c r="T332" s="14">
        <v>2</v>
      </c>
    </row>
    <row r="333" spans="1:20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3</v>
      </c>
      <c r="J333" s="16">
        <v>1</v>
      </c>
      <c r="K333" s="16">
        <v>0</v>
      </c>
      <c r="L333" s="16">
        <v>0</v>
      </c>
      <c r="M333" s="16">
        <v>2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F334" s="18">
        <v>0</v>
      </c>
      <c r="H334" s="17" t="s">
        <v>36</v>
      </c>
      <c r="I334" s="99">
        <v>1</v>
      </c>
      <c r="J334" s="99">
        <v>1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  <c r="T334" s="130">
        <v>0</v>
      </c>
    </row>
    <row r="335" spans="1:20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F335" s="18">
        <v>0</v>
      </c>
      <c r="H335" s="17" t="s">
        <v>37</v>
      </c>
      <c r="I335" s="99">
        <v>2</v>
      </c>
      <c r="J335" s="99">
        <v>0</v>
      </c>
      <c r="K335" s="99">
        <v>0</v>
      </c>
      <c r="L335" s="99">
        <v>0</v>
      </c>
      <c r="M335" s="99">
        <v>2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  <c r="T335" s="130">
        <v>0</v>
      </c>
    </row>
    <row r="336" spans="1:20" x14ac:dyDescent="0.3">
      <c r="A336" s="17" t="s">
        <v>38</v>
      </c>
      <c r="B336" s="172" t="s">
        <v>103</v>
      </c>
      <c r="C336" s="173"/>
      <c r="D336" s="173"/>
      <c r="E336" s="173"/>
      <c r="F336" s="173"/>
      <c r="H336" s="17" t="s">
        <v>38</v>
      </c>
      <c r="I336" s="167" t="s">
        <v>103</v>
      </c>
      <c r="J336" s="168"/>
      <c r="K336" s="168"/>
      <c r="L336" s="168"/>
      <c r="M336" s="168"/>
      <c r="O336" s="17" t="s">
        <v>38</v>
      </c>
      <c r="P336" s="167" t="s">
        <v>103</v>
      </c>
      <c r="Q336" s="168"/>
      <c r="R336" s="168"/>
      <c r="S336" s="168"/>
      <c r="T336" s="168"/>
    </row>
    <row r="337" spans="1:20" ht="19.8" x14ac:dyDescent="0.3">
      <c r="A337" s="170">
        <v>46104</v>
      </c>
      <c r="B337" s="168"/>
      <c r="C337" s="168"/>
      <c r="D337" s="168"/>
      <c r="E337" s="168"/>
      <c r="F337" s="168"/>
      <c r="H337" s="171">
        <v>46132</v>
      </c>
      <c r="I337" s="171"/>
      <c r="J337" s="171"/>
      <c r="K337" s="171"/>
      <c r="L337" s="171"/>
      <c r="M337" s="171"/>
      <c r="O337" s="170">
        <v>46163</v>
      </c>
      <c r="P337" s="168"/>
      <c r="Q337" s="168"/>
      <c r="R337" s="168"/>
      <c r="S337" s="168"/>
      <c r="T337" s="168"/>
    </row>
    <row r="338" spans="1:20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2</v>
      </c>
      <c r="R338" s="1" t="s">
        <v>3</v>
      </c>
      <c r="S338" s="1" t="s">
        <v>40</v>
      </c>
      <c r="T338" s="1" t="s">
        <v>4</v>
      </c>
    </row>
    <row r="339" spans="1:20" x14ac:dyDescent="0.3">
      <c r="A339" s="2" t="s">
        <v>5</v>
      </c>
      <c r="B339" s="3">
        <v>4920</v>
      </c>
      <c r="C339" s="3">
        <v>1327</v>
      </c>
      <c r="D339" s="3">
        <v>1345</v>
      </c>
      <c r="E339" s="3">
        <v>1175</v>
      </c>
      <c r="F339" s="3">
        <v>1073</v>
      </c>
      <c r="H339" s="2" t="s">
        <v>5</v>
      </c>
      <c r="I339" s="3">
        <f>J339+K339+L339+M339</f>
        <v>3528</v>
      </c>
      <c r="J339" s="3">
        <v>990</v>
      </c>
      <c r="K339" s="3">
        <v>1033</v>
      </c>
      <c r="L339" s="3">
        <v>962</v>
      </c>
      <c r="M339" s="3">
        <v>543</v>
      </c>
      <c r="O339" s="2" t="s">
        <v>5</v>
      </c>
      <c r="P339" s="3">
        <v>6261</v>
      </c>
      <c r="Q339" s="3">
        <v>1708</v>
      </c>
      <c r="R339" s="3">
        <v>1131</v>
      </c>
      <c r="S339" s="3">
        <v>1787</v>
      </c>
      <c r="T339" s="3">
        <v>1635</v>
      </c>
    </row>
    <row r="340" spans="1:20" x14ac:dyDescent="0.3">
      <c r="A340" s="2" t="s">
        <v>6</v>
      </c>
      <c r="B340" s="3">
        <v>366</v>
      </c>
      <c r="C340" s="5">
        <v>166</v>
      </c>
      <c r="D340" s="3">
        <v>60</v>
      </c>
      <c r="E340" s="6">
        <v>73</v>
      </c>
      <c r="F340" s="4">
        <v>67</v>
      </c>
      <c r="H340" s="2" t="s">
        <v>6</v>
      </c>
      <c r="I340" s="3">
        <f>J340+K340+L340+M340</f>
        <v>386</v>
      </c>
      <c r="J340" s="5">
        <v>123</v>
      </c>
      <c r="K340" s="6">
        <v>88</v>
      </c>
      <c r="L340" s="6">
        <v>113</v>
      </c>
      <c r="M340" s="4">
        <v>62</v>
      </c>
      <c r="O340" s="2" t="s">
        <v>6</v>
      </c>
      <c r="P340" s="3">
        <v>567</v>
      </c>
      <c r="Q340" s="5">
        <v>185</v>
      </c>
      <c r="R340" s="3">
        <v>110</v>
      </c>
      <c r="S340" s="6">
        <v>155</v>
      </c>
      <c r="T340" s="4">
        <v>117</v>
      </c>
    </row>
    <row r="341" spans="1:20" x14ac:dyDescent="0.3">
      <c r="A341" s="2" t="s">
        <v>7</v>
      </c>
      <c r="B341" s="3" t="s">
        <v>854</v>
      </c>
      <c r="C341" s="5" t="s">
        <v>855</v>
      </c>
      <c r="D341" s="3" t="s">
        <v>856</v>
      </c>
      <c r="E341" s="4" t="s">
        <v>604</v>
      </c>
      <c r="F341" s="6" t="s">
        <v>215</v>
      </c>
      <c r="H341" s="2" t="s">
        <v>7</v>
      </c>
      <c r="I341" s="48">
        <f>I340/I339</f>
        <v>0.10941043083900227</v>
      </c>
      <c r="J341" s="5" t="s">
        <v>1567</v>
      </c>
      <c r="K341" s="4" t="s">
        <v>1288</v>
      </c>
      <c r="L341" s="6" t="s">
        <v>1353</v>
      </c>
      <c r="M341" s="6" t="s">
        <v>1568</v>
      </c>
      <c r="O341" s="2" t="s">
        <v>7</v>
      </c>
      <c r="P341" s="3" t="s">
        <v>1971</v>
      </c>
      <c r="Q341" s="5" t="s">
        <v>1497</v>
      </c>
      <c r="R341" s="6" t="s">
        <v>1549</v>
      </c>
      <c r="S341" s="4" t="s">
        <v>128</v>
      </c>
      <c r="T341" s="3" t="s">
        <v>308</v>
      </c>
    </row>
    <row r="342" spans="1:20" x14ac:dyDescent="0.3">
      <c r="A342" s="2" t="s">
        <v>12</v>
      </c>
      <c r="B342" s="3" t="s">
        <v>448</v>
      </c>
      <c r="C342" s="5" t="s">
        <v>159</v>
      </c>
      <c r="D342" s="3" t="s">
        <v>144</v>
      </c>
      <c r="E342" s="4" t="s">
        <v>686</v>
      </c>
      <c r="F342" s="6" t="s">
        <v>215</v>
      </c>
      <c r="H342" s="2" t="s">
        <v>12</v>
      </c>
      <c r="I342" s="48">
        <f>I345/I339</f>
        <v>8.3049886621315197E-2</v>
      </c>
      <c r="J342" s="5" t="s">
        <v>350</v>
      </c>
      <c r="K342" s="4" t="s">
        <v>1569</v>
      </c>
      <c r="L342" s="6" t="s">
        <v>1585</v>
      </c>
      <c r="M342" s="6" t="s">
        <v>829</v>
      </c>
      <c r="O342" s="2" t="s">
        <v>12</v>
      </c>
      <c r="P342" s="3" t="s">
        <v>778</v>
      </c>
      <c r="Q342" s="5" t="s">
        <v>1972</v>
      </c>
      <c r="R342" s="6" t="s">
        <v>1549</v>
      </c>
      <c r="S342" s="4" t="s">
        <v>516</v>
      </c>
      <c r="T342" s="3" t="s">
        <v>219</v>
      </c>
    </row>
    <row r="343" spans="1:20" x14ac:dyDescent="0.3">
      <c r="A343" s="2" t="s">
        <v>17</v>
      </c>
      <c r="B343" s="3" t="s">
        <v>99</v>
      </c>
      <c r="C343" s="5" t="s">
        <v>150</v>
      </c>
      <c r="D343" s="3" t="s">
        <v>138</v>
      </c>
      <c r="E343" s="6" t="s">
        <v>101</v>
      </c>
      <c r="F343" s="4" t="s">
        <v>84</v>
      </c>
      <c r="H343" s="2" t="s">
        <v>17</v>
      </c>
      <c r="I343" s="48">
        <f>I351/I339</f>
        <v>2.6643990929705215E-2</v>
      </c>
      <c r="J343" s="4" t="s">
        <v>433</v>
      </c>
      <c r="K343" s="6" t="s">
        <v>145</v>
      </c>
      <c r="L343" s="5" t="s">
        <v>205</v>
      </c>
      <c r="M343" s="5" t="s">
        <v>508</v>
      </c>
      <c r="O343" s="2" t="s">
        <v>17</v>
      </c>
      <c r="P343" s="3" t="s">
        <v>491</v>
      </c>
      <c r="Q343" s="5" t="s">
        <v>371</v>
      </c>
      <c r="R343" s="3" t="s">
        <v>25</v>
      </c>
      <c r="S343" s="6" t="s">
        <v>419</v>
      </c>
      <c r="T343" s="4" t="s">
        <v>347</v>
      </c>
    </row>
    <row r="344" spans="1:20" x14ac:dyDescent="0.3">
      <c r="A344" s="2" t="s">
        <v>22</v>
      </c>
      <c r="B344" s="3" t="s">
        <v>267</v>
      </c>
      <c r="C344" s="3" t="s">
        <v>25</v>
      </c>
      <c r="D344" s="3" t="s">
        <v>25</v>
      </c>
      <c r="E344" s="3" t="s">
        <v>25</v>
      </c>
      <c r="F344" s="5" t="s">
        <v>84</v>
      </c>
      <c r="H344" s="2" t="s">
        <v>22</v>
      </c>
      <c r="I344" s="48">
        <f>I354/I339</f>
        <v>5.6689342403628119E-4</v>
      </c>
      <c r="J344" s="3" t="s">
        <v>25</v>
      </c>
      <c r="K344" s="3" t="s">
        <v>25</v>
      </c>
      <c r="L344" s="3" t="s">
        <v>25</v>
      </c>
      <c r="M344" s="5" t="s">
        <v>200</v>
      </c>
      <c r="O344" s="2" t="s">
        <v>22</v>
      </c>
      <c r="P344" s="3" t="s">
        <v>267</v>
      </c>
      <c r="Q344" s="3" t="s">
        <v>25</v>
      </c>
      <c r="R344" s="3" t="s">
        <v>25</v>
      </c>
      <c r="S344" s="3" t="s">
        <v>25</v>
      </c>
      <c r="T344" s="5" t="s">
        <v>268</v>
      </c>
    </row>
    <row r="345" spans="1:20" x14ac:dyDescent="0.3">
      <c r="A345" s="7" t="s">
        <v>26</v>
      </c>
      <c r="B345" s="8">
        <v>357</v>
      </c>
      <c r="C345" s="8">
        <v>160</v>
      </c>
      <c r="D345" s="8">
        <v>58</v>
      </c>
      <c r="E345" s="8">
        <v>72</v>
      </c>
      <c r="F345" s="8">
        <v>67</v>
      </c>
      <c r="H345" s="7" t="s">
        <v>26</v>
      </c>
      <c r="I345" s="8">
        <f>J345+K345+L345+M345</f>
        <v>293</v>
      </c>
      <c r="J345" s="8">
        <v>104</v>
      </c>
      <c r="K345" s="8">
        <v>51</v>
      </c>
      <c r="L345" s="8">
        <v>81</v>
      </c>
      <c r="M345" s="8">
        <v>57</v>
      </c>
      <c r="O345" s="7" t="s">
        <v>26</v>
      </c>
      <c r="P345" s="8">
        <v>546</v>
      </c>
      <c r="Q345" s="8">
        <v>172</v>
      </c>
      <c r="R345" s="8">
        <v>110</v>
      </c>
      <c r="S345" s="8">
        <v>148</v>
      </c>
      <c r="T345" s="8">
        <v>116</v>
      </c>
    </row>
    <row r="346" spans="1:20" x14ac:dyDescent="0.3">
      <c r="A346" s="9" t="s">
        <v>27</v>
      </c>
      <c r="B346" s="10">
        <v>113</v>
      </c>
      <c r="C346" s="10">
        <v>28</v>
      </c>
      <c r="D346" s="10">
        <v>26</v>
      </c>
      <c r="E346" s="10">
        <v>30</v>
      </c>
      <c r="F346" s="10">
        <v>29</v>
      </c>
      <c r="H346" s="9" t="s">
        <v>27</v>
      </c>
      <c r="I346" s="10">
        <f>J346+K346+L346+M346</f>
        <v>81</v>
      </c>
      <c r="J346" s="10">
        <v>28</v>
      </c>
      <c r="K346" s="10">
        <v>24</v>
      </c>
      <c r="L346" s="10">
        <v>19</v>
      </c>
      <c r="M346" s="10">
        <v>10</v>
      </c>
      <c r="O346" s="9" t="s">
        <v>27</v>
      </c>
      <c r="P346" s="10">
        <v>154</v>
      </c>
      <c r="Q346" s="10">
        <v>50</v>
      </c>
      <c r="R346" s="10">
        <v>31</v>
      </c>
      <c r="S346" s="10">
        <v>45</v>
      </c>
      <c r="T346" s="10">
        <v>28</v>
      </c>
    </row>
    <row r="347" spans="1:20" x14ac:dyDescent="0.3">
      <c r="A347" s="9" t="s">
        <v>28</v>
      </c>
      <c r="B347" s="10">
        <v>48</v>
      </c>
      <c r="C347" s="10">
        <v>14</v>
      </c>
      <c r="D347" s="10">
        <v>13</v>
      </c>
      <c r="E347" s="10">
        <v>9</v>
      </c>
      <c r="F347" s="10">
        <v>12</v>
      </c>
      <c r="H347" s="9" t="s">
        <v>28</v>
      </c>
      <c r="I347" s="10">
        <f>J347+K347+L347+M347</f>
        <v>53</v>
      </c>
      <c r="J347" s="10">
        <v>19</v>
      </c>
      <c r="K347" s="10">
        <v>7</v>
      </c>
      <c r="L347" s="10">
        <v>17</v>
      </c>
      <c r="M347" s="10">
        <v>10</v>
      </c>
      <c r="O347" s="9" t="s">
        <v>28</v>
      </c>
      <c r="P347" s="10">
        <v>136</v>
      </c>
      <c r="Q347" s="10">
        <v>36</v>
      </c>
      <c r="R347" s="10">
        <v>25</v>
      </c>
      <c r="S347" s="10">
        <v>40</v>
      </c>
      <c r="T347" s="10">
        <v>35</v>
      </c>
    </row>
    <row r="348" spans="1:20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O348" s="9" t="s">
        <v>29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s="9" t="s">
        <v>30</v>
      </c>
      <c r="B349" s="10">
        <v>42</v>
      </c>
      <c r="C349" s="10">
        <v>11</v>
      </c>
      <c r="D349" s="10">
        <v>9</v>
      </c>
      <c r="E349" s="10">
        <v>14</v>
      </c>
      <c r="F349" s="10">
        <v>8</v>
      </c>
      <c r="H349" s="9" t="s">
        <v>30</v>
      </c>
      <c r="I349" s="10">
        <f>J349+K349+L349+M349</f>
        <v>58</v>
      </c>
      <c r="J349" s="10">
        <v>23</v>
      </c>
      <c r="K349" s="10">
        <v>9</v>
      </c>
      <c r="L349" s="10">
        <v>15</v>
      </c>
      <c r="M349" s="10">
        <v>11</v>
      </c>
      <c r="O349" s="9" t="s">
        <v>30</v>
      </c>
      <c r="P349" s="10">
        <v>99</v>
      </c>
      <c r="Q349" s="10">
        <v>19</v>
      </c>
      <c r="R349" s="10">
        <v>47</v>
      </c>
      <c r="S349" s="10">
        <v>16</v>
      </c>
      <c r="T349" s="10">
        <v>17</v>
      </c>
    </row>
    <row r="350" spans="1:20" x14ac:dyDescent="0.3">
      <c r="A350" s="9" t="s">
        <v>31</v>
      </c>
      <c r="B350" s="10">
        <v>154</v>
      </c>
      <c r="C350" s="10">
        <v>107</v>
      </c>
      <c r="D350" s="10">
        <v>10</v>
      </c>
      <c r="E350" s="10">
        <v>19</v>
      </c>
      <c r="F350" s="10">
        <v>18</v>
      </c>
      <c r="H350" s="9" t="s">
        <v>31</v>
      </c>
      <c r="I350" s="10">
        <f>J350+K350+L350+M350</f>
        <v>101</v>
      </c>
      <c r="J350" s="10">
        <v>34</v>
      </c>
      <c r="K350" s="10">
        <v>11</v>
      </c>
      <c r="L350" s="10">
        <v>30</v>
      </c>
      <c r="M350" s="10">
        <v>26</v>
      </c>
      <c r="O350" s="9" t="s">
        <v>31</v>
      </c>
      <c r="P350" s="10">
        <v>157</v>
      </c>
      <c r="Q350" s="10">
        <v>67</v>
      </c>
      <c r="R350" s="10">
        <v>7</v>
      </c>
      <c r="S350" s="10">
        <v>47</v>
      </c>
      <c r="T350" s="10">
        <v>36</v>
      </c>
    </row>
    <row r="351" spans="1:20" x14ac:dyDescent="0.3">
      <c r="A351" s="11" t="s">
        <v>32</v>
      </c>
      <c r="B351" s="12">
        <v>10</v>
      </c>
      <c r="C351" s="12">
        <v>5</v>
      </c>
      <c r="D351" s="12">
        <v>1</v>
      </c>
      <c r="E351" s="12">
        <v>3</v>
      </c>
      <c r="F351" s="12">
        <v>1</v>
      </c>
      <c r="H351" s="11" t="s">
        <v>32</v>
      </c>
      <c r="I351" s="12">
        <f>J351+K351+L351+M351</f>
        <v>94</v>
      </c>
      <c r="J351" s="12">
        <v>18</v>
      </c>
      <c r="K351" s="12">
        <v>30</v>
      </c>
      <c r="L351" s="12">
        <v>29</v>
      </c>
      <c r="M351" s="12">
        <v>17</v>
      </c>
      <c r="O351" s="11" t="s">
        <v>32</v>
      </c>
      <c r="P351" s="12">
        <v>25</v>
      </c>
      <c r="Q351" s="12">
        <v>14</v>
      </c>
      <c r="R351" s="12">
        <v>0</v>
      </c>
      <c r="S351" s="12">
        <v>7</v>
      </c>
      <c r="T351" s="12">
        <v>4</v>
      </c>
    </row>
    <row r="352" spans="1:20" x14ac:dyDescent="0.3">
      <c r="A352" s="13" t="s">
        <v>33</v>
      </c>
      <c r="B352" s="14">
        <v>1</v>
      </c>
      <c r="C352" s="14">
        <v>0</v>
      </c>
      <c r="D352" s="14">
        <v>0</v>
      </c>
      <c r="E352" s="14">
        <v>1</v>
      </c>
      <c r="F352" s="14">
        <v>0</v>
      </c>
      <c r="H352" s="13" t="s">
        <v>33</v>
      </c>
      <c r="I352" s="14">
        <f>J352+K352+L352+M352</f>
        <v>13</v>
      </c>
      <c r="J352" s="14">
        <v>5</v>
      </c>
      <c r="K352" s="14">
        <v>3</v>
      </c>
      <c r="L352" s="14">
        <v>3</v>
      </c>
      <c r="M352" s="14">
        <v>2</v>
      </c>
      <c r="O352" s="13" t="s">
        <v>33</v>
      </c>
      <c r="P352" s="14">
        <v>13</v>
      </c>
      <c r="Q352" s="14">
        <v>12</v>
      </c>
      <c r="R352" s="14">
        <v>0</v>
      </c>
      <c r="S352" s="14">
        <v>1</v>
      </c>
      <c r="T352" s="14">
        <v>0</v>
      </c>
    </row>
    <row r="353" spans="1:20" x14ac:dyDescent="0.3">
      <c r="A353" s="13" t="s">
        <v>34</v>
      </c>
      <c r="B353" s="14">
        <v>9</v>
      </c>
      <c r="C353" s="14">
        <v>5</v>
      </c>
      <c r="D353" s="14">
        <v>1</v>
      </c>
      <c r="E353" s="14">
        <v>2</v>
      </c>
      <c r="F353" s="14">
        <v>1</v>
      </c>
      <c r="H353" s="13" t="s">
        <v>34</v>
      </c>
      <c r="I353" s="14">
        <f>J353+K353+L353+M353</f>
        <v>81</v>
      </c>
      <c r="J353" s="14">
        <v>13</v>
      </c>
      <c r="K353" s="14">
        <v>27</v>
      </c>
      <c r="L353" s="14">
        <v>26</v>
      </c>
      <c r="M353" s="14">
        <v>15</v>
      </c>
      <c r="O353" s="13" t="s">
        <v>34</v>
      </c>
      <c r="P353" s="14">
        <v>12</v>
      </c>
      <c r="Q353" s="14">
        <v>2</v>
      </c>
      <c r="R353" s="14">
        <v>0</v>
      </c>
      <c r="S353" s="14">
        <v>6</v>
      </c>
      <c r="T353" s="14">
        <v>4</v>
      </c>
    </row>
    <row r="354" spans="1:20" x14ac:dyDescent="0.3">
      <c r="A354" s="15" t="s">
        <v>35</v>
      </c>
      <c r="B354" s="16">
        <v>1</v>
      </c>
      <c r="C354" s="16">
        <v>0</v>
      </c>
      <c r="D354" s="16">
        <v>0</v>
      </c>
      <c r="E354" s="16">
        <v>0</v>
      </c>
      <c r="F354" s="16">
        <v>1</v>
      </c>
      <c r="H354" s="15" t="s">
        <v>35</v>
      </c>
      <c r="I354" s="16">
        <v>2</v>
      </c>
      <c r="J354" s="16">
        <v>0</v>
      </c>
      <c r="K354" s="16">
        <v>0</v>
      </c>
      <c r="L354" s="16">
        <v>0</v>
      </c>
      <c r="M354" s="16">
        <v>2</v>
      </c>
      <c r="O354" s="15" t="s">
        <v>35</v>
      </c>
      <c r="P354" s="16">
        <v>1</v>
      </c>
      <c r="Q354" s="16">
        <v>0</v>
      </c>
      <c r="R354" s="16">
        <v>0</v>
      </c>
      <c r="S354" s="16">
        <v>0</v>
      </c>
      <c r="T354" s="16">
        <v>1</v>
      </c>
    </row>
    <row r="355" spans="1:20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O355" s="17" t="s">
        <v>36</v>
      </c>
      <c r="P355" s="138">
        <v>0</v>
      </c>
      <c r="Q355" s="138">
        <v>0</v>
      </c>
      <c r="R355" s="138">
        <v>0</v>
      </c>
      <c r="S355" s="138">
        <v>0</v>
      </c>
      <c r="T355" s="138">
        <v>0</v>
      </c>
    </row>
    <row r="356" spans="1:20" x14ac:dyDescent="0.3">
      <c r="A356" s="17" t="s">
        <v>37</v>
      </c>
      <c r="B356" s="18">
        <v>1</v>
      </c>
      <c r="C356" s="18">
        <v>0</v>
      </c>
      <c r="D356" s="18">
        <v>0</v>
      </c>
      <c r="E356" s="18">
        <v>0</v>
      </c>
      <c r="F356" s="18">
        <v>1</v>
      </c>
      <c r="H356" s="17" t="s">
        <v>37</v>
      </c>
      <c r="I356" s="99">
        <v>2</v>
      </c>
      <c r="J356" s="99">
        <v>0</v>
      </c>
      <c r="K356" s="99">
        <v>0</v>
      </c>
      <c r="L356" s="99">
        <v>0</v>
      </c>
      <c r="M356" s="99">
        <v>2</v>
      </c>
      <c r="O356" s="17" t="s">
        <v>37</v>
      </c>
      <c r="P356" s="138">
        <v>1</v>
      </c>
      <c r="Q356" s="138">
        <v>0</v>
      </c>
      <c r="R356" s="138">
        <v>0</v>
      </c>
      <c r="S356" s="138">
        <v>0</v>
      </c>
      <c r="T356" s="138">
        <v>1</v>
      </c>
    </row>
    <row r="357" spans="1:20" x14ac:dyDescent="0.3">
      <c r="A357" s="17" t="s">
        <v>38</v>
      </c>
      <c r="B357" s="167" t="s">
        <v>103</v>
      </c>
      <c r="C357" s="168"/>
      <c r="D357" s="168"/>
      <c r="E357" s="168"/>
      <c r="F357" s="168"/>
      <c r="H357" s="17" t="s">
        <v>38</v>
      </c>
      <c r="I357" s="172" t="s">
        <v>103</v>
      </c>
      <c r="J357" s="173"/>
      <c r="K357" s="173"/>
      <c r="L357" s="173"/>
      <c r="M357" s="173"/>
      <c r="O357" s="17" t="s">
        <v>38</v>
      </c>
      <c r="P357" s="167" t="s">
        <v>103</v>
      </c>
      <c r="Q357" s="168"/>
      <c r="R357" s="168"/>
      <c r="S357" s="168"/>
      <c r="T357" s="168"/>
    </row>
    <row r="358" spans="1:20" ht="19.8" x14ac:dyDescent="0.3">
      <c r="A358" s="170">
        <v>46105</v>
      </c>
      <c r="B358" s="168"/>
      <c r="C358" s="168"/>
      <c r="D358" s="168"/>
      <c r="E358" s="168"/>
      <c r="F358" s="168"/>
      <c r="H358" s="170">
        <v>46133</v>
      </c>
      <c r="I358" s="168"/>
      <c r="J358" s="168"/>
      <c r="K358" s="168"/>
      <c r="L358" s="168"/>
      <c r="M358" s="168"/>
      <c r="O358" s="170">
        <v>46164</v>
      </c>
      <c r="P358" s="168"/>
      <c r="Q358" s="168"/>
      <c r="R358" s="168"/>
      <c r="S358" s="168"/>
      <c r="T358" s="168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  <c r="O359" s="1" t="s">
        <v>0</v>
      </c>
      <c r="P359" s="1" t="s">
        <v>1</v>
      </c>
      <c r="Q359" s="1" t="s">
        <v>2</v>
      </c>
      <c r="R359" s="1" t="s">
        <v>3</v>
      </c>
      <c r="S359" s="1" t="s">
        <v>40</v>
      </c>
      <c r="T359" s="1" t="s">
        <v>4</v>
      </c>
    </row>
    <row r="360" spans="1:20" x14ac:dyDescent="0.3">
      <c r="A360" s="2" t="s">
        <v>5</v>
      </c>
      <c r="B360" s="3">
        <v>6882</v>
      </c>
      <c r="C360" s="3">
        <v>1840</v>
      </c>
      <c r="D360" s="3">
        <v>1872</v>
      </c>
      <c r="E360" s="3">
        <v>1660</v>
      </c>
      <c r="F360" s="3">
        <v>1510</v>
      </c>
      <c r="H360" s="2" t="s">
        <v>5</v>
      </c>
      <c r="I360" s="3">
        <v>6048</v>
      </c>
      <c r="J360" s="3">
        <v>1717</v>
      </c>
      <c r="K360" s="3">
        <v>1561</v>
      </c>
      <c r="L360" s="3">
        <v>1330</v>
      </c>
      <c r="M360" s="3">
        <v>1440</v>
      </c>
      <c r="O360" s="2" t="s">
        <v>5</v>
      </c>
      <c r="P360" s="3">
        <v>7051</v>
      </c>
      <c r="Q360" s="3">
        <v>1756</v>
      </c>
      <c r="R360" s="3">
        <v>1791</v>
      </c>
      <c r="S360" s="3">
        <v>1730</v>
      </c>
      <c r="T360" s="3">
        <v>1774</v>
      </c>
    </row>
    <row r="361" spans="1:20" x14ac:dyDescent="0.3">
      <c r="A361" s="2" t="s">
        <v>6</v>
      </c>
      <c r="B361" s="3">
        <v>565</v>
      </c>
      <c r="C361" s="5">
        <v>317</v>
      </c>
      <c r="D361" s="4">
        <v>84</v>
      </c>
      <c r="E361" s="6">
        <v>86</v>
      </c>
      <c r="F361" s="3">
        <v>78</v>
      </c>
      <c r="H361" s="2" t="s">
        <v>6</v>
      </c>
      <c r="I361" s="3">
        <v>487</v>
      </c>
      <c r="J361" s="5">
        <v>167</v>
      </c>
      <c r="K361" s="4">
        <v>110</v>
      </c>
      <c r="L361" s="6">
        <v>122</v>
      </c>
      <c r="M361" s="3">
        <v>88</v>
      </c>
      <c r="O361" s="2" t="s">
        <v>6</v>
      </c>
      <c r="P361" s="3">
        <v>735</v>
      </c>
      <c r="Q361" s="6">
        <v>195</v>
      </c>
      <c r="R361" s="5">
        <v>216</v>
      </c>
      <c r="S361" s="4">
        <v>174</v>
      </c>
      <c r="T361" s="3">
        <v>150</v>
      </c>
    </row>
    <row r="362" spans="1:20" x14ac:dyDescent="0.3">
      <c r="A362" s="2" t="s">
        <v>7</v>
      </c>
      <c r="B362" s="3" t="s">
        <v>914</v>
      </c>
      <c r="C362" s="5" t="s">
        <v>915</v>
      </c>
      <c r="D362" s="3" t="s">
        <v>916</v>
      </c>
      <c r="E362" s="6" t="s">
        <v>917</v>
      </c>
      <c r="F362" s="4" t="s">
        <v>679</v>
      </c>
      <c r="H362" s="2" t="s">
        <v>7</v>
      </c>
      <c r="I362" s="3" t="s">
        <v>367</v>
      </c>
      <c r="J362" s="5" t="s">
        <v>1549</v>
      </c>
      <c r="K362" s="4" t="s">
        <v>1596</v>
      </c>
      <c r="L362" s="6" t="s">
        <v>1059</v>
      </c>
      <c r="M362" s="3" t="s">
        <v>284</v>
      </c>
      <c r="O362" s="2" t="s">
        <v>7</v>
      </c>
      <c r="P362" s="3" t="s">
        <v>465</v>
      </c>
      <c r="Q362" s="6" t="s">
        <v>1653</v>
      </c>
      <c r="R362" s="5" t="s">
        <v>159</v>
      </c>
      <c r="S362" s="4" t="s">
        <v>1349</v>
      </c>
      <c r="T362" s="3" t="s">
        <v>1308</v>
      </c>
    </row>
    <row r="363" spans="1:20" x14ac:dyDescent="0.3">
      <c r="A363" s="2" t="s">
        <v>12</v>
      </c>
      <c r="B363" s="3" t="s">
        <v>175</v>
      </c>
      <c r="C363" s="5" t="s">
        <v>918</v>
      </c>
      <c r="D363" s="3" t="s">
        <v>919</v>
      </c>
      <c r="E363" s="6" t="s">
        <v>920</v>
      </c>
      <c r="F363" s="4" t="s">
        <v>921</v>
      </c>
      <c r="H363" s="2" t="s">
        <v>12</v>
      </c>
      <c r="I363" s="3" t="s">
        <v>1464</v>
      </c>
      <c r="J363" s="5" t="s">
        <v>1594</v>
      </c>
      <c r="K363" s="3" t="s">
        <v>976</v>
      </c>
      <c r="L363" s="6" t="s">
        <v>262</v>
      </c>
      <c r="M363" s="4" t="s">
        <v>1113</v>
      </c>
      <c r="O363" s="2" t="s">
        <v>12</v>
      </c>
      <c r="P363" s="3" t="s">
        <v>808</v>
      </c>
      <c r="Q363" s="6" t="s">
        <v>864</v>
      </c>
      <c r="R363" s="5" t="s">
        <v>1980</v>
      </c>
      <c r="S363" s="4" t="s">
        <v>192</v>
      </c>
      <c r="T363" s="3" t="s">
        <v>1308</v>
      </c>
    </row>
    <row r="364" spans="1:20" x14ac:dyDescent="0.3">
      <c r="A364" s="2" t="s">
        <v>17</v>
      </c>
      <c r="B364" s="3" t="s">
        <v>134</v>
      </c>
      <c r="C364" s="6" t="s">
        <v>150</v>
      </c>
      <c r="D364" s="3" t="s">
        <v>77</v>
      </c>
      <c r="E364" s="4" t="s">
        <v>134</v>
      </c>
      <c r="F364" s="5" t="s">
        <v>466</v>
      </c>
      <c r="H364" s="2" t="s">
        <v>17</v>
      </c>
      <c r="I364" s="3" t="s">
        <v>236</v>
      </c>
      <c r="J364" s="6" t="s">
        <v>155</v>
      </c>
      <c r="K364" s="4" t="s">
        <v>236</v>
      </c>
      <c r="L364" s="5" t="s">
        <v>338</v>
      </c>
      <c r="M364" s="3" t="s">
        <v>542</v>
      </c>
      <c r="O364" s="2" t="s">
        <v>17</v>
      </c>
      <c r="P364" s="3" t="s">
        <v>138</v>
      </c>
      <c r="Q364" s="5" t="s">
        <v>49</v>
      </c>
      <c r="R364" s="6" t="s">
        <v>49</v>
      </c>
      <c r="S364" s="4" t="s">
        <v>268</v>
      </c>
      <c r="T364" s="3" t="s">
        <v>25</v>
      </c>
    </row>
    <row r="365" spans="1:20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267</v>
      </c>
      <c r="J365" s="3" t="s">
        <v>25</v>
      </c>
      <c r="K365" s="3" t="s">
        <v>25</v>
      </c>
      <c r="L365" s="3" t="s">
        <v>25</v>
      </c>
      <c r="M365" s="5" t="s">
        <v>138</v>
      </c>
      <c r="O365" s="2" t="s">
        <v>22</v>
      </c>
      <c r="P365" s="3" t="s">
        <v>258</v>
      </c>
      <c r="Q365" s="3" t="s">
        <v>25</v>
      </c>
      <c r="R365" s="5" t="s">
        <v>268</v>
      </c>
      <c r="S365" s="3" t="s">
        <v>25</v>
      </c>
      <c r="T365" s="3" t="s">
        <v>25</v>
      </c>
    </row>
    <row r="366" spans="1:20" x14ac:dyDescent="0.3">
      <c r="A366" s="7" t="s">
        <v>26</v>
      </c>
      <c r="B366" s="8">
        <v>548</v>
      </c>
      <c r="C366" s="8">
        <v>309</v>
      </c>
      <c r="D366" s="8">
        <v>79</v>
      </c>
      <c r="E366" s="8">
        <v>84</v>
      </c>
      <c r="F366" s="8">
        <v>76</v>
      </c>
      <c r="H366" s="7" t="s">
        <v>26</v>
      </c>
      <c r="I366" s="8">
        <v>401</v>
      </c>
      <c r="J366" s="8">
        <v>137</v>
      </c>
      <c r="K366" s="8">
        <v>82</v>
      </c>
      <c r="L366" s="8">
        <v>96</v>
      </c>
      <c r="M366" s="8">
        <v>86</v>
      </c>
      <c r="O366" s="7" t="s">
        <v>26</v>
      </c>
      <c r="P366" s="8">
        <v>729</v>
      </c>
      <c r="Q366" s="8">
        <v>192</v>
      </c>
      <c r="R366" s="8">
        <v>214</v>
      </c>
      <c r="S366" s="8">
        <v>173</v>
      </c>
      <c r="T366" s="8">
        <v>150</v>
      </c>
    </row>
    <row r="367" spans="1:20" x14ac:dyDescent="0.3">
      <c r="A367" s="9" t="s">
        <v>27</v>
      </c>
      <c r="B367" s="10">
        <v>124</v>
      </c>
      <c r="C367" s="10">
        <v>32</v>
      </c>
      <c r="D367" s="10">
        <v>37</v>
      </c>
      <c r="E367" s="10">
        <v>27</v>
      </c>
      <c r="F367" s="10">
        <v>28</v>
      </c>
      <c r="H367" s="9" t="s">
        <v>27</v>
      </c>
      <c r="I367" s="10">
        <v>128</v>
      </c>
      <c r="J367" s="10">
        <v>34</v>
      </c>
      <c r="K367" s="10">
        <v>37</v>
      </c>
      <c r="L367" s="10">
        <v>30</v>
      </c>
      <c r="M367" s="10">
        <v>27</v>
      </c>
      <c r="O367" s="9" t="s">
        <v>27</v>
      </c>
      <c r="P367" s="10">
        <v>305</v>
      </c>
      <c r="Q367" s="10">
        <v>70</v>
      </c>
      <c r="R367" s="10">
        <v>102</v>
      </c>
      <c r="S367" s="10">
        <v>67</v>
      </c>
      <c r="T367" s="10">
        <v>66</v>
      </c>
    </row>
    <row r="368" spans="1:20" x14ac:dyDescent="0.3">
      <c r="A368" s="9" t="s">
        <v>28</v>
      </c>
      <c r="B368" s="10">
        <v>76</v>
      </c>
      <c r="C368" s="10">
        <v>22</v>
      </c>
      <c r="D368" s="10">
        <v>18</v>
      </c>
      <c r="E368" s="10">
        <v>18</v>
      </c>
      <c r="F368" s="10">
        <v>18</v>
      </c>
      <c r="H368" s="9" t="s">
        <v>28</v>
      </c>
      <c r="I368" s="10">
        <v>96</v>
      </c>
      <c r="J368" s="10">
        <v>40</v>
      </c>
      <c r="K368" s="10">
        <v>18</v>
      </c>
      <c r="L368" s="10">
        <v>20</v>
      </c>
      <c r="M368" s="10">
        <v>18</v>
      </c>
      <c r="O368" s="9" t="s">
        <v>28</v>
      </c>
      <c r="P368" s="10">
        <v>203</v>
      </c>
      <c r="Q368" s="10">
        <v>57</v>
      </c>
      <c r="R368" s="10">
        <v>64</v>
      </c>
      <c r="S368" s="10">
        <v>36</v>
      </c>
      <c r="T368" s="10">
        <v>46</v>
      </c>
    </row>
    <row r="369" spans="1:20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O369" s="9" t="s">
        <v>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3">
      <c r="A370" s="9" t="s">
        <v>30</v>
      </c>
      <c r="B370" s="10">
        <v>79</v>
      </c>
      <c r="C370" s="10">
        <v>16</v>
      </c>
      <c r="D370" s="10">
        <v>17</v>
      </c>
      <c r="E370" s="10">
        <v>27</v>
      </c>
      <c r="F370" s="10">
        <v>19</v>
      </c>
      <c r="H370" s="9" t="s">
        <v>30</v>
      </c>
      <c r="I370" s="10">
        <v>84</v>
      </c>
      <c r="J370" s="10">
        <v>32</v>
      </c>
      <c r="K370" s="10">
        <v>15</v>
      </c>
      <c r="L370" s="10">
        <v>23</v>
      </c>
      <c r="M370" s="10">
        <v>14</v>
      </c>
      <c r="O370" s="9" t="s">
        <v>30</v>
      </c>
      <c r="P370" s="10">
        <v>125</v>
      </c>
      <c r="Q370" s="10">
        <v>29</v>
      </c>
      <c r="R370" s="10">
        <v>36</v>
      </c>
      <c r="S370" s="10">
        <v>44</v>
      </c>
      <c r="T370" s="10">
        <v>16</v>
      </c>
    </row>
    <row r="371" spans="1:20" x14ac:dyDescent="0.3">
      <c r="A371" s="9" t="s">
        <v>31</v>
      </c>
      <c r="B371" s="10">
        <v>269</v>
      </c>
      <c r="C371" s="10">
        <v>239</v>
      </c>
      <c r="D371" s="10">
        <v>7</v>
      </c>
      <c r="E371" s="10">
        <v>12</v>
      </c>
      <c r="F371" s="10">
        <v>11</v>
      </c>
      <c r="H371" s="9" t="s">
        <v>31</v>
      </c>
      <c r="I371" s="10">
        <v>93</v>
      </c>
      <c r="J371" s="10">
        <v>31</v>
      </c>
      <c r="K371" s="10">
        <v>12</v>
      </c>
      <c r="L371" s="10">
        <v>23</v>
      </c>
      <c r="M371" s="10">
        <v>27</v>
      </c>
      <c r="O371" s="9" t="s">
        <v>31</v>
      </c>
      <c r="P371" s="10">
        <v>96</v>
      </c>
      <c r="Q371" s="10">
        <v>36</v>
      </c>
      <c r="R371" s="10">
        <v>12</v>
      </c>
      <c r="S371" s="10">
        <v>26</v>
      </c>
      <c r="T371" s="10">
        <v>22</v>
      </c>
    </row>
    <row r="372" spans="1:20" x14ac:dyDescent="0.3">
      <c r="A372" s="11" t="s">
        <v>32</v>
      </c>
      <c r="B372" s="12">
        <v>25</v>
      </c>
      <c r="C372" s="12">
        <v>7</v>
      </c>
      <c r="D372" s="12">
        <v>4</v>
      </c>
      <c r="E372" s="12">
        <v>6</v>
      </c>
      <c r="F372" s="12">
        <v>8</v>
      </c>
      <c r="H372" s="11" t="s">
        <v>32</v>
      </c>
      <c r="I372" s="12">
        <v>89</v>
      </c>
      <c r="J372" s="12">
        <v>26</v>
      </c>
      <c r="K372" s="12">
        <v>23</v>
      </c>
      <c r="L372" s="12">
        <v>24</v>
      </c>
      <c r="M372" s="12">
        <v>16</v>
      </c>
      <c r="O372" s="11" t="s">
        <v>32</v>
      </c>
      <c r="P372" s="12">
        <v>5</v>
      </c>
      <c r="Q372" s="12">
        <v>2</v>
      </c>
      <c r="R372" s="12">
        <v>2</v>
      </c>
      <c r="S372" s="12">
        <v>1</v>
      </c>
      <c r="T372" s="12">
        <v>0</v>
      </c>
    </row>
    <row r="373" spans="1:20" x14ac:dyDescent="0.3">
      <c r="A373" s="13" t="s">
        <v>33</v>
      </c>
      <c r="B373" s="14">
        <v>1</v>
      </c>
      <c r="C373" s="14">
        <v>0</v>
      </c>
      <c r="D373" s="14">
        <v>0</v>
      </c>
      <c r="E373" s="14">
        <v>0</v>
      </c>
      <c r="F373" s="14">
        <v>1</v>
      </c>
      <c r="H373" s="13" t="s">
        <v>33</v>
      </c>
      <c r="I373" s="14">
        <v>7</v>
      </c>
      <c r="J373" s="14">
        <v>1</v>
      </c>
      <c r="K373" s="14">
        <v>3</v>
      </c>
      <c r="L373" s="14">
        <v>1</v>
      </c>
      <c r="M373" s="14">
        <v>2</v>
      </c>
      <c r="O373" s="13" t="s">
        <v>33</v>
      </c>
      <c r="P373" s="14">
        <v>2</v>
      </c>
      <c r="Q373" s="14">
        <v>2</v>
      </c>
      <c r="R373" s="14">
        <v>0</v>
      </c>
      <c r="S373" s="14">
        <v>0</v>
      </c>
      <c r="T373" s="14">
        <v>0</v>
      </c>
    </row>
    <row r="374" spans="1:20" x14ac:dyDescent="0.3">
      <c r="A374" s="13" t="s">
        <v>34</v>
      </c>
      <c r="B374" s="14">
        <v>24</v>
      </c>
      <c r="C374" s="14">
        <v>7</v>
      </c>
      <c r="D374" s="14">
        <v>4</v>
      </c>
      <c r="E374" s="14">
        <v>6</v>
      </c>
      <c r="F374" s="14">
        <v>7</v>
      </c>
      <c r="H374" s="13" t="s">
        <v>34</v>
      </c>
      <c r="I374" s="14">
        <v>82</v>
      </c>
      <c r="J374" s="14">
        <v>25</v>
      </c>
      <c r="K374" s="14">
        <v>20</v>
      </c>
      <c r="L374" s="14">
        <v>23</v>
      </c>
      <c r="M374" s="14">
        <v>14</v>
      </c>
      <c r="O374" s="13" t="s">
        <v>34</v>
      </c>
      <c r="P374" s="14">
        <v>3</v>
      </c>
      <c r="Q374" s="14">
        <v>0</v>
      </c>
      <c r="R374" s="14">
        <v>2</v>
      </c>
      <c r="S374" s="14">
        <v>1</v>
      </c>
      <c r="T374" s="14">
        <v>0</v>
      </c>
    </row>
    <row r="375" spans="1:20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1</v>
      </c>
      <c r="J375" s="16">
        <v>0</v>
      </c>
      <c r="K375" s="16">
        <v>0</v>
      </c>
      <c r="L375" s="16">
        <v>0</v>
      </c>
      <c r="M375" s="16">
        <v>1</v>
      </c>
      <c r="O375" s="15" t="s">
        <v>35</v>
      </c>
      <c r="P375" s="16">
        <v>1</v>
      </c>
      <c r="Q375" s="16">
        <v>0</v>
      </c>
      <c r="R375" s="16">
        <v>1</v>
      </c>
      <c r="S375" s="16">
        <v>0</v>
      </c>
      <c r="T375" s="16">
        <v>0</v>
      </c>
    </row>
    <row r="376" spans="1:20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F376" s="18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  <c r="O376" s="17" t="s">
        <v>36</v>
      </c>
      <c r="P376" s="138">
        <v>0</v>
      </c>
      <c r="Q376" s="138">
        <v>0</v>
      </c>
      <c r="R376" s="138">
        <v>0</v>
      </c>
      <c r="S376" s="138">
        <v>0</v>
      </c>
      <c r="T376" s="138">
        <v>0</v>
      </c>
    </row>
    <row r="377" spans="1:20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F377" s="18">
        <v>0</v>
      </c>
      <c r="H377" s="17" t="s">
        <v>37</v>
      </c>
      <c r="I377" s="100">
        <v>1</v>
      </c>
      <c r="J377" s="100">
        <v>0</v>
      </c>
      <c r="K377" s="100">
        <v>0</v>
      </c>
      <c r="L377" s="100">
        <v>0</v>
      </c>
      <c r="M377" s="100">
        <v>1</v>
      </c>
      <c r="O377" s="17" t="s">
        <v>37</v>
      </c>
      <c r="P377" s="138">
        <v>1</v>
      </c>
      <c r="Q377" s="138">
        <v>0</v>
      </c>
      <c r="R377" s="138">
        <v>1</v>
      </c>
      <c r="S377" s="138">
        <v>0</v>
      </c>
      <c r="T377" s="138">
        <v>0</v>
      </c>
    </row>
    <row r="378" spans="1:20" x14ac:dyDescent="0.3">
      <c r="A378" s="17" t="s">
        <v>38</v>
      </c>
      <c r="B378" s="167" t="s">
        <v>981</v>
      </c>
      <c r="C378" s="168"/>
      <c r="D378" s="168"/>
      <c r="E378" s="168"/>
      <c r="F378" s="168"/>
      <c r="H378" s="17" t="s">
        <v>38</v>
      </c>
      <c r="I378" s="167" t="s">
        <v>169</v>
      </c>
      <c r="J378" s="168"/>
      <c r="K378" s="168"/>
      <c r="L378" s="168"/>
      <c r="M378" s="168"/>
      <c r="O378" s="17" t="s">
        <v>38</v>
      </c>
      <c r="P378" s="167" t="s">
        <v>103</v>
      </c>
      <c r="Q378" s="168"/>
      <c r="R378" s="168"/>
      <c r="S378" s="168"/>
      <c r="T378" s="168"/>
    </row>
    <row r="379" spans="1:20" ht="19.8" x14ac:dyDescent="0.3">
      <c r="A379" s="170">
        <v>46106</v>
      </c>
      <c r="B379" s="168"/>
      <c r="C379" s="168"/>
      <c r="D379" s="168"/>
      <c r="E379" s="168"/>
      <c r="F379" s="168"/>
      <c r="H379" s="170">
        <v>46134</v>
      </c>
      <c r="I379" s="168"/>
      <c r="J379" s="168"/>
      <c r="K379" s="168"/>
      <c r="L379" s="168"/>
      <c r="M379" s="168"/>
      <c r="O379" s="170">
        <v>46165</v>
      </c>
      <c r="P379" s="168"/>
      <c r="Q379" s="168"/>
      <c r="R379" s="168"/>
      <c r="S379" s="168"/>
      <c r="T379" s="168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  <c r="O380" s="1" t="s">
        <v>0</v>
      </c>
      <c r="P380" s="1" t="s">
        <v>1</v>
      </c>
      <c r="Q380" s="1" t="s">
        <v>2</v>
      </c>
      <c r="R380" s="1" t="s">
        <v>3</v>
      </c>
      <c r="S380" s="1" t="s">
        <v>40</v>
      </c>
      <c r="T380" s="1" t="s">
        <v>4</v>
      </c>
    </row>
    <row r="381" spans="1:20" x14ac:dyDescent="0.3">
      <c r="A381" s="2" t="s">
        <v>5</v>
      </c>
      <c r="B381" s="3">
        <v>5985</v>
      </c>
      <c r="C381" s="3">
        <v>1619</v>
      </c>
      <c r="D381" s="3">
        <v>1652</v>
      </c>
      <c r="E381" s="3">
        <v>1418</v>
      </c>
      <c r="F381" s="3">
        <v>1296</v>
      </c>
      <c r="H381" s="2" t="s">
        <v>5</v>
      </c>
      <c r="I381" s="3">
        <v>6283</v>
      </c>
      <c r="J381" s="3">
        <v>1771</v>
      </c>
      <c r="K381" s="3">
        <v>1642</v>
      </c>
      <c r="L381" s="3">
        <v>1407</v>
      </c>
      <c r="M381" s="3">
        <v>1463</v>
      </c>
      <c r="O381" s="2" t="s">
        <v>5</v>
      </c>
      <c r="P381" s="3">
        <v>6356</v>
      </c>
      <c r="Q381" s="3">
        <v>1571</v>
      </c>
      <c r="R381" s="3">
        <v>1612</v>
      </c>
      <c r="S381" s="3">
        <v>1583</v>
      </c>
      <c r="T381" s="3">
        <v>1590</v>
      </c>
    </row>
    <row r="382" spans="1:20" x14ac:dyDescent="0.3">
      <c r="A382" s="2" t="s">
        <v>6</v>
      </c>
      <c r="B382" s="3">
        <v>636</v>
      </c>
      <c r="C382" s="5">
        <v>341</v>
      </c>
      <c r="D382" s="3">
        <v>88</v>
      </c>
      <c r="E382" s="4">
        <v>96</v>
      </c>
      <c r="F382" s="6">
        <v>111</v>
      </c>
      <c r="H382" s="2" t="s">
        <v>6</v>
      </c>
      <c r="I382" s="3">
        <v>656</v>
      </c>
      <c r="J382" s="5">
        <v>219</v>
      </c>
      <c r="K382" s="4">
        <v>156</v>
      </c>
      <c r="L382" s="6">
        <v>162</v>
      </c>
      <c r="M382" s="3">
        <v>119</v>
      </c>
      <c r="O382" s="2" t="s">
        <v>6</v>
      </c>
      <c r="P382" s="3">
        <v>471</v>
      </c>
      <c r="Q382" s="5">
        <v>152</v>
      </c>
      <c r="R382" s="4">
        <v>100</v>
      </c>
      <c r="S382" s="6">
        <v>126</v>
      </c>
      <c r="T382" s="3">
        <v>93</v>
      </c>
    </row>
    <row r="383" spans="1:20" x14ac:dyDescent="0.3">
      <c r="A383" s="2" t="s">
        <v>7</v>
      </c>
      <c r="B383" s="3" t="s">
        <v>711</v>
      </c>
      <c r="C383" s="5" t="s">
        <v>966</v>
      </c>
      <c r="D383" s="3" t="s">
        <v>693</v>
      </c>
      <c r="E383" s="4" t="s">
        <v>216</v>
      </c>
      <c r="F383" s="6" t="s">
        <v>170</v>
      </c>
      <c r="H383" s="2" t="s">
        <v>7</v>
      </c>
      <c r="I383" s="3" t="s">
        <v>1608</v>
      </c>
      <c r="J383" s="5" t="s">
        <v>1609</v>
      </c>
      <c r="K383" s="4" t="s">
        <v>1610</v>
      </c>
      <c r="L383" s="6" t="s">
        <v>1611</v>
      </c>
      <c r="M383" s="3" t="s">
        <v>1612</v>
      </c>
      <c r="O383" s="2" t="s">
        <v>7</v>
      </c>
      <c r="P383" s="3" t="s">
        <v>601</v>
      </c>
      <c r="Q383" s="5" t="s">
        <v>439</v>
      </c>
      <c r="R383" s="4" t="s">
        <v>459</v>
      </c>
      <c r="S383" s="6" t="s">
        <v>175</v>
      </c>
      <c r="T383" s="3" t="s">
        <v>1023</v>
      </c>
    </row>
    <row r="384" spans="1:20" x14ac:dyDescent="0.3">
      <c r="A384" s="2" t="s">
        <v>12</v>
      </c>
      <c r="B384" s="3" t="s">
        <v>650</v>
      </c>
      <c r="C384" s="5" t="s">
        <v>967</v>
      </c>
      <c r="D384" s="3" t="s">
        <v>968</v>
      </c>
      <c r="E384" s="4" t="s">
        <v>305</v>
      </c>
      <c r="F384" s="6" t="s">
        <v>896</v>
      </c>
      <c r="H384" s="2" t="s">
        <v>12</v>
      </c>
      <c r="I384" s="3" t="s">
        <v>1613</v>
      </c>
      <c r="J384" s="5" t="s">
        <v>1614</v>
      </c>
      <c r="K384" s="3" t="s">
        <v>56</v>
      </c>
      <c r="L384" s="6" t="s">
        <v>845</v>
      </c>
      <c r="M384" s="4" t="s">
        <v>297</v>
      </c>
      <c r="O384" s="2" t="s">
        <v>12</v>
      </c>
      <c r="P384" s="3" t="s">
        <v>767</v>
      </c>
      <c r="Q384" s="5" t="s">
        <v>778</v>
      </c>
      <c r="R384" s="4" t="s">
        <v>1624</v>
      </c>
      <c r="S384" s="6" t="s">
        <v>1668</v>
      </c>
      <c r="T384" s="3" t="s">
        <v>1023</v>
      </c>
    </row>
    <row r="385" spans="1:20" x14ac:dyDescent="0.3">
      <c r="A385" s="2" t="s">
        <v>17</v>
      </c>
      <c r="B385" s="3" t="s">
        <v>418</v>
      </c>
      <c r="C385" s="3" t="s">
        <v>47</v>
      </c>
      <c r="D385" s="4" t="s">
        <v>147</v>
      </c>
      <c r="E385" s="6" t="s">
        <v>135</v>
      </c>
      <c r="F385" s="5" t="s">
        <v>317</v>
      </c>
      <c r="H385" s="2" t="s">
        <v>17</v>
      </c>
      <c r="I385" s="3" t="s">
        <v>353</v>
      </c>
      <c r="J385" s="3" t="s">
        <v>1255</v>
      </c>
      <c r="K385" s="5" t="s">
        <v>474</v>
      </c>
      <c r="L385" s="4" t="s">
        <v>1296</v>
      </c>
      <c r="M385" s="6" t="s">
        <v>546</v>
      </c>
      <c r="O385" s="2" t="s">
        <v>17</v>
      </c>
      <c r="P385" s="3" t="s">
        <v>47</v>
      </c>
      <c r="Q385" s="5" t="s">
        <v>697</v>
      </c>
      <c r="R385" s="3" t="s">
        <v>268</v>
      </c>
      <c r="S385" s="6" t="s">
        <v>268</v>
      </c>
      <c r="T385" s="4" t="s">
        <v>268</v>
      </c>
    </row>
    <row r="386" spans="1:20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552</v>
      </c>
      <c r="J386" s="3" t="s">
        <v>25</v>
      </c>
      <c r="K386" s="3" t="s">
        <v>25</v>
      </c>
      <c r="L386" s="3" t="s">
        <v>25</v>
      </c>
      <c r="M386" s="5" t="s">
        <v>310</v>
      </c>
      <c r="O386" s="2" t="s">
        <v>22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 x14ac:dyDescent="0.3">
      <c r="A387" s="7" t="s">
        <v>26</v>
      </c>
      <c r="B387" s="8">
        <v>620</v>
      </c>
      <c r="C387" s="8">
        <v>337</v>
      </c>
      <c r="D387" s="8">
        <v>83</v>
      </c>
      <c r="E387" s="8">
        <v>93</v>
      </c>
      <c r="F387" s="8">
        <v>107</v>
      </c>
      <c r="H387" s="7" t="s">
        <v>26</v>
      </c>
      <c r="I387" s="8">
        <v>565</v>
      </c>
      <c r="J387" s="8">
        <v>192</v>
      </c>
      <c r="K387" s="8">
        <v>115</v>
      </c>
      <c r="L387" s="8">
        <v>141</v>
      </c>
      <c r="M387" s="8">
        <v>117</v>
      </c>
      <c r="O387" s="7" t="s">
        <v>26</v>
      </c>
      <c r="P387" s="8">
        <v>454</v>
      </c>
      <c r="Q387" s="8">
        <v>137</v>
      </c>
      <c r="R387" s="8">
        <v>99</v>
      </c>
      <c r="S387" s="8">
        <v>125</v>
      </c>
      <c r="T387" s="8">
        <v>93</v>
      </c>
    </row>
    <row r="388" spans="1:20" x14ac:dyDescent="0.3">
      <c r="A388" s="9" t="s">
        <v>27</v>
      </c>
      <c r="B388" s="10">
        <v>163</v>
      </c>
      <c r="C388" s="10">
        <v>37</v>
      </c>
      <c r="D388" s="10">
        <v>44</v>
      </c>
      <c r="E388" s="10">
        <v>34</v>
      </c>
      <c r="F388" s="10">
        <v>48</v>
      </c>
      <c r="H388" s="9" t="s">
        <v>27</v>
      </c>
      <c r="I388" s="10">
        <v>137</v>
      </c>
      <c r="J388" s="10">
        <v>41</v>
      </c>
      <c r="K388" s="10">
        <v>33</v>
      </c>
      <c r="L388" s="10">
        <v>43</v>
      </c>
      <c r="M388" s="10">
        <v>20</v>
      </c>
      <c r="O388" s="9" t="s">
        <v>27</v>
      </c>
      <c r="P388" s="10">
        <v>209</v>
      </c>
      <c r="Q388" s="10">
        <v>50</v>
      </c>
      <c r="R388" s="10">
        <v>54</v>
      </c>
      <c r="S388" s="10">
        <v>54</v>
      </c>
      <c r="T388" s="10">
        <v>51</v>
      </c>
    </row>
    <row r="389" spans="1:20" x14ac:dyDescent="0.3">
      <c r="A389" s="9" t="s">
        <v>28</v>
      </c>
      <c r="B389" s="10">
        <v>69</v>
      </c>
      <c r="C389" s="10">
        <v>21</v>
      </c>
      <c r="D389" s="10">
        <v>14</v>
      </c>
      <c r="E389" s="10">
        <v>18</v>
      </c>
      <c r="F389" s="10">
        <v>16</v>
      </c>
      <c r="H389" s="9" t="s">
        <v>28</v>
      </c>
      <c r="I389" s="10">
        <v>120</v>
      </c>
      <c r="J389" s="10">
        <v>35</v>
      </c>
      <c r="K389" s="10">
        <v>34</v>
      </c>
      <c r="L389" s="10">
        <v>26</v>
      </c>
      <c r="M389" s="10">
        <v>25</v>
      </c>
      <c r="O389" s="9" t="s">
        <v>28</v>
      </c>
      <c r="P389" s="10">
        <v>130</v>
      </c>
      <c r="Q389" s="10">
        <v>41</v>
      </c>
      <c r="R389" s="10">
        <v>27</v>
      </c>
      <c r="S389" s="10">
        <v>34</v>
      </c>
      <c r="T389" s="10">
        <v>28</v>
      </c>
    </row>
    <row r="390" spans="1:20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O390" s="9" t="s">
        <v>29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s="9" t="s">
        <v>30</v>
      </c>
      <c r="B391" s="10">
        <v>94</v>
      </c>
      <c r="C391" s="10">
        <v>23</v>
      </c>
      <c r="D391" s="10">
        <v>19</v>
      </c>
      <c r="E391" s="10">
        <v>21</v>
      </c>
      <c r="F391" s="10">
        <v>31</v>
      </c>
      <c r="H391" s="9" t="s">
        <v>30</v>
      </c>
      <c r="I391" s="10">
        <v>84</v>
      </c>
      <c r="J391" s="10">
        <v>35</v>
      </c>
      <c r="K391" s="10">
        <v>15</v>
      </c>
      <c r="L391" s="10">
        <v>20</v>
      </c>
      <c r="M391" s="10">
        <v>14</v>
      </c>
      <c r="O391" s="9" t="s">
        <v>30</v>
      </c>
      <c r="P391" s="10">
        <v>50</v>
      </c>
      <c r="Q391" s="10">
        <v>16</v>
      </c>
      <c r="R391" s="10">
        <v>9</v>
      </c>
      <c r="S391" s="10">
        <v>18</v>
      </c>
      <c r="T391" s="10">
        <v>7</v>
      </c>
    </row>
    <row r="392" spans="1:20" x14ac:dyDescent="0.3">
      <c r="A392" s="9" t="s">
        <v>31</v>
      </c>
      <c r="B392" s="10">
        <v>294</v>
      </c>
      <c r="C392" s="10">
        <v>256</v>
      </c>
      <c r="D392" s="10">
        <v>6</v>
      </c>
      <c r="E392" s="10">
        <v>20</v>
      </c>
      <c r="F392" s="10">
        <v>12</v>
      </c>
      <c r="H392" s="9" t="s">
        <v>31</v>
      </c>
      <c r="I392" s="10">
        <v>224</v>
      </c>
      <c r="J392" s="10">
        <v>81</v>
      </c>
      <c r="K392" s="10">
        <v>33</v>
      </c>
      <c r="L392" s="10">
        <v>52</v>
      </c>
      <c r="M392" s="10">
        <v>58</v>
      </c>
      <c r="O392" s="9" t="s">
        <v>31</v>
      </c>
      <c r="P392" s="10">
        <v>65</v>
      </c>
      <c r="Q392" s="10">
        <v>30</v>
      </c>
      <c r="R392" s="10">
        <v>9</v>
      </c>
      <c r="S392" s="10">
        <v>19</v>
      </c>
      <c r="T392" s="10">
        <v>7</v>
      </c>
    </row>
    <row r="393" spans="1:20" x14ac:dyDescent="0.3">
      <c r="A393" s="11" t="s">
        <v>32</v>
      </c>
      <c r="B393" s="12">
        <v>20</v>
      </c>
      <c r="C393" s="12">
        <v>4</v>
      </c>
      <c r="D393" s="12">
        <v>5</v>
      </c>
      <c r="E393" s="12">
        <v>5</v>
      </c>
      <c r="F393" s="12">
        <v>6</v>
      </c>
      <c r="H393" s="11" t="s">
        <v>32</v>
      </c>
      <c r="I393" s="12">
        <v>101</v>
      </c>
      <c r="J393" s="12">
        <v>22</v>
      </c>
      <c r="K393" s="12">
        <v>33</v>
      </c>
      <c r="L393" s="12">
        <v>20</v>
      </c>
      <c r="M393" s="12">
        <v>26</v>
      </c>
      <c r="O393" s="11" t="s">
        <v>32</v>
      </c>
      <c r="P393" s="12">
        <v>16</v>
      </c>
      <c r="Q393" s="12">
        <v>13</v>
      </c>
      <c r="R393" s="12">
        <v>1</v>
      </c>
      <c r="S393" s="12">
        <v>1</v>
      </c>
      <c r="T393" s="12">
        <v>1</v>
      </c>
    </row>
    <row r="394" spans="1:20" x14ac:dyDescent="0.3">
      <c r="A394" s="13" t="s">
        <v>33</v>
      </c>
      <c r="B394" s="14">
        <v>3</v>
      </c>
      <c r="C394" s="14">
        <v>0</v>
      </c>
      <c r="D394" s="14">
        <v>0</v>
      </c>
      <c r="E394" s="14">
        <v>1</v>
      </c>
      <c r="F394" s="14">
        <v>2</v>
      </c>
      <c r="H394" s="13" t="s">
        <v>33</v>
      </c>
      <c r="I394" s="14">
        <v>1</v>
      </c>
      <c r="J394" s="14">
        <v>0</v>
      </c>
      <c r="K394" s="14">
        <v>0</v>
      </c>
      <c r="L394" s="14">
        <v>0</v>
      </c>
      <c r="M394" s="14">
        <v>1</v>
      </c>
      <c r="O394" s="13" t="s">
        <v>33</v>
      </c>
      <c r="P394" s="14">
        <v>11</v>
      </c>
      <c r="Q394" s="14">
        <v>11</v>
      </c>
      <c r="R394" s="14">
        <v>0</v>
      </c>
      <c r="S394" s="14">
        <v>0</v>
      </c>
      <c r="T394" s="14">
        <v>0</v>
      </c>
    </row>
    <row r="395" spans="1:20" x14ac:dyDescent="0.3">
      <c r="A395" s="13" t="s">
        <v>34</v>
      </c>
      <c r="B395" s="14">
        <v>17</v>
      </c>
      <c r="C395" s="14">
        <v>4</v>
      </c>
      <c r="D395" s="14">
        <v>5</v>
      </c>
      <c r="E395" s="14">
        <v>4</v>
      </c>
      <c r="F395" s="14">
        <v>4</v>
      </c>
      <c r="H395" s="13" t="s">
        <v>34</v>
      </c>
      <c r="I395" s="14">
        <v>100</v>
      </c>
      <c r="J395" s="14">
        <v>22</v>
      </c>
      <c r="K395" s="14">
        <v>33</v>
      </c>
      <c r="L395" s="14">
        <v>20</v>
      </c>
      <c r="M395" s="14">
        <v>25</v>
      </c>
      <c r="O395" s="13" t="s">
        <v>34</v>
      </c>
      <c r="P395" s="14">
        <v>5</v>
      </c>
      <c r="Q395" s="14">
        <v>2</v>
      </c>
      <c r="R395" s="14">
        <v>1</v>
      </c>
      <c r="S395" s="14">
        <v>1</v>
      </c>
      <c r="T395" s="14">
        <v>1</v>
      </c>
    </row>
    <row r="396" spans="1:20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v>2</v>
      </c>
      <c r="J396" s="16">
        <v>0</v>
      </c>
      <c r="K396" s="16">
        <v>0</v>
      </c>
      <c r="L396" s="16">
        <v>0</v>
      </c>
      <c r="M396" s="16">
        <v>2</v>
      </c>
      <c r="O396" s="15" t="s">
        <v>35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</row>
    <row r="397" spans="1:20" x14ac:dyDescent="0.3">
      <c r="A397" s="17" t="s">
        <v>36</v>
      </c>
      <c r="B397" s="19">
        <v>0</v>
      </c>
      <c r="C397" s="19">
        <v>0</v>
      </c>
      <c r="D397" s="19">
        <v>0</v>
      </c>
      <c r="E397" s="19">
        <v>0</v>
      </c>
      <c r="F397" s="19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O397" s="17" t="s">
        <v>36</v>
      </c>
      <c r="P397" s="138">
        <v>0</v>
      </c>
      <c r="Q397" s="138">
        <v>0</v>
      </c>
      <c r="R397" s="138">
        <v>0</v>
      </c>
      <c r="S397" s="138">
        <v>0</v>
      </c>
      <c r="T397" s="138">
        <v>0</v>
      </c>
    </row>
    <row r="398" spans="1:20" x14ac:dyDescent="0.3">
      <c r="A398" s="17" t="s">
        <v>37</v>
      </c>
      <c r="B398" s="19">
        <v>0</v>
      </c>
      <c r="C398" s="19">
        <v>0</v>
      </c>
      <c r="D398" s="19">
        <v>0</v>
      </c>
      <c r="E398" s="19">
        <v>0</v>
      </c>
      <c r="F398" s="19">
        <v>0</v>
      </c>
      <c r="H398" s="17" t="s">
        <v>37</v>
      </c>
      <c r="I398" s="100">
        <v>2</v>
      </c>
      <c r="J398" s="100">
        <v>0</v>
      </c>
      <c r="K398" s="100">
        <v>0</v>
      </c>
      <c r="L398" s="100">
        <v>0</v>
      </c>
      <c r="M398" s="100">
        <v>2</v>
      </c>
      <c r="O398" s="17" t="s">
        <v>37</v>
      </c>
      <c r="P398" s="138">
        <v>0</v>
      </c>
      <c r="Q398" s="138">
        <v>0</v>
      </c>
      <c r="R398" s="138">
        <v>0</v>
      </c>
      <c r="S398" s="138">
        <v>0</v>
      </c>
      <c r="T398" s="138">
        <v>0</v>
      </c>
    </row>
    <row r="399" spans="1:20" x14ac:dyDescent="0.3">
      <c r="A399" s="17" t="s">
        <v>38</v>
      </c>
      <c r="B399" s="167" t="s">
        <v>103</v>
      </c>
      <c r="C399" s="168"/>
      <c r="D399" s="168"/>
      <c r="E399" s="168"/>
      <c r="F399" s="168"/>
      <c r="H399" s="17" t="s">
        <v>38</v>
      </c>
      <c r="I399" s="167" t="s">
        <v>103</v>
      </c>
      <c r="J399" s="168"/>
      <c r="K399" s="168"/>
      <c r="L399" s="168"/>
      <c r="M399" s="168"/>
      <c r="O399" s="17" t="s">
        <v>38</v>
      </c>
      <c r="P399" s="167" t="s">
        <v>103</v>
      </c>
      <c r="Q399" s="168"/>
      <c r="R399" s="168"/>
      <c r="S399" s="168"/>
      <c r="T399" s="168"/>
    </row>
    <row r="400" spans="1:20" ht="19.8" x14ac:dyDescent="0.3">
      <c r="A400" s="170">
        <v>46107</v>
      </c>
      <c r="B400" s="168"/>
      <c r="C400" s="168"/>
      <c r="D400" s="168"/>
      <c r="E400" s="168"/>
      <c r="F400" s="168"/>
      <c r="H400" s="170">
        <v>46135</v>
      </c>
      <c r="I400" s="168"/>
      <c r="J400" s="168"/>
      <c r="K400" s="168"/>
      <c r="L400" s="168"/>
      <c r="M400" s="168"/>
      <c r="O400" s="170">
        <v>46167</v>
      </c>
      <c r="P400" s="168"/>
      <c r="Q400" s="168"/>
      <c r="R400" s="168"/>
      <c r="S400" s="168"/>
      <c r="T400" s="168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  <c r="O401" s="1" t="s">
        <v>0</v>
      </c>
      <c r="P401" s="1" t="s">
        <v>1</v>
      </c>
      <c r="Q401" s="1" t="s">
        <v>2</v>
      </c>
      <c r="R401" s="1" t="s">
        <v>3</v>
      </c>
      <c r="S401" s="1" t="s">
        <v>40</v>
      </c>
      <c r="T401" s="1" t="s">
        <v>4</v>
      </c>
    </row>
    <row r="402" spans="1:20" x14ac:dyDescent="0.3">
      <c r="A402" s="2" t="s">
        <v>5</v>
      </c>
      <c r="B402" s="3">
        <v>6646</v>
      </c>
      <c r="C402" s="3">
        <v>1837</v>
      </c>
      <c r="D402" s="3">
        <v>1887</v>
      </c>
      <c r="E402" s="3">
        <v>1746</v>
      </c>
      <c r="F402" s="3">
        <v>1176</v>
      </c>
      <c r="H402" s="2" t="s">
        <v>5</v>
      </c>
      <c r="I402" s="3">
        <v>6288</v>
      </c>
      <c r="J402" s="3">
        <v>1723</v>
      </c>
      <c r="K402" s="3">
        <v>1606</v>
      </c>
      <c r="L402" s="3">
        <v>1434</v>
      </c>
      <c r="M402" s="3">
        <v>1525</v>
      </c>
      <c r="O402" s="2" t="s">
        <v>5</v>
      </c>
      <c r="P402" s="3">
        <v>4938</v>
      </c>
      <c r="Q402" s="3">
        <v>1210</v>
      </c>
      <c r="R402" s="3">
        <v>1310</v>
      </c>
      <c r="S402" s="3">
        <v>1241</v>
      </c>
      <c r="T402" s="3">
        <v>1177</v>
      </c>
    </row>
    <row r="403" spans="1:20" x14ac:dyDescent="0.3">
      <c r="A403" s="2" t="s">
        <v>6</v>
      </c>
      <c r="B403" s="3">
        <v>503</v>
      </c>
      <c r="C403" s="5">
        <v>312</v>
      </c>
      <c r="D403" s="6">
        <v>73</v>
      </c>
      <c r="E403" s="4">
        <v>72</v>
      </c>
      <c r="F403" s="3">
        <v>46</v>
      </c>
      <c r="H403" s="2" t="s">
        <v>6</v>
      </c>
      <c r="I403" s="3">
        <v>708</v>
      </c>
      <c r="J403" s="5">
        <v>221</v>
      </c>
      <c r="K403" s="3">
        <v>138</v>
      </c>
      <c r="L403" s="6">
        <v>191</v>
      </c>
      <c r="M403" s="4">
        <v>158</v>
      </c>
      <c r="O403" s="2" t="s">
        <v>6</v>
      </c>
      <c r="P403" s="3">
        <v>653</v>
      </c>
      <c r="Q403" s="5">
        <v>236</v>
      </c>
      <c r="R403" s="3">
        <v>133</v>
      </c>
      <c r="S403" s="4">
        <v>141</v>
      </c>
      <c r="T403" s="6">
        <v>143</v>
      </c>
    </row>
    <row r="404" spans="1:20" x14ac:dyDescent="0.3">
      <c r="A404" s="2" t="s">
        <v>7</v>
      </c>
      <c r="B404" s="3" t="s">
        <v>189</v>
      </c>
      <c r="C404" s="5" t="s">
        <v>1004</v>
      </c>
      <c r="D404" s="3" t="s">
        <v>142</v>
      </c>
      <c r="E404" s="6" t="s">
        <v>1005</v>
      </c>
      <c r="F404" s="4" t="s">
        <v>640</v>
      </c>
      <c r="H404" s="2" t="s">
        <v>7</v>
      </c>
      <c r="I404" s="3" t="s">
        <v>1631</v>
      </c>
      <c r="J404" s="6" t="s">
        <v>1632</v>
      </c>
      <c r="K404" s="3" t="s">
        <v>483</v>
      </c>
      <c r="L404" s="5" t="s">
        <v>1633</v>
      </c>
      <c r="M404" s="4" t="s">
        <v>650</v>
      </c>
      <c r="O404" s="2" t="s">
        <v>7</v>
      </c>
      <c r="P404" s="3" t="s">
        <v>1592</v>
      </c>
      <c r="Q404" s="5" t="s">
        <v>1996</v>
      </c>
      <c r="R404" s="3" t="s">
        <v>1997</v>
      </c>
      <c r="S404" s="4" t="s">
        <v>1760</v>
      </c>
      <c r="T404" s="6" t="s">
        <v>1658</v>
      </c>
    </row>
    <row r="405" spans="1:20" x14ac:dyDescent="0.3">
      <c r="A405" s="2" t="s">
        <v>12</v>
      </c>
      <c r="B405" s="3" t="s">
        <v>518</v>
      </c>
      <c r="C405" s="5" t="s">
        <v>1006</v>
      </c>
      <c r="D405" s="3" t="s">
        <v>1007</v>
      </c>
      <c r="E405" s="4" t="s">
        <v>343</v>
      </c>
      <c r="F405" s="6" t="s">
        <v>640</v>
      </c>
      <c r="H405" s="2" t="s">
        <v>12</v>
      </c>
      <c r="I405" s="3" t="s">
        <v>543</v>
      </c>
      <c r="J405" s="5" t="s">
        <v>265</v>
      </c>
      <c r="K405" s="3" t="s">
        <v>1054</v>
      </c>
      <c r="L405" s="6" t="s">
        <v>755</v>
      </c>
      <c r="M405" s="4" t="s">
        <v>1165</v>
      </c>
      <c r="O405" s="2" t="s">
        <v>12</v>
      </c>
      <c r="P405" s="3" t="s">
        <v>687</v>
      </c>
      <c r="Q405" s="5" t="s">
        <v>1998</v>
      </c>
      <c r="R405" s="3" t="s">
        <v>1300</v>
      </c>
      <c r="S405" s="4" t="s">
        <v>1514</v>
      </c>
      <c r="T405" s="6" t="s">
        <v>1658</v>
      </c>
    </row>
    <row r="406" spans="1:20" x14ac:dyDescent="0.3">
      <c r="A406" s="2" t="s">
        <v>17</v>
      </c>
      <c r="B406" s="3" t="s">
        <v>134</v>
      </c>
      <c r="C406" s="4" t="s">
        <v>88</v>
      </c>
      <c r="D406" s="5" t="s">
        <v>153</v>
      </c>
      <c r="E406" s="6" t="s">
        <v>317</v>
      </c>
      <c r="F406" s="3" t="s">
        <v>108</v>
      </c>
      <c r="H406" s="2" t="s">
        <v>17</v>
      </c>
      <c r="I406" s="3" t="s">
        <v>357</v>
      </c>
      <c r="J406" s="3" t="s">
        <v>1045</v>
      </c>
      <c r="K406" s="4" t="s">
        <v>578</v>
      </c>
      <c r="L406" s="6" t="s">
        <v>590</v>
      </c>
      <c r="M406" s="5" t="s">
        <v>68</v>
      </c>
      <c r="O406" s="2" t="s">
        <v>17</v>
      </c>
      <c r="P406" s="3" t="s">
        <v>505</v>
      </c>
      <c r="Q406" s="5" t="s">
        <v>837</v>
      </c>
      <c r="R406" s="4" t="s">
        <v>309</v>
      </c>
      <c r="S406" s="6" t="s">
        <v>154</v>
      </c>
      <c r="T406" s="3" t="s">
        <v>25</v>
      </c>
    </row>
    <row r="407" spans="1:20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H407" s="2" t="s">
        <v>22</v>
      </c>
      <c r="I407" s="3" t="s">
        <v>552</v>
      </c>
      <c r="J407" s="3" t="s">
        <v>25</v>
      </c>
      <c r="K407" s="3" t="s">
        <v>25</v>
      </c>
      <c r="L407" s="3" t="s">
        <v>25</v>
      </c>
      <c r="M407" s="5" t="s">
        <v>75</v>
      </c>
      <c r="O407" s="2" t="s">
        <v>22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 x14ac:dyDescent="0.3">
      <c r="A408" s="7" t="s">
        <v>26</v>
      </c>
      <c r="B408" s="8">
        <v>484</v>
      </c>
      <c r="C408" s="8">
        <v>306</v>
      </c>
      <c r="D408" s="8">
        <v>64</v>
      </c>
      <c r="E408" s="8">
        <v>68</v>
      </c>
      <c r="F408" s="8">
        <v>46</v>
      </c>
      <c r="H408" s="7" t="s">
        <v>26</v>
      </c>
      <c r="I408" s="8">
        <v>581</v>
      </c>
      <c r="J408" s="8">
        <v>180</v>
      </c>
      <c r="K408" s="8">
        <v>100</v>
      </c>
      <c r="L408" s="8">
        <v>147</v>
      </c>
      <c r="M408" s="8">
        <v>154</v>
      </c>
      <c r="O408" s="7" t="s">
        <v>26</v>
      </c>
      <c r="P408" s="8">
        <v>585</v>
      </c>
      <c r="Q408" s="8">
        <v>171</v>
      </c>
      <c r="R408" s="8">
        <v>132</v>
      </c>
      <c r="S408" s="8">
        <v>139</v>
      </c>
      <c r="T408" s="8">
        <v>143</v>
      </c>
    </row>
    <row r="409" spans="1:20" x14ac:dyDescent="0.3">
      <c r="A409" s="9" t="s">
        <v>27</v>
      </c>
      <c r="B409" s="10">
        <v>101</v>
      </c>
      <c r="C409" s="10">
        <v>25</v>
      </c>
      <c r="D409" s="10">
        <v>32</v>
      </c>
      <c r="E409" s="10">
        <v>27</v>
      </c>
      <c r="F409" s="10">
        <v>17</v>
      </c>
      <c r="H409" s="9" t="s">
        <v>27</v>
      </c>
      <c r="I409" s="10">
        <v>114</v>
      </c>
      <c r="J409" s="10">
        <v>34</v>
      </c>
      <c r="K409" s="10">
        <v>27</v>
      </c>
      <c r="L409" s="10">
        <v>34</v>
      </c>
      <c r="M409" s="10">
        <v>19</v>
      </c>
      <c r="O409" s="9" t="s">
        <v>27</v>
      </c>
      <c r="P409" s="10">
        <v>226</v>
      </c>
      <c r="Q409" s="10">
        <v>65</v>
      </c>
      <c r="R409" s="10">
        <v>55</v>
      </c>
      <c r="S409" s="10">
        <v>53</v>
      </c>
      <c r="T409" s="10">
        <v>53</v>
      </c>
    </row>
    <row r="410" spans="1:20" x14ac:dyDescent="0.3">
      <c r="A410" s="9" t="s">
        <v>28</v>
      </c>
      <c r="B410" s="10">
        <v>53</v>
      </c>
      <c r="C410" s="10">
        <v>13</v>
      </c>
      <c r="D410" s="10">
        <v>18</v>
      </c>
      <c r="E410" s="10">
        <v>11</v>
      </c>
      <c r="F410" s="10">
        <v>11</v>
      </c>
      <c r="H410" s="9" t="s">
        <v>28</v>
      </c>
      <c r="I410" s="10">
        <v>98</v>
      </c>
      <c r="J410" s="10">
        <v>34</v>
      </c>
      <c r="K410" s="10">
        <v>27</v>
      </c>
      <c r="L410" s="10">
        <v>12</v>
      </c>
      <c r="M410" s="10">
        <v>25</v>
      </c>
      <c r="O410" s="9" t="s">
        <v>28</v>
      </c>
      <c r="P410" s="10">
        <v>133</v>
      </c>
      <c r="Q410" s="10">
        <v>35</v>
      </c>
      <c r="R410" s="10">
        <v>36</v>
      </c>
      <c r="S410" s="10">
        <v>28</v>
      </c>
      <c r="T410" s="10">
        <v>34</v>
      </c>
    </row>
    <row r="411" spans="1:20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O411" s="9" t="s">
        <v>29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s="9" t="s">
        <v>30</v>
      </c>
      <c r="B412" s="10">
        <v>62</v>
      </c>
      <c r="C412" s="10">
        <v>13</v>
      </c>
      <c r="D412" s="10">
        <v>12</v>
      </c>
      <c r="E412" s="10">
        <v>24</v>
      </c>
      <c r="F412" s="10">
        <v>13</v>
      </c>
      <c r="H412" s="9" t="s">
        <v>30</v>
      </c>
      <c r="I412" s="10">
        <v>58</v>
      </c>
      <c r="J412" s="10">
        <v>13</v>
      </c>
      <c r="K412" s="10">
        <v>14</v>
      </c>
      <c r="L412" s="10">
        <v>20</v>
      </c>
      <c r="M412" s="10">
        <v>11</v>
      </c>
      <c r="O412" s="9" t="s">
        <v>30</v>
      </c>
      <c r="P412" s="10">
        <v>103</v>
      </c>
      <c r="Q412" s="10">
        <v>22</v>
      </c>
      <c r="R412" s="10">
        <v>25</v>
      </c>
      <c r="S412" s="10">
        <v>31</v>
      </c>
      <c r="T412" s="10">
        <v>25</v>
      </c>
    </row>
    <row r="413" spans="1:20" x14ac:dyDescent="0.3">
      <c r="A413" s="9" t="s">
        <v>31</v>
      </c>
      <c r="B413" s="10">
        <v>268</v>
      </c>
      <c r="C413" s="10">
        <v>255</v>
      </c>
      <c r="D413" s="10">
        <v>2</v>
      </c>
      <c r="E413" s="10">
        <v>6</v>
      </c>
      <c r="F413" s="10">
        <v>5</v>
      </c>
      <c r="H413" s="9" t="s">
        <v>31</v>
      </c>
      <c r="I413" s="10">
        <v>311</v>
      </c>
      <c r="J413" s="10">
        <v>99</v>
      </c>
      <c r="K413" s="10">
        <v>32</v>
      </c>
      <c r="L413" s="10">
        <v>81</v>
      </c>
      <c r="M413" s="10">
        <v>99</v>
      </c>
      <c r="O413" s="9" t="s">
        <v>31</v>
      </c>
      <c r="P413" s="10">
        <v>123</v>
      </c>
      <c r="Q413" s="10">
        <v>49</v>
      </c>
      <c r="R413" s="10">
        <v>16</v>
      </c>
      <c r="S413" s="10">
        <v>27</v>
      </c>
      <c r="T413" s="10">
        <v>31</v>
      </c>
    </row>
    <row r="414" spans="1:20" x14ac:dyDescent="0.3">
      <c r="A414" s="11" t="s">
        <v>32</v>
      </c>
      <c r="B414" s="12">
        <v>24</v>
      </c>
      <c r="C414" s="12">
        <v>5</v>
      </c>
      <c r="D414" s="12">
        <v>9</v>
      </c>
      <c r="E414" s="12">
        <v>8</v>
      </c>
      <c r="F414" s="12">
        <v>2</v>
      </c>
      <c r="H414" s="11" t="s">
        <v>32</v>
      </c>
      <c r="I414" s="12">
        <v>163</v>
      </c>
      <c r="J414" s="12">
        <v>38</v>
      </c>
      <c r="K414" s="12">
        <v>37</v>
      </c>
      <c r="L414" s="12">
        <v>40</v>
      </c>
      <c r="M414" s="12">
        <v>48</v>
      </c>
      <c r="O414" s="11" t="s">
        <v>32</v>
      </c>
      <c r="P414" s="12">
        <v>59</v>
      </c>
      <c r="Q414" s="12">
        <v>56</v>
      </c>
      <c r="R414" s="12">
        <v>1</v>
      </c>
      <c r="S414" s="12">
        <v>2</v>
      </c>
      <c r="T414" s="12">
        <v>0</v>
      </c>
    </row>
    <row r="415" spans="1:20" x14ac:dyDescent="0.3">
      <c r="A415" s="13" t="s">
        <v>33</v>
      </c>
      <c r="B415" s="14">
        <v>4</v>
      </c>
      <c r="C415" s="14">
        <v>1</v>
      </c>
      <c r="D415" s="14">
        <v>1</v>
      </c>
      <c r="E415" s="14">
        <v>2</v>
      </c>
      <c r="F415" s="14">
        <v>0</v>
      </c>
      <c r="H415" s="13" t="s">
        <v>33</v>
      </c>
      <c r="I415" s="14">
        <v>1</v>
      </c>
      <c r="J415" s="14">
        <v>1</v>
      </c>
      <c r="K415" s="14">
        <v>0</v>
      </c>
      <c r="L415" s="14">
        <v>0</v>
      </c>
      <c r="M415" s="14">
        <v>0</v>
      </c>
      <c r="O415" s="13" t="s">
        <v>33</v>
      </c>
      <c r="P415" s="14">
        <v>56</v>
      </c>
      <c r="Q415" s="14">
        <v>56</v>
      </c>
      <c r="R415" s="14">
        <v>0</v>
      </c>
      <c r="S415" s="14">
        <v>0</v>
      </c>
      <c r="T415" s="14">
        <v>0</v>
      </c>
    </row>
    <row r="416" spans="1:20" x14ac:dyDescent="0.3">
      <c r="A416" s="13" t="s">
        <v>34</v>
      </c>
      <c r="B416" s="14">
        <v>20</v>
      </c>
      <c r="C416" s="14">
        <v>4</v>
      </c>
      <c r="D416" s="14">
        <v>8</v>
      </c>
      <c r="E416" s="14">
        <v>6</v>
      </c>
      <c r="F416" s="14">
        <v>2</v>
      </c>
      <c r="H416" s="13" t="s">
        <v>34</v>
      </c>
      <c r="I416" s="14">
        <v>162</v>
      </c>
      <c r="J416" s="14">
        <v>37</v>
      </c>
      <c r="K416" s="14">
        <v>37</v>
      </c>
      <c r="L416" s="14">
        <v>40</v>
      </c>
      <c r="M416" s="14">
        <v>48</v>
      </c>
      <c r="O416" s="13" t="s">
        <v>34</v>
      </c>
      <c r="P416" s="14">
        <v>3</v>
      </c>
      <c r="Q416" s="14">
        <v>0</v>
      </c>
      <c r="R416" s="14">
        <v>1</v>
      </c>
      <c r="S416" s="14">
        <v>2</v>
      </c>
      <c r="T416" s="14">
        <v>0</v>
      </c>
    </row>
    <row r="417" spans="1:20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H417" s="15" t="s">
        <v>35</v>
      </c>
      <c r="I417" s="16">
        <v>2</v>
      </c>
      <c r="J417" s="16">
        <v>0</v>
      </c>
      <c r="K417" s="16">
        <v>0</v>
      </c>
      <c r="L417" s="16">
        <v>0</v>
      </c>
      <c r="M417" s="16">
        <v>2</v>
      </c>
      <c r="O417" s="15" t="s">
        <v>35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</row>
    <row r="418" spans="1:20" x14ac:dyDescent="0.3">
      <c r="A418" s="17" t="s">
        <v>36</v>
      </c>
      <c r="B418" s="34">
        <v>0</v>
      </c>
      <c r="C418" s="34">
        <v>0</v>
      </c>
      <c r="D418" s="34">
        <v>0</v>
      </c>
      <c r="E418" s="34">
        <v>0</v>
      </c>
      <c r="F418" s="34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  <c r="O418" s="17" t="s">
        <v>36</v>
      </c>
      <c r="P418" s="138">
        <v>0</v>
      </c>
      <c r="Q418" s="138">
        <v>0</v>
      </c>
      <c r="R418" s="138">
        <v>0</v>
      </c>
      <c r="S418" s="138">
        <v>0</v>
      </c>
      <c r="T418" s="138">
        <v>0</v>
      </c>
    </row>
    <row r="419" spans="1:20" x14ac:dyDescent="0.3">
      <c r="A419" s="17" t="s">
        <v>37</v>
      </c>
      <c r="B419" s="34">
        <v>0</v>
      </c>
      <c r="C419" s="34">
        <v>0</v>
      </c>
      <c r="D419" s="34">
        <v>0</v>
      </c>
      <c r="E419" s="34">
        <v>0</v>
      </c>
      <c r="F419" s="34">
        <v>0</v>
      </c>
      <c r="H419" s="17" t="s">
        <v>37</v>
      </c>
      <c r="I419" s="103">
        <v>2</v>
      </c>
      <c r="J419" s="103">
        <v>0</v>
      </c>
      <c r="K419" s="103">
        <v>0</v>
      </c>
      <c r="L419" s="103">
        <v>0</v>
      </c>
      <c r="M419" s="103">
        <v>2</v>
      </c>
      <c r="O419" s="17" t="s">
        <v>37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x14ac:dyDescent="0.3">
      <c r="A420" s="17" t="s">
        <v>38</v>
      </c>
      <c r="B420" s="167" t="s">
        <v>103</v>
      </c>
      <c r="C420" s="168"/>
      <c r="D420" s="168"/>
      <c r="E420" s="168"/>
      <c r="F420" s="168"/>
      <c r="H420" s="17" t="s">
        <v>38</v>
      </c>
      <c r="I420" s="167" t="s">
        <v>103</v>
      </c>
      <c r="J420" s="168"/>
      <c r="K420" s="168"/>
      <c r="L420" s="168"/>
      <c r="M420" s="168"/>
      <c r="O420" s="17" t="s">
        <v>38</v>
      </c>
      <c r="P420" s="167" t="s">
        <v>103</v>
      </c>
      <c r="Q420" s="168"/>
      <c r="R420" s="168"/>
      <c r="S420" s="168"/>
      <c r="T420" s="168"/>
    </row>
    <row r="421" spans="1:20" ht="19.8" x14ac:dyDescent="0.3">
      <c r="A421" s="170">
        <v>46108</v>
      </c>
      <c r="B421" s="168"/>
      <c r="C421" s="168"/>
      <c r="D421" s="168"/>
      <c r="E421" s="168"/>
      <c r="F421" s="168"/>
      <c r="H421" s="170">
        <v>46136</v>
      </c>
      <c r="I421" s="168"/>
      <c r="J421" s="168"/>
      <c r="K421" s="168"/>
      <c r="L421" s="168"/>
      <c r="M421" s="168"/>
      <c r="O421" s="170">
        <v>46168</v>
      </c>
      <c r="P421" s="168"/>
      <c r="Q421" s="168"/>
      <c r="R421" s="168"/>
      <c r="S421" s="168"/>
      <c r="T421" s="168"/>
    </row>
    <row r="422" spans="1:20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  <c r="O422" s="1" t="s">
        <v>0</v>
      </c>
      <c r="P422" s="1" t="s">
        <v>1</v>
      </c>
      <c r="Q422" s="1" t="s">
        <v>2</v>
      </c>
      <c r="R422" s="1" t="s">
        <v>3</v>
      </c>
      <c r="S422" s="1" t="s">
        <v>40</v>
      </c>
      <c r="T422" s="1" t="s">
        <v>4</v>
      </c>
    </row>
    <row r="423" spans="1:20" x14ac:dyDescent="0.3">
      <c r="A423" s="2" t="s">
        <v>5</v>
      </c>
      <c r="B423" s="3">
        <v>5997</v>
      </c>
      <c r="C423" s="3">
        <v>1571</v>
      </c>
      <c r="D423" s="3">
        <v>1596</v>
      </c>
      <c r="E423" s="3">
        <v>1452</v>
      </c>
      <c r="F423" s="3">
        <v>1378</v>
      </c>
      <c r="H423" s="2" t="s">
        <v>5</v>
      </c>
      <c r="I423" s="3">
        <v>5834</v>
      </c>
      <c r="J423" s="3">
        <v>1427</v>
      </c>
      <c r="K423" s="3">
        <v>1517</v>
      </c>
      <c r="L423" s="3">
        <v>1451</v>
      </c>
      <c r="M423" s="3">
        <v>1439</v>
      </c>
      <c r="O423" s="2" t="s">
        <v>5</v>
      </c>
      <c r="P423" s="3">
        <v>7025</v>
      </c>
      <c r="Q423" s="3">
        <v>1787</v>
      </c>
      <c r="R423" s="3">
        <v>1843</v>
      </c>
      <c r="S423" s="3">
        <v>1741</v>
      </c>
      <c r="T423" s="3">
        <v>1654</v>
      </c>
    </row>
    <row r="424" spans="1:20" x14ac:dyDescent="0.3">
      <c r="A424" s="2" t="s">
        <v>6</v>
      </c>
      <c r="B424" s="3">
        <v>496</v>
      </c>
      <c r="C424" s="5">
        <v>214</v>
      </c>
      <c r="D424" s="6">
        <v>99</v>
      </c>
      <c r="E424" s="3">
        <v>87</v>
      </c>
      <c r="F424" s="4">
        <v>96</v>
      </c>
      <c r="H424" s="2" t="s">
        <v>6</v>
      </c>
      <c r="I424" s="3">
        <v>822</v>
      </c>
      <c r="J424" s="5">
        <v>237</v>
      </c>
      <c r="K424" s="3">
        <v>181</v>
      </c>
      <c r="L424" s="6">
        <v>216</v>
      </c>
      <c r="M424" s="4">
        <v>188</v>
      </c>
      <c r="O424" s="2" t="s">
        <v>6</v>
      </c>
      <c r="P424" s="3">
        <v>647</v>
      </c>
      <c r="Q424" s="5">
        <v>226</v>
      </c>
      <c r="R424" s="4">
        <v>142</v>
      </c>
      <c r="S424" s="6">
        <v>147</v>
      </c>
      <c r="T424" s="3">
        <v>132</v>
      </c>
    </row>
    <row r="425" spans="1:20" x14ac:dyDescent="0.3">
      <c r="A425" s="2" t="s">
        <v>7</v>
      </c>
      <c r="B425" s="3" t="s">
        <v>777</v>
      </c>
      <c r="C425" s="5" t="s">
        <v>1035</v>
      </c>
      <c r="D425" s="4" t="s">
        <v>459</v>
      </c>
      <c r="E425" s="3" t="s">
        <v>969</v>
      </c>
      <c r="F425" s="6" t="s">
        <v>1036</v>
      </c>
      <c r="H425" s="2" t="s">
        <v>7</v>
      </c>
      <c r="I425" s="3" t="s">
        <v>1645</v>
      </c>
      <c r="J425" s="5" t="s">
        <v>1646</v>
      </c>
      <c r="K425" s="3" t="s">
        <v>1647</v>
      </c>
      <c r="L425" s="6" t="s">
        <v>628</v>
      </c>
      <c r="M425" s="4" t="s">
        <v>1648</v>
      </c>
      <c r="O425" s="2" t="s">
        <v>7</v>
      </c>
      <c r="P425" s="3" t="s">
        <v>110</v>
      </c>
      <c r="Q425" s="5" t="s">
        <v>18</v>
      </c>
      <c r="R425" s="3" t="s">
        <v>328</v>
      </c>
      <c r="S425" s="6" t="s">
        <v>1892</v>
      </c>
      <c r="T425" s="4" t="s">
        <v>1594</v>
      </c>
    </row>
    <row r="426" spans="1:20" x14ac:dyDescent="0.3">
      <c r="A426" s="2" t="s">
        <v>12</v>
      </c>
      <c r="B426" s="3" t="s">
        <v>297</v>
      </c>
      <c r="C426" s="5" t="s">
        <v>1037</v>
      </c>
      <c r="D426" s="3" t="s">
        <v>528</v>
      </c>
      <c r="E426" s="4" t="s">
        <v>1023</v>
      </c>
      <c r="F426" s="6" t="s">
        <v>1038</v>
      </c>
      <c r="H426" s="2" t="s">
        <v>12</v>
      </c>
      <c r="I426" s="3" t="s">
        <v>1486</v>
      </c>
      <c r="J426" s="6" t="s">
        <v>906</v>
      </c>
      <c r="K426" s="3" t="s">
        <v>564</v>
      </c>
      <c r="L426" s="4" t="s">
        <v>91</v>
      </c>
      <c r="M426" s="5" t="s">
        <v>1220</v>
      </c>
      <c r="O426" s="2" t="s">
        <v>12</v>
      </c>
      <c r="P426" s="3" t="s">
        <v>242</v>
      </c>
      <c r="Q426" s="5" t="s">
        <v>2015</v>
      </c>
      <c r="R426" s="3" t="s">
        <v>756</v>
      </c>
      <c r="S426" s="6" t="s">
        <v>173</v>
      </c>
      <c r="T426" s="4" t="s">
        <v>726</v>
      </c>
    </row>
    <row r="427" spans="1:20" x14ac:dyDescent="0.3">
      <c r="A427" s="2" t="s">
        <v>17</v>
      </c>
      <c r="B427" s="3" t="s">
        <v>147</v>
      </c>
      <c r="C427" s="3" t="s">
        <v>75</v>
      </c>
      <c r="D427" s="4" t="s">
        <v>74</v>
      </c>
      <c r="E427" s="6" t="s">
        <v>100</v>
      </c>
      <c r="F427" s="5" t="s">
        <v>119</v>
      </c>
      <c r="H427" s="2" t="s">
        <v>17</v>
      </c>
      <c r="I427" s="3" t="s">
        <v>1406</v>
      </c>
      <c r="J427" s="3" t="s">
        <v>1515</v>
      </c>
      <c r="K427" s="6" t="s">
        <v>810</v>
      </c>
      <c r="L427" s="5" t="s">
        <v>609</v>
      </c>
      <c r="M427" s="4" t="s">
        <v>335</v>
      </c>
      <c r="O427" s="2" t="s">
        <v>17</v>
      </c>
      <c r="P427" s="3" t="s">
        <v>152</v>
      </c>
      <c r="Q427" s="5" t="s">
        <v>1044</v>
      </c>
      <c r="R427" s="6" t="s">
        <v>418</v>
      </c>
      <c r="S427" s="3" t="s">
        <v>49</v>
      </c>
      <c r="T427" s="4" t="s">
        <v>109</v>
      </c>
    </row>
    <row r="428" spans="1:20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552</v>
      </c>
      <c r="J428" s="3" t="s">
        <v>25</v>
      </c>
      <c r="K428" s="3" t="s">
        <v>25</v>
      </c>
      <c r="L428" s="3" t="s">
        <v>25</v>
      </c>
      <c r="M428" s="5" t="s">
        <v>310</v>
      </c>
      <c r="O428" s="2" t="s">
        <v>22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 x14ac:dyDescent="0.3">
      <c r="A429" s="7" t="s">
        <v>26</v>
      </c>
      <c r="B429" s="8">
        <v>480</v>
      </c>
      <c r="C429" s="8">
        <v>211</v>
      </c>
      <c r="D429" s="8">
        <v>93</v>
      </c>
      <c r="E429" s="8">
        <v>85</v>
      </c>
      <c r="F429" s="8">
        <v>91</v>
      </c>
      <c r="H429" s="7" t="s">
        <v>26</v>
      </c>
      <c r="I429" s="8">
        <v>602</v>
      </c>
      <c r="J429" s="8">
        <v>172</v>
      </c>
      <c r="K429" s="8">
        <v>108</v>
      </c>
      <c r="L429" s="8">
        <v>137</v>
      </c>
      <c r="M429" s="8">
        <v>185</v>
      </c>
      <c r="O429" s="7" t="s">
        <v>26</v>
      </c>
      <c r="P429" s="8">
        <v>598</v>
      </c>
      <c r="Q429" s="8">
        <v>186</v>
      </c>
      <c r="R429" s="8">
        <v>136</v>
      </c>
      <c r="S429" s="8">
        <v>145</v>
      </c>
      <c r="T429" s="8">
        <v>131</v>
      </c>
    </row>
    <row r="430" spans="1:20" x14ac:dyDescent="0.3">
      <c r="A430" s="9" t="s">
        <v>27</v>
      </c>
      <c r="B430" s="10">
        <v>129</v>
      </c>
      <c r="C430" s="10">
        <v>32</v>
      </c>
      <c r="D430" s="10">
        <v>33</v>
      </c>
      <c r="E430" s="10">
        <v>34</v>
      </c>
      <c r="F430" s="10">
        <v>30</v>
      </c>
      <c r="H430" s="9" t="s">
        <v>27</v>
      </c>
      <c r="I430" s="10">
        <v>109</v>
      </c>
      <c r="J430" s="10">
        <v>35</v>
      </c>
      <c r="K430" s="10">
        <v>31</v>
      </c>
      <c r="L430" s="10">
        <v>22</v>
      </c>
      <c r="M430" s="10">
        <v>21</v>
      </c>
      <c r="O430" s="9" t="s">
        <v>27</v>
      </c>
      <c r="P430" s="10">
        <v>229</v>
      </c>
      <c r="Q430" s="10">
        <v>62</v>
      </c>
      <c r="R430" s="10">
        <v>71</v>
      </c>
      <c r="S430" s="10">
        <v>45</v>
      </c>
      <c r="T430" s="10">
        <v>51</v>
      </c>
    </row>
    <row r="431" spans="1:20" x14ac:dyDescent="0.3">
      <c r="A431" s="9" t="s">
        <v>28</v>
      </c>
      <c r="B431" s="10">
        <v>54</v>
      </c>
      <c r="C431" s="10">
        <v>17</v>
      </c>
      <c r="D431" s="10">
        <v>13</v>
      </c>
      <c r="E431" s="10">
        <v>4</v>
      </c>
      <c r="F431" s="10">
        <v>20</v>
      </c>
      <c r="H431" s="9" t="s">
        <v>28</v>
      </c>
      <c r="I431" s="10">
        <v>107</v>
      </c>
      <c r="J431" s="10">
        <v>25</v>
      </c>
      <c r="K431" s="10">
        <v>24</v>
      </c>
      <c r="L431" s="10">
        <v>30</v>
      </c>
      <c r="M431" s="10">
        <v>28</v>
      </c>
      <c r="O431" s="9" t="s">
        <v>28</v>
      </c>
      <c r="P431" s="10">
        <v>195</v>
      </c>
      <c r="Q431" s="10">
        <v>64</v>
      </c>
      <c r="R431" s="10">
        <v>42</v>
      </c>
      <c r="S431" s="10">
        <v>54</v>
      </c>
      <c r="T431" s="10">
        <v>35</v>
      </c>
    </row>
    <row r="432" spans="1:20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O432" s="9" t="s">
        <v>29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</row>
    <row r="433" spans="1:20" x14ac:dyDescent="0.3">
      <c r="A433" s="9" t="s">
        <v>30</v>
      </c>
      <c r="B433" s="10">
        <v>137</v>
      </c>
      <c r="C433" s="10">
        <v>26</v>
      </c>
      <c r="D433" s="10">
        <v>39</v>
      </c>
      <c r="E433" s="10">
        <v>39</v>
      </c>
      <c r="F433" s="10">
        <v>33</v>
      </c>
      <c r="H433" s="9" t="s">
        <v>30</v>
      </c>
      <c r="I433" s="10">
        <v>65</v>
      </c>
      <c r="J433" s="10">
        <v>18</v>
      </c>
      <c r="K433" s="10">
        <v>15</v>
      </c>
      <c r="L433" s="10">
        <v>19</v>
      </c>
      <c r="M433" s="10">
        <v>13</v>
      </c>
      <c r="O433" s="9" t="s">
        <v>30</v>
      </c>
      <c r="P433" s="10">
        <v>90</v>
      </c>
      <c r="Q433" s="10">
        <v>28</v>
      </c>
      <c r="R433" s="10">
        <v>13</v>
      </c>
      <c r="S433" s="10">
        <v>24</v>
      </c>
      <c r="T433" s="10">
        <v>25</v>
      </c>
    </row>
    <row r="434" spans="1:20" x14ac:dyDescent="0.3">
      <c r="A434" s="9" t="s">
        <v>31</v>
      </c>
      <c r="B434" s="10">
        <v>160</v>
      </c>
      <c r="C434" s="10">
        <v>136</v>
      </c>
      <c r="D434" s="10">
        <v>8</v>
      </c>
      <c r="E434" s="10">
        <v>8</v>
      </c>
      <c r="F434" s="10">
        <v>8</v>
      </c>
      <c r="H434" s="9" t="s">
        <v>31</v>
      </c>
      <c r="I434" s="10">
        <v>321</v>
      </c>
      <c r="J434" s="10">
        <v>94</v>
      </c>
      <c r="K434" s="10">
        <v>38</v>
      </c>
      <c r="L434" s="10">
        <v>66</v>
      </c>
      <c r="M434" s="10">
        <v>123</v>
      </c>
      <c r="O434" s="9" t="s">
        <v>31</v>
      </c>
      <c r="P434" s="10">
        <v>84</v>
      </c>
      <c r="Q434" s="10">
        <v>32</v>
      </c>
      <c r="R434" s="10">
        <v>10</v>
      </c>
      <c r="S434" s="10">
        <v>22</v>
      </c>
      <c r="T434" s="10">
        <v>20</v>
      </c>
    </row>
    <row r="435" spans="1:20" x14ac:dyDescent="0.3">
      <c r="A435" s="11" t="s">
        <v>32</v>
      </c>
      <c r="B435" s="12">
        <v>18</v>
      </c>
      <c r="C435" s="12">
        <v>2</v>
      </c>
      <c r="D435" s="12">
        <v>5</v>
      </c>
      <c r="E435" s="12">
        <v>5</v>
      </c>
      <c r="F435" s="12">
        <v>6</v>
      </c>
      <c r="H435" s="11" t="s">
        <v>32</v>
      </c>
      <c r="I435" s="12">
        <v>284</v>
      </c>
      <c r="J435" s="12">
        <v>65</v>
      </c>
      <c r="K435" s="12">
        <v>73</v>
      </c>
      <c r="L435" s="12">
        <v>79</v>
      </c>
      <c r="M435" s="12">
        <v>67</v>
      </c>
      <c r="O435" s="11" t="s">
        <v>32</v>
      </c>
      <c r="P435" s="12">
        <v>44</v>
      </c>
      <c r="Q435" s="12">
        <v>33</v>
      </c>
      <c r="R435" s="12">
        <v>6</v>
      </c>
      <c r="S435" s="12">
        <v>2</v>
      </c>
      <c r="T435" s="12">
        <v>3</v>
      </c>
    </row>
    <row r="436" spans="1:20" x14ac:dyDescent="0.3">
      <c r="A436" s="13" t="s">
        <v>33</v>
      </c>
      <c r="B436" s="14">
        <v>8</v>
      </c>
      <c r="C436" s="14">
        <v>1</v>
      </c>
      <c r="D436" s="14">
        <v>1</v>
      </c>
      <c r="E436" s="14">
        <v>1</v>
      </c>
      <c r="F436" s="14">
        <v>5</v>
      </c>
      <c r="H436" s="13" t="s">
        <v>33</v>
      </c>
      <c r="I436" s="14">
        <v>2</v>
      </c>
      <c r="J436" s="14">
        <v>0</v>
      </c>
      <c r="K436" s="14">
        <v>1</v>
      </c>
      <c r="L436" s="14">
        <v>0</v>
      </c>
      <c r="M436" s="14">
        <v>1</v>
      </c>
      <c r="O436" s="13" t="s">
        <v>33</v>
      </c>
      <c r="P436" s="14">
        <v>32</v>
      </c>
      <c r="Q436" s="14">
        <v>31</v>
      </c>
      <c r="R436" s="14">
        <v>0</v>
      </c>
      <c r="S436" s="14">
        <v>0</v>
      </c>
      <c r="T436" s="14">
        <v>1</v>
      </c>
    </row>
    <row r="437" spans="1:20" x14ac:dyDescent="0.3">
      <c r="A437" s="13" t="s">
        <v>34</v>
      </c>
      <c r="B437" s="14">
        <v>10</v>
      </c>
      <c r="C437" s="14">
        <v>1</v>
      </c>
      <c r="D437" s="14">
        <v>4</v>
      </c>
      <c r="E437" s="14">
        <v>4</v>
      </c>
      <c r="F437" s="14">
        <v>1</v>
      </c>
      <c r="H437" s="13" t="s">
        <v>34</v>
      </c>
      <c r="I437" s="14">
        <v>282</v>
      </c>
      <c r="J437" s="14">
        <v>65</v>
      </c>
      <c r="K437" s="14">
        <v>72</v>
      </c>
      <c r="L437" s="14">
        <v>79</v>
      </c>
      <c r="M437" s="14">
        <v>66</v>
      </c>
      <c r="O437" s="13" t="s">
        <v>34</v>
      </c>
      <c r="P437" s="14">
        <v>12</v>
      </c>
      <c r="Q437" s="14">
        <v>2</v>
      </c>
      <c r="R437" s="14">
        <v>6</v>
      </c>
      <c r="S437" s="14">
        <v>2</v>
      </c>
      <c r="T437" s="14">
        <v>2</v>
      </c>
    </row>
    <row r="438" spans="1:20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2</v>
      </c>
      <c r="J438" s="16">
        <v>0</v>
      </c>
      <c r="K438" s="16">
        <v>0</v>
      </c>
      <c r="L438" s="16">
        <v>0</v>
      </c>
      <c r="M438" s="16">
        <v>2</v>
      </c>
      <c r="O438" s="15" t="s">
        <v>35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</row>
    <row r="439" spans="1:20" x14ac:dyDescent="0.3">
      <c r="A439" s="17" t="s">
        <v>36</v>
      </c>
      <c r="B439" s="55">
        <v>0</v>
      </c>
      <c r="C439" s="55">
        <v>0</v>
      </c>
      <c r="D439" s="55">
        <v>0</v>
      </c>
      <c r="E439" s="55">
        <v>0</v>
      </c>
      <c r="F439" s="55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  <c r="O439" s="17" t="s">
        <v>36</v>
      </c>
      <c r="P439" s="138">
        <v>0</v>
      </c>
      <c r="Q439" s="138">
        <v>0</v>
      </c>
      <c r="R439" s="138">
        <v>0</v>
      </c>
      <c r="S439" s="138">
        <v>0</v>
      </c>
      <c r="T439" s="138">
        <v>0</v>
      </c>
    </row>
    <row r="440" spans="1:20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2</v>
      </c>
      <c r="J440" s="109">
        <v>0</v>
      </c>
      <c r="K440" s="109">
        <v>0</v>
      </c>
      <c r="L440" s="109">
        <v>0</v>
      </c>
      <c r="M440" s="109">
        <v>2</v>
      </c>
      <c r="O440" s="17" t="s">
        <v>37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x14ac:dyDescent="0.3">
      <c r="A441" s="17" t="s">
        <v>38</v>
      </c>
      <c r="B441" s="167" t="s">
        <v>103</v>
      </c>
      <c r="C441" s="168"/>
      <c r="D441" s="168"/>
      <c r="E441" s="168"/>
      <c r="F441" s="168"/>
      <c r="H441" s="17" t="s">
        <v>38</v>
      </c>
      <c r="I441" s="167" t="s">
        <v>103</v>
      </c>
      <c r="J441" s="168"/>
      <c r="K441" s="168"/>
      <c r="L441" s="168"/>
      <c r="M441" s="168"/>
      <c r="O441" s="17" t="s">
        <v>38</v>
      </c>
      <c r="P441" s="167" t="s">
        <v>103</v>
      </c>
      <c r="Q441" s="168"/>
      <c r="R441" s="168"/>
      <c r="S441" s="168"/>
      <c r="T441" s="168"/>
    </row>
    <row r="442" spans="1:20" ht="19.8" x14ac:dyDescent="0.3">
      <c r="A442" s="171">
        <v>46109</v>
      </c>
      <c r="B442" s="174"/>
      <c r="C442" s="174"/>
      <c r="D442" s="174"/>
      <c r="E442" s="174"/>
      <c r="F442" s="174"/>
      <c r="H442" s="170">
        <v>46137</v>
      </c>
      <c r="I442" s="168"/>
      <c r="J442" s="168"/>
      <c r="K442" s="168"/>
      <c r="L442" s="168"/>
      <c r="M442" s="168"/>
      <c r="O442" s="170">
        <v>46169</v>
      </c>
      <c r="P442" s="168"/>
      <c r="Q442" s="168"/>
      <c r="R442" s="168"/>
      <c r="S442" s="168"/>
      <c r="T442" s="168"/>
    </row>
    <row r="443" spans="1:20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  <c r="O443" s="1" t="s">
        <v>0</v>
      </c>
      <c r="P443" s="1" t="s">
        <v>1</v>
      </c>
      <c r="Q443" s="1" t="s">
        <v>2</v>
      </c>
      <c r="R443" s="1" t="s">
        <v>3</v>
      </c>
      <c r="S443" s="1" t="s">
        <v>40</v>
      </c>
      <c r="T443" s="1" t="s">
        <v>4</v>
      </c>
    </row>
    <row r="444" spans="1:20" x14ac:dyDescent="0.3">
      <c r="A444" s="2" t="s">
        <v>5</v>
      </c>
      <c r="B444" s="3">
        <v>6686</v>
      </c>
      <c r="C444" s="3">
        <v>1769</v>
      </c>
      <c r="D444" s="3">
        <v>1825</v>
      </c>
      <c r="E444" s="3">
        <v>1597</v>
      </c>
      <c r="F444" s="3">
        <v>1495</v>
      </c>
      <c r="H444" s="2" t="s">
        <v>5</v>
      </c>
      <c r="I444" s="3">
        <v>3518</v>
      </c>
      <c r="J444" s="3">
        <v>1085</v>
      </c>
      <c r="K444" s="3">
        <v>975</v>
      </c>
      <c r="L444" s="3">
        <v>770</v>
      </c>
      <c r="M444" s="3">
        <v>688</v>
      </c>
      <c r="O444" s="2" t="s">
        <v>5</v>
      </c>
      <c r="P444" s="3">
        <v>6136</v>
      </c>
      <c r="Q444" s="3">
        <v>1547</v>
      </c>
      <c r="R444" s="3">
        <v>1586</v>
      </c>
      <c r="S444" s="3">
        <v>1532</v>
      </c>
      <c r="T444" s="3">
        <v>1471</v>
      </c>
    </row>
    <row r="445" spans="1:20" x14ac:dyDescent="0.3">
      <c r="A445" s="2" t="s">
        <v>6</v>
      </c>
      <c r="B445" s="3">
        <v>497</v>
      </c>
      <c r="C445" s="5">
        <v>167</v>
      </c>
      <c r="D445" s="3">
        <v>96</v>
      </c>
      <c r="E445" s="4">
        <v>109</v>
      </c>
      <c r="F445" s="6">
        <v>125</v>
      </c>
      <c r="H445" s="2" t="s">
        <v>6</v>
      </c>
      <c r="I445" s="3">
        <v>444</v>
      </c>
      <c r="J445" s="5">
        <v>143</v>
      </c>
      <c r="K445" s="4">
        <v>85</v>
      </c>
      <c r="L445" s="6">
        <v>108</v>
      </c>
      <c r="M445" s="6">
        <v>108</v>
      </c>
      <c r="O445" s="2" t="s">
        <v>6</v>
      </c>
      <c r="P445" s="3">
        <v>586</v>
      </c>
      <c r="Q445" s="5">
        <v>195</v>
      </c>
      <c r="R445" s="4">
        <v>129</v>
      </c>
      <c r="S445" s="6">
        <v>136</v>
      </c>
      <c r="T445" s="3">
        <v>126</v>
      </c>
    </row>
    <row r="446" spans="1:20" x14ac:dyDescent="0.3">
      <c r="A446" s="2" t="s">
        <v>7</v>
      </c>
      <c r="B446" s="3" t="s">
        <v>1076</v>
      </c>
      <c r="C446" s="5" t="s">
        <v>91</v>
      </c>
      <c r="D446" s="3" t="s">
        <v>1077</v>
      </c>
      <c r="E446" s="4" t="s">
        <v>682</v>
      </c>
      <c r="F446" s="6" t="s">
        <v>1078</v>
      </c>
      <c r="H446" s="2" t="s">
        <v>7</v>
      </c>
      <c r="I446" s="3" t="s">
        <v>1359</v>
      </c>
      <c r="J446" s="4" t="s">
        <v>1659</v>
      </c>
      <c r="K446" s="3" t="s">
        <v>778</v>
      </c>
      <c r="L446" s="6" t="s">
        <v>1660</v>
      </c>
      <c r="M446" s="5" t="s">
        <v>1661</v>
      </c>
      <c r="O446" s="2" t="s">
        <v>7</v>
      </c>
      <c r="P446" s="3" t="s">
        <v>736</v>
      </c>
      <c r="Q446" s="5" t="s">
        <v>286</v>
      </c>
      <c r="R446" s="3" t="s">
        <v>1612</v>
      </c>
      <c r="S446" s="6" t="s">
        <v>1186</v>
      </c>
      <c r="T446" s="4" t="s">
        <v>669</v>
      </c>
    </row>
    <row r="447" spans="1:20" x14ac:dyDescent="0.3">
      <c r="A447" s="2" t="s">
        <v>12</v>
      </c>
      <c r="B447" s="3" t="s">
        <v>865</v>
      </c>
      <c r="C447" s="5" t="s">
        <v>1079</v>
      </c>
      <c r="D447" s="3" t="s">
        <v>916</v>
      </c>
      <c r="E447" s="4" t="s">
        <v>799</v>
      </c>
      <c r="F447" s="6" t="s">
        <v>984</v>
      </c>
      <c r="H447" s="2" t="s">
        <v>12</v>
      </c>
      <c r="I447" s="3" t="s">
        <v>1551</v>
      </c>
      <c r="J447" s="4" t="s">
        <v>1662</v>
      </c>
      <c r="K447" s="3" t="s">
        <v>884</v>
      </c>
      <c r="L447" s="6" t="s">
        <v>587</v>
      </c>
      <c r="M447" s="5" t="s">
        <v>1663</v>
      </c>
      <c r="O447" s="2" t="s">
        <v>12</v>
      </c>
      <c r="P447" s="3" t="s">
        <v>1541</v>
      </c>
      <c r="Q447" s="5" t="s">
        <v>246</v>
      </c>
      <c r="R447" s="3" t="s">
        <v>1612</v>
      </c>
      <c r="S447" s="6" t="s">
        <v>1186</v>
      </c>
      <c r="T447" s="4" t="s">
        <v>669</v>
      </c>
    </row>
    <row r="448" spans="1:20" x14ac:dyDescent="0.3">
      <c r="A448" s="2" t="s">
        <v>17</v>
      </c>
      <c r="B448" s="3" t="s">
        <v>545</v>
      </c>
      <c r="C448" s="3" t="s">
        <v>596</v>
      </c>
      <c r="D448" s="6" t="s">
        <v>332</v>
      </c>
      <c r="E448" s="4" t="s">
        <v>152</v>
      </c>
      <c r="F448" s="5" t="s">
        <v>851</v>
      </c>
      <c r="H448" s="2" t="s">
        <v>17</v>
      </c>
      <c r="I448" s="3" t="s">
        <v>975</v>
      </c>
      <c r="J448" s="6" t="s">
        <v>1634</v>
      </c>
      <c r="K448" s="4" t="s">
        <v>1366</v>
      </c>
      <c r="L448" s="3" t="s">
        <v>486</v>
      </c>
      <c r="M448" s="5" t="s">
        <v>299</v>
      </c>
      <c r="O448" s="2" t="s">
        <v>17</v>
      </c>
      <c r="P448" s="3" t="s">
        <v>134</v>
      </c>
      <c r="Q448" s="5" t="s">
        <v>1296</v>
      </c>
      <c r="R448" s="3" t="s">
        <v>25</v>
      </c>
      <c r="S448" s="3" t="s">
        <v>25</v>
      </c>
      <c r="T448" s="3" t="s">
        <v>25</v>
      </c>
    </row>
    <row r="449" spans="1:20" x14ac:dyDescent="0.3">
      <c r="A449" s="2" t="s">
        <v>22</v>
      </c>
      <c r="B449" s="3" t="s">
        <v>258</v>
      </c>
      <c r="C449" s="3" t="s">
        <v>25</v>
      </c>
      <c r="D449" s="3" t="s">
        <v>25</v>
      </c>
      <c r="E449" s="3" t="s">
        <v>25</v>
      </c>
      <c r="F449" s="5" t="s">
        <v>138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O449" s="2" t="s">
        <v>22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 x14ac:dyDescent="0.3">
      <c r="A450" s="7" t="s">
        <v>26</v>
      </c>
      <c r="B450" s="8">
        <v>455</v>
      </c>
      <c r="C450" s="8">
        <v>156</v>
      </c>
      <c r="D450" s="8">
        <v>82</v>
      </c>
      <c r="E450" s="8">
        <v>105</v>
      </c>
      <c r="F450" s="8">
        <v>112</v>
      </c>
      <c r="H450" s="7" t="s">
        <v>26</v>
      </c>
      <c r="I450" s="8">
        <v>310</v>
      </c>
      <c r="J450" s="8">
        <v>91</v>
      </c>
      <c r="K450" s="8">
        <v>38</v>
      </c>
      <c r="L450" s="8">
        <v>74</v>
      </c>
      <c r="M450" s="8">
        <v>107</v>
      </c>
      <c r="O450" s="7" t="s">
        <v>26</v>
      </c>
      <c r="P450" s="8">
        <v>563</v>
      </c>
      <c r="Q450" s="8">
        <v>172</v>
      </c>
      <c r="R450" s="8">
        <v>129</v>
      </c>
      <c r="S450" s="8">
        <v>136</v>
      </c>
      <c r="T450" s="8">
        <v>126</v>
      </c>
    </row>
    <row r="451" spans="1:20" x14ac:dyDescent="0.3">
      <c r="A451" s="9" t="s">
        <v>27</v>
      </c>
      <c r="B451" s="10">
        <v>130</v>
      </c>
      <c r="C451" s="10">
        <v>37</v>
      </c>
      <c r="D451" s="10">
        <v>22</v>
      </c>
      <c r="E451" s="10">
        <v>33</v>
      </c>
      <c r="F451" s="10">
        <v>38</v>
      </c>
      <c r="H451" s="9" t="s">
        <v>27</v>
      </c>
      <c r="I451" s="10">
        <v>59</v>
      </c>
      <c r="J451" s="10">
        <v>23</v>
      </c>
      <c r="K451" s="10">
        <v>10</v>
      </c>
      <c r="L451" s="10">
        <v>14</v>
      </c>
      <c r="M451" s="10">
        <v>12</v>
      </c>
      <c r="O451" s="9" t="s">
        <v>27</v>
      </c>
      <c r="P451" s="10">
        <v>246</v>
      </c>
      <c r="Q451" s="10">
        <v>73</v>
      </c>
      <c r="R451" s="10">
        <v>70</v>
      </c>
      <c r="S451" s="10">
        <v>51</v>
      </c>
      <c r="T451" s="10">
        <v>52</v>
      </c>
    </row>
    <row r="452" spans="1:20" x14ac:dyDescent="0.3">
      <c r="A452" s="9" t="s">
        <v>28</v>
      </c>
      <c r="B452" s="10">
        <v>96</v>
      </c>
      <c r="C452" s="10">
        <v>29</v>
      </c>
      <c r="D452" s="10">
        <v>16</v>
      </c>
      <c r="E452" s="10">
        <v>26</v>
      </c>
      <c r="F452" s="10">
        <v>25</v>
      </c>
      <c r="H452" s="9" t="s">
        <v>28</v>
      </c>
      <c r="I452" s="10">
        <v>56</v>
      </c>
      <c r="J452" s="10">
        <v>10</v>
      </c>
      <c r="K452" s="10">
        <v>4</v>
      </c>
      <c r="L452" s="10">
        <v>22</v>
      </c>
      <c r="M452" s="10">
        <v>20</v>
      </c>
      <c r="O452" s="9" t="s">
        <v>28</v>
      </c>
      <c r="P452" s="10">
        <v>179</v>
      </c>
      <c r="Q452" s="10">
        <v>55</v>
      </c>
      <c r="R452" s="10">
        <v>39</v>
      </c>
      <c r="S452" s="10">
        <v>44</v>
      </c>
      <c r="T452" s="10">
        <v>41</v>
      </c>
    </row>
    <row r="453" spans="1:20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O453" s="9" t="s">
        <v>29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</row>
    <row r="454" spans="1:20" x14ac:dyDescent="0.3">
      <c r="A454" s="9" t="s">
        <v>30</v>
      </c>
      <c r="B454" s="10">
        <v>143</v>
      </c>
      <c r="C454" s="10">
        <v>39</v>
      </c>
      <c r="D454" s="10">
        <v>36</v>
      </c>
      <c r="E454" s="10">
        <v>32</v>
      </c>
      <c r="F454" s="10">
        <v>36</v>
      </c>
      <c r="H454" s="9" t="s">
        <v>30</v>
      </c>
      <c r="I454" s="10">
        <v>51</v>
      </c>
      <c r="J454" s="10">
        <v>17</v>
      </c>
      <c r="K454" s="10">
        <v>13</v>
      </c>
      <c r="L454" s="10">
        <v>10</v>
      </c>
      <c r="M454" s="10">
        <v>11</v>
      </c>
      <c r="O454" s="9" t="s">
        <v>30</v>
      </c>
      <c r="P454" s="10">
        <v>94</v>
      </c>
      <c r="Q454" s="10">
        <v>27</v>
      </c>
      <c r="R454" s="10">
        <v>17</v>
      </c>
      <c r="S454" s="10">
        <v>25</v>
      </c>
      <c r="T454" s="10">
        <v>25</v>
      </c>
    </row>
    <row r="455" spans="1:20" x14ac:dyDescent="0.3">
      <c r="A455" s="9" t="s">
        <v>31</v>
      </c>
      <c r="B455" s="10">
        <v>86</v>
      </c>
      <c r="C455" s="10">
        <v>51</v>
      </c>
      <c r="D455" s="10">
        <v>8</v>
      </c>
      <c r="E455" s="10">
        <v>14</v>
      </c>
      <c r="F455" s="10">
        <v>13</v>
      </c>
      <c r="H455" s="9" t="s">
        <v>31</v>
      </c>
      <c r="I455" s="10">
        <v>144</v>
      </c>
      <c r="J455" s="10">
        <v>41</v>
      </c>
      <c r="K455" s="10">
        <v>11</v>
      </c>
      <c r="L455" s="10">
        <v>28</v>
      </c>
      <c r="M455" s="10">
        <v>64</v>
      </c>
      <c r="O455" s="9" t="s">
        <v>31</v>
      </c>
      <c r="P455" s="10">
        <v>44</v>
      </c>
      <c r="Q455" s="10">
        <v>17</v>
      </c>
      <c r="R455" s="10">
        <v>3</v>
      </c>
      <c r="S455" s="10">
        <v>16</v>
      </c>
      <c r="T455" s="10">
        <v>8</v>
      </c>
    </row>
    <row r="456" spans="1:20" x14ac:dyDescent="0.3">
      <c r="A456" s="11" t="s">
        <v>32</v>
      </c>
      <c r="B456" s="12">
        <v>53</v>
      </c>
      <c r="C456" s="12">
        <v>10</v>
      </c>
      <c r="D456" s="12">
        <v>14</v>
      </c>
      <c r="E456" s="12">
        <v>10</v>
      </c>
      <c r="F456" s="12">
        <v>19</v>
      </c>
      <c r="H456" s="11" t="s">
        <v>32</v>
      </c>
      <c r="I456" s="12">
        <v>180</v>
      </c>
      <c r="J456" s="12">
        <v>52</v>
      </c>
      <c r="K456" s="12">
        <v>46</v>
      </c>
      <c r="L456" s="12">
        <v>34</v>
      </c>
      <c r="M456" s="12">
        <v>48</v>
      </c>
      <c r="O456" s="11" t="s">
        <v>32</v>
      </c>
      <c r="P456" s="12">
        <v>22</v>
      </c>
      <c r="Q456" s="12">
        <v>22</v>
      </c>
      <c r="R456" s="12">
        <v>0</v>
      </c>
      <c r="S456" s="12">
        <v>0</v>
      </c>
      <c r="T456" s="12">
        <v>0</v>
      </c>
    </row>
    <row r="457" spans="1:20" x14ac:dyDescent="0.3">
      <c r="A457" s="13" t="s">
        <v>33</v>
      </c>
      <c r="B457" s="14">
        <v>14</v>
      </c>
      <c r="C457" s="14">
        <v>2</v>
      </c>
      <c r="D457" s="14">
        <v>0</v>
      </c>
      <c r="E457" s="14">
        <v>1</v>
      </c>
      <c r="F457" s="14">
        <v>11</v>
      </c>
      <c r="H457" s="13" t="s">
        <v>33</v>
      </c>
      <c r="I457" s="14">
        <v>3</v>
      </c>
      <c r="J457" s="14">
        <v>0</v>
      </c>
      <c r="K457" s="14">
        <v>2</v>
      </c>
      <c r="L457" s="14">
        <v>1</v>
      </c>
      <c r="M457" s="14">
        <v>0</v>
      </c>
      <c r="O457" s="13" t="s">
        <v>33</v>
      </c>
      <c r="P457" s="14">
        <v>20</v>
      </c>
      <c r="Q457" s="14">
        <v>20</v>
      </c>
      <c r="R457" s="14">
        <v>0</v>
      </c>
      <c r="S457" s="14">
        <v>0</v>
      </c>
      <c r="T457" s="14">
        <v>0</v>
      </c>
    </row>
    <row r="458" spans="1:20" x14ac:dyDescent="0.3">
      <c r="A458" s="13" t="s">
        <v>34</v>
      </c>
      <c r="B458" s="14">
        <v>39</v>
      </c>
      <c r="C458" s="14">
        <v>8</v>
      </c>
      <c r="D458" s="14">
        <v>14</v>
      </c>
      <c r="E458" s="14">
        <v>9</v>
      </c>
      <c r="F458" s="14">
        <v>8</v>
      </c>
      <c r="H458" s="13" t="s">
        <v>34</v>
      </c>
      <c r="I458" s="14">
        <v>177</v>
      </c>
      <c r="J458" s="14">
        <v>52</v>
      </c>
      <c r="K458" s="14">
        <v>44</v>
      </c>
      <c r="L458" s="14">
        <v>33</v>
      </c>
      <c r="M458" s="14">
        <v>48</v>
      </c>
      <c r="O458" s="13" t="s">
        <v>34</v>
      </c>
      <c r="P458" s="14">
        <v>2</v>
      </c>
      <c r="Q458" s="14">
        <v>2</v>
      </c>
      <c r="R458" s="14">
        <v>0</v>
      </c>
      <c r="S458" s="14">
        <v>0</v>
      </c>
      <c r="T458" s="14">
        <v>0</v>
      </c>
    </row>
    <row r="459" spans="1:20" x14ac:dyDescent="0.3">
      <c r="A459" s="15" t="s">
        <v>35</v>
      </c>
      <c r="B459" s="16">
        <v>1</v>
      </c>
      <c r="C459" s="16">
        <v>0</v>
      </c>
      <c r="D459" s="16">
        <v>0</v>
      </c>
      <c r="E459" s="16">
        <v>0</v>
      </c>
      <c r="F459" s="16">
        <v>1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O459" s="15" t="s">
        <v>35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</row>
    <row r="460" spans="1:20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  <c r="O460" s="17" t="s">
        <v>36</v>
      </c>
      <c r="P460" s="138">
        <v>0</v>
      </c>
      <c r="Q460" s="138">
        <v>0</v>
      </c>
      <c r="R460" s="138">
        <v>0</v>
      </c>
      <c r="S460" s="138">
        <v>0</v>
      </c>
      <c r="T460" s="138">
        <v>0</v>
      </c>
    </row>
    <row r="461" spans="1:20" x14ac:dyDescent="0.3">
      <c r="A461" s="17" t="s">
        <v>37</v>
      </c>
      <c r="B461" s="55">
        <v>1</v>
      </c>
      <c r="C461" s="55">
        <v>0</v>
      </c>
      <c r="D461" s="55">
        <v>0</v>
      </c>
      <c r="E461" s="55">
        <v>0</v>
      </c>
      <c r="F461" s="55">
        <v>1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  <c r="O461" s="17" t="s">
        <v>37</v>
      </c>
      <c r="P461" s="138">
        <v>0</v>
      </c>
      <c r="Q461" s="138">
        <v>0</v>
      </c>
      <c r="R461" s="138">
        <v>0</v>
      </c>
      <c r="S461" s="138">
        <v>0</v>
      </c>
      <c r="T461" s="138">
        <v>0</v>
      </c>
    </row>
    <row r="462" spans="1:20" x14ac:dyDescent="0.3">
      <c r="A462" s="17" t="s">
        <v>38</v>
      </c>
      <c r="B462" s="167" t="s">
        <v>103</v>
      </c>
      <c r="C462" s="168"/>
      <c r="D462" s="168"/>
      <c r="E462" s="168"/>
      <c r="F462" s="168"/>
      <c r="H462" s="17" t="s">
        <v>38</v>
      </c>
      <c r="I462" s="167" t="s">
        <v>1664</v>
      </c>
      <c r="J462" s="168"/>
      <c r="K462" s="168"/>
      <c r="L462" s="168"/>
      <c r="M462" s="168"/>
      <c r="O462" s="17" t="s">
        <v>38</v>
      </c>
      <c r="P462" s="167" t="s">
        <v>103</v>
      </c>
      <c r="Q462" s="168"/>
      <c r="R462" s="168"/>
      <c r="S462" s="168"/>
      <c r="T462" s="168"/>
    </row>
    <row r="463" spans="1:20" ht="19.8" x14ac:dyDescent="0.3">
      <c r="A463" s="170">
        <v>46111</v>
      </c>
      <c r="B463" s="169"/>
      <c r="C463" s="169"/>
      <c r="D463" s="169"/>
      <c r="E463" s="169"/>
      <c r="F463" s="169"/>
      <c r="H463" s="170">
        <v>46139</v>
      </c>
      <c r="I463" s="168"/>
      <c r="J463" s="168"/>
      <c r="K463" s="168"/>
      <c r="L463" s="168"/>
      <c r="M463" s="168"/>
      <c r="O463" s="170">
        <v>46170</v>
      </c>
      <c r="P463" s="168"/>
      <c r="Q463" s="168"/>
      <c r="R463" s="168"/>
      <c r="S463" s="168"/>
      <c r="T463" s="168"/>
    </row>
    <row r="464" spans="1:20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  <c r="O464" s="179" t="s">
        <v>0</v>
      </c>
      <c r="P464" s="179" t="s">
        <v>1</v>
      </c>
      <c r="Q464" s="179" t="s">
        <v>2</v>
      </c>
      <c r="R464" s="179" t="s">
        <v>3</v>
      </c>
      <c r="S464" s="179" t="s">
        <v>40</v>
      </c>
      <c r="T464" s="179" t="s">
        <v>4</v>
      </c>
    </row>
    <row r="465" spans="1:20" x14ac:dyDescent="0.3">
      <c r="A465" s="2" t="s">
        <v>5</v>
      </c>
      <c r="B465" s="3">
        <v>3354</v>
      </c>
      <c r="C465" s="3">
        <v>1201</v>
      </c>
      <c r="D465" s="3">
        <v>1239</v>
      </c>
      <c r="E465" s="3">
        <v>1105</v>
      </c>
      <c r="F465" s="3">
        <v>1048</v>
      </c>
      <c r="H465" s="2" t="s">
        <v>5</v>
      </c>
      <c r="I465" s="3">
        <v>1911</v>
      </c>
      <c r="J465" s="3">
        <v>891</v>
      </c>
      <c r="K465" s="3">
        <v>638</v>
      </c>
      <c r="L465" s="3">
        <v>290</v>
      </c>
      <c r="M465" s="3">
        <v>92</v>
      </c>
      <c r="O465" s="180" t="s">
        <v>5</v>
      </c>
      <c r="P465" s="181">
        <v>7509</v>
      </c>
      <c r="Q465" s="181">
        <v>1898</v>
      </c>
      <c r="R465" s="181">
        <v>1965</v>
      </c>
      <c r="S465" s="181">
        <v>1870</v>
      </c>
      <c r="T465" s="181">
        <v>1776</v>
      </c>
    </row>
    <row r="466" spans="1:20" x14ac:dyDescent="0.3">
      <c r="A466" s="2" t="s">
        <v>6</v>
      </c>
      <c r="B466" s="3">
        <v>303</v>
      </c>
      <c r="C466" s="5">
        <v>136</v>
      </c>
      <c r="D466" s="5">
        <v>90</v>
      </c>
      <c r="E466" s="6">
        <v>90</v>
      </c>
      <c r="F466" s="4">
        <v>77</v>
      </c>
      <c r="H466" s="2" t="s">
        <v>6</v>
      </c>
      <c r="I466" s="3">
        <v>21</v>
      </c>
      <c r="J466" s="4">
        <v>3</v>
      </c>
      <c r="K466" s="5">
        <v>11</v>
      </c>
      <c r="L466" s="4">
        <v>3</v>
      </c>
      <c r="M466" s="6">
        <v>4</v>
      </c>
      <c r="O466" s="180" t="s">
        <v>6</v>
      </c>
      <c r="P466" s="181">
        <v>649</v>
      </c>
      <c r="Q466" s="183">
        <v>190</v>
      </c>
      <c r="R466" s="184">
        <v>178</v>
      </c>
      <c r="S466" s="182">
        <v>147</v>
      </c>
      <c r="T466" s="181">
        <v>134</v>
      </c>
    </row>
    <row r="467" spans="1:20" x14ac:dyDescent="0.3">
      <c r="A467" s="2" t="s">
        <v>7</v>
      </c>
      <c r="B467" s="3" t="s">
        <v>421</v>
      </c>
      <c r="C467" s="5" t="s">
        <v>1058</v>
      </c>
      <c r="D467" s="5" t="s">
        <v>448</v>
      </c>
      <c r="E467" s="6" t="s">
        <v>822</v>
      </c>
      <c r="F467" s="4" t="s">
        <v>294</v>
      </c>
      <c r="H467" s="2" t="s">
        <v>7</v>
      </c>
      <c r="I467" s="3" t="s">
        <v>406</v>
      </c>
      <c r="J467" s="3" t="s">
        <v>100</v>
      </c>
      <c r="K467" s="6" t="s">
        <v>280</v>
      </c>
      <c r="L467" s="4" t="s">
        <v>1283</v>
      </c>
      <c r="M467" s="5" t="s">
        <v>1689</v>
      </c>
      <c r="O467" s="180" t="s">
        <v>7</v>
      </c>
      <c r="P467" s="181" t="s">
        <v>792</v>
      </c>
      <c r="Q467" s="183" t="s">
        <v>1991</v>
      </c>
      <c r="R467" s="184" t="s">
        <v>1971</v>
      </c>
      <c r="S467" s="182" t="s">
        <v>780</v>
      </c>
      <c r="T467" s="181" t="s">
        <v>891</v>
      </c>
    </row>
    <row r="468" spans="1:20" x14ac:dyDescent="0.3">
      <c r="A468" s="2" t="s">
        <v>12</v>
      </c>
      <c r="B468" s="3" t="s">
        <v>1125</v>
      </c>
      <c r="C468" s="5" t="s">
        <v>512</v>
      </c>
      <c r="D468" s="5" t="s">
        <v>1143</v>
      </c>
      <c r="E468" s="6" t="s">
        <v>1126</v>
      </c>
      <c r="F468" s="4" t="s">
        <v>394</v>
      </c>
      <c r="H468" s="2" t="s">
        <v>12</v>
      </c>
      <c r="I468" s="3" t="s">
        <v>806</v>
      </c>
      <c r="J468" s="3" t="s">
        <v>100</v>
      </c>
      <c r="K468" s="6" t="s">
        <v>280</v>
      </c>
      <c r="L468" s="4" t="s">
        <v>1283</v>
      </c>
      <c r="M468" s="5" t="s">
        <v>16</v>
      </c>
      <c r="O468" s="180" t="s">
        <v>12</v>
      </c>
      <c r="P468" s="181" t="s">
        <v>232</v>
      </c>
      <c r="Q468" s="184" t="s">
        <v>893</v>
      </c>
      <c r="R468" s="183" t="s">
        <v>1623</v>
      </c>
      <c r="S468" s="182" t="s">
        <v>336</v>
      </c>
      <c r="T468" s="181" t="s">
        <v>984</v>
      </c>
    </row>
    <row r="469" spans="1:20" x14ac:dyDescent="0.3">
      <c r="A469" s="2" t="s">
        <v>17</v>
      </c>
      <c r="B469" s="3" t="s">
        <v>467</v>
      </c>
      <c r="C469" s="6" t="s">
        <v>44</v>
      </c>
      <c r="D469" s="5" t="s">
        <v>300</v>
      </c>
      <c r="E469" s="4" t="s">
        <v>750</v>
      </c>
      <c r="F469" s="5" t="s">
        <v>417</v>
      </c>
      <c r="H469" s="2" t="s">
        <v>17</v>
      </c>
      <c r="I469" s="3" t="s">
        <v>158</v>
      </c>
      <c r="J469" s="3" t="s">
        <v>25</v>
      </c>
      <c r="K469" s="3" t="s">
        <v>25</v>
      </c>
      <c r="L469" s="3" t="s">
        <v>25</v>
      </c>
      <c r="M469" s="5" t="s">
        <v>365</v>
      </c>
      <c r="O469" s="180" t="s">
        <v>17</v>
      </c>
      <c r="P469" s="181" t="s">
        <v>654</v>
      </c>
      <c r="Q469" s="183" t="s">
        <v>606</v>
      </c>
      <c r="R469" s="184" t="s">
        <v>121</v>
      </c>
      <c r="S469" s="181" t="s">
        <v>158</v>
      </c>
      <c r="T469" s="182" t="s">
        <v>268</v>
      </c>
    </row>
    <row r="470" spans="1:20" x14ac:dyDescent="0.3">
      <c r="A470" s="2" t="s">
        <v>22</v>
      </c>
      <c r="B470" s="3" t="s">
        <v>102</v>
      </c>
      <c r="C470" s="3" t="s">
        <v>25</v>
      </c>
      <c r="D470" s="3" t="s">
        <v>25</v>
      </c>
      <c r="E470" s="3" t="s">
        <v>25</v>
      </c>
      <c r="F470" s="5" t="s">
        <v>150</v>
      </c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  <c r="O470" s="180" t="s">
        <v>22</v>
      </c>
      <c r="P470" s="181" t="s">
        <v>25</v>
      </c>
      <c r="Q470" s="181" t="s">
        <v>25</v>
      </c>
      <c r="R470" s="181" t="s">
        <v>25</v>
      </c>
      <c r="S470" s="181" t="s">
        <v>25</v>
      </c>
      <c r="T470" s="181" t="s">
        <v>25</v>
      </c>
    </row>
    <row r="471" spans="1:20" x14ac:dyDescent="0.3">
      <c r="A471" s="7" t="s">
        <v>26</v>
      </c>
      <c r="B471" s="8">
        <v>278</v>
      </c>
      <c r="C471" s="8">
        <v>127</v>
      </c>
      <c r="D471" s="8">
        <v>81</v>
      </c>
      <c r="E471" s="8">
        <v>84</v>
      </c>
      <c r="F471" s="8">
        <v>67</v>
      </c>
      <c r="H471" s="7" t="s">
        <v>26</v>
      </c>
      <c r="I471" s="8">
        <v>20</v>
      </c>
      <c r="J471" s="8">
        <v>3</v>
      </c>
      <c r="K471" s="8">
        <v>11</v>
      </c>
      <c r="L471" s="8">
        <v>3</v>
      </c>
      <c r="M471" s="8">
        <v>3</v>
      </c>
      <c r="O471" s="185" t="s">
        <v>26</v>
      </c>
      <c r="P471" s="186">
        <v>608</v>
      </c>
      <c r="Q471" s="186">
        <v>154</v>
      </c>
      <c r="R471" s="186">
        <v>175</v>
      </c>
      <c r="S471" s="186">
        <v>146</v>
      </c>
      <c r="T471" s="186">
        <v>133</v>
      </c>
    </row>
    <row r="472" spans="1:20" x14ac:dyDescent="0.3">
      <c r="A472" s="9" t="s">
        <v>27</v>
      </c>
      <c r="B472" s="10">
        <v>100</v>
      </c>
      <c r="C472" s="10">
        <v>29</v>
      </c>
      <c r="D472" s="10">
        <v>27</v>
      </c>
      <c r="E472" s="10">
        <v>40</v>
      </c>
      <c r="F472" s="10">
        <v>31</v>
      </c>
      <c r="H472" s="9" t="s">
        <v>27</v>
      </c>
      <c r="I472" s="10">
        <v>14</v>
      </c>
      <c r="J472" s="10">
        <v>3</v>
      </c>
      <c r="K472" s="10">
        <v>6</v>
      </c>
      <c r="L472" s="10">
        <v>2</v>
      </c>
      <c r="M472" s="10">
        <v>3</v>
      </c>
      <c r="O472" s="187" t="s">
        <v>27</v>
      </c>
      <c r="P472" s="188">
        <v>274</v>
      </c>
      <c r="Q472" s="188">
        <v>57</v>
      </c>
      <c r="R472" s="188">
        <v>103</v>
      </c>
      <c r="S472" s="188">
        <v>66</v>
      </c>
      <c r="T472" s="188">
        <v>48</v>
      </c>
    </row>
    <row r="473" spans="1:20" x14ac:dyDescent="0.3">
      <c r="A473" s="9" t="s">
        <v>28</v>
      </c>
      <c r="B473" s="10">
        <v>34</v>
      </c>
      <c r="C473" s="10">
        <v>18</v>
      </c>
      <c r="D473" s="10">
        <v>13</v>
      </c>
      <c r="E473" s="10">
        <v>9</v>
      </c>
      <c r="F473" s="10">
        <v>7</v>
      </c>
      <c r="H473" s="9" t="s">
        <v>28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O473" s="187" t="s">
        <v>28</v>
      </c>
      <c r="P473" s="188">
        <v>199</v>
      </c>
      <c r="Q473" s="188">
        <v>53</v>
      </c>
      <c r="R473" s="188">
        <v>48</v>
      </c>
      <c r="S473" s="188">
        <v>47</v>
      </c>
      <c r="T473" s="188">
        <v>51</v>
      </c>
    </row>
    <row r="474" spans="1:20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O474" s="187" t="s">
        <v>29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</row>
    <row r="475" spans="1:20" x14ac:dyDescent="0.3">
      <c r="A475" s="9" t="s">
        <v>30</v>
      </c>
      <c r="B475" s="10">
        <v>67</v>
      </c>
      <c r="C475" s="10">
        <v>30</v>
      </c>
      <c r="D475" s="10">
        <v>28</v>
      </c>
      <c r="E475" s="10">
        <v>17</v>
      </c>
      <c r="F475" s="10">
        <v>20</v>
      </c>
      <c r="H475" s="9" t="s">
        <v>30</v>
      </c>
      <c r="I475" s="10">
        <v>6</v>
      </c>
      <c r="J475" s="10">
        <v>0</v>
      </c>
      <c r="K475" s="10">
        <v>5</v>
      </c>
      <c r="L475" s="10">
        <v>1</v>
      </c>
      <c r="M475" s="10">
        <v>0</v>
      </c>
      <c r="O475" s="187" t="s">
        <v>30</v>
      </c>
      <c r="P475" s="188">
        <v>109</v>
      </c>
      <c r="Q475" s="188">
        <v>34</v>
      </c>
      <c r="R475" s="188">
        <v>21</v>
      </c>
      <c r="S475" s="188">
        <v>27</v>
      </c>
      <c r="T475" s="188">
        <v>27</v>
      </c>
    </row>
    <row r="476" spans="1:20" x14ac:dyDescent="0.3">
      <c r="A476" s="9" t="s">
        <v>31</v>
      </c>
      <c r="B476" s="10">
        <v>77</v>
      </c>
      <c r="C476" s="10">
        <v>50</v>
      </c>
      <c r="D476" s="10">
        <v>13</v>
      </c>
      <c r="E476" s="10">
        <v>18</v>
      </c>
      <c r="F476" s="10">
        <v>9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26</v>
      </c>
      <c r="Q476" s="188">
        <v>10</v>
      </c>
      <c r="R476" s="188">
        <v>3</v>
      </c>
      <c r="S476" s="188">
        <v>6</v>
      </c>
      <c r="T476" s="188">
        <v>7</v>
      </c>
    </row>
    <row r="477" spans="1:20" x14ac:dyDescent="0.3">
      <c r="A477" s="11" t="s">
        <v>32</v>
      </c>
      <c r="B477" s="12">
        <v>29</v>
      </c>
      <c r="C477" s="12">
        <v>9</v>
      </c>
      <c r="D477" s="12">
        <v>9</v>
      </c>
      <c r="E477" s="12">
        <v>8</v>
      </c>
      <c r="F477" s="12">
        <v>12</v>
      </c>
      <c r="H477" s="11" t="s">
        <v>32</v>
      </c>
      <c r="I477" s="12">
        <v>1</v>
      </c>
      <c r="J477" s="12">
        <v>0</v>
      </c>
      <c r="K477" s="12">
        <v>0</v>
      </c>
      <c r="L477" s="12">
        <v>0</v>
      </c>
      <c r="M477" s="12">
        <v>1</v>
      </c>
      <c r="O477" s="189" t="s">
        <v>32</v>
      </c>
      <c r="P477" s="190">
        <v>38</v>
      </c>
      <c r="Q477" s="190">
        <v>33</v>
      </c>
      <c r="R477" s="190">
        <v>3</v>
      </c>
      <c r="S477" s="190">
        <v>1</v>
      </c>
      <c r="T477" s="190">
        <v>1</v>
      </c>
    </row>
    <row r="478" spans="1:20" x14ac:dyDescent="0.3">
      <c r="A478" s="13" t="s">
        <v>33</v>
      </c>
      <c r="B478" s="14">
        <v>9</v>
      </c>
      <c r="C478" s="14">
        <v>1</v>
      </c>
      <c r="D478" s="14">
        <v>3</v>
      </c>
      <c r="E478" s="14">
        <v>0</v>
      </c>
      <c r="F478" s="14">
        <v>8</v>
      </c>
      <c r="H478" s="13" t="s">
        <v>33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O478" s="191" t="s">
        <v>33</v>
      </c>
      <c r="P478" s="192">
        <v>33</v>
      </c>
      <c r="Q478" s="192">
        <v>33</v>
      </c>
      <c r="R478" s="192">
        <v>0</v>
      </c>
      <c r="S478" s="192">
        <v>0</v>
      </c>
      <c r="T478" s="192">
        <v>0</v>
      </c>
    </row>
    <row r="479" spans="1:20" x14ac:dyDescent="0.3">
      <c r="A479" s="13" t="s">
        <v>34</v>
      </c>
      <c r="B479" s="14">
        <v>20</v>
      </c>
      <c r="C479" s="14">
        <v>8</v>
      </c>
      <c r="D479" s="14">
        <v>6</v>
      </c>
      <c r="E479" s="14">
        <v>8</v>
      </c>
      <c r="F479" s="14">
        <v>4</v>
      </c>
      <c r="H479" s="13" t="s">
        <v>34</v>
      </c>
      <c r="I479" s="14">
        <v>1</v>
      </c>
      <c r="J479" s="14">
        <v>0</v>
      </c>
      <c r="K479" s="14">
        <v>0</v>
      </c>
      <c r="L479" s="14">
        <v>0</v>
      </c>
      <c r="M479" s="14">
        <v>1</v>
      </c>
      <c r="O479" s="191" t="s">
        <v>34</v>
      </c>
      <c r="P479" s="192">
        <v>5</v>
      </c>
      <c r="Q479" s="192">
        <v>0</v>
      </c>
      <c r="R479" s="192">
        <v>3</v>
      </c>
      <c r="S479" s="192">
        <v>1</v>
      </c>
      <c r="T479" s="192">
        <v>1</v>
      </c>
    </row>
    <row r="480" spans="1:20" x14ac:dyDescent="0.3">
      <c r="A480" s="15" t="s">
        <v>35</v>
      </c>
      <c r="B480" s="16">
        <v>4</v>
      </c>
      <c r="C480" s="16">
        <v>0</v>
      </c>
      <c r="D480" s="16">
        <v>0</v>
      </c>
      <c r="E480" s="16">
        <v>0</v>
      </c>
      <c r="F480" s="16">
        <v>4</v>
      </c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O480" s="193" t="s">
        <v>35</v>
      </c>
      <c r="P480" s="194">
        <v>0</v>
      </c>
      <c r="Q480" s="194">
        <v>0</v>
      </c>
      <c r="R480" s="194">
        <v>0</v>
      </c>
      <c r="S480" s="194">
        <v>0</v>
      </c>
      <c r="T480" s="194">
        <v>0</v>
      </c>
    </row>
    <row r="481" spans="1:20" x14ac:dyDescent="0.3">
      <c r="A481" s="17" t="s">
        <v>36</v>
      </c>
      <c r="B481" s="55">
        <v>0</v>
      </c>
      <c r="C481" s="55">
        <v>0</v>
      </c>
      <c r="D481" s="55">
        <v>0</v>
      </c>
      <c r="E481" s="55">
        <v>0</v>
      </c>
      <c r="F481" s="55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  <c r="O481" s="195" t="s">
        <v>36</v>
      </c>
      <c r="P481" s="196">
        <v>0</v>
      </c>
      <c r="Q481" s="196">
        <v>0</v>
      </c>
      <c r="R481" s="196">
        <v>0</v>
      </c>
      <c r="S481" s="196">
        <v>0</v>
      </c>
      <c r="T481" s="196">
        <v>0</v>
      </c>
    </row>
    <row r="482" spans="1:20" x14ac:dyDescent="0.3">
      <c r="A482" s="17" t="s">
        <v>37</v>
      </c>
      <c r="B482" s="55">
        <v>4</v>
      </c>
      <c r="C482" s="55">
        <v>0</v>
      </c>
      <c r="D482" s="55">
        <v>0</v>
      </c>
      <c r="E482" s="55">
        <v>0</v>
      </c>
      <c r="F482" s="55">
        <v>4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  <c r="O482" s="195" t="s">
        <v>37</v>
      </c>
      <c r="P482" s="196">
        <v>0</v>
      </c>
      <c r="Q482" s="196">
        <v>0</v>
      </c>
      <c r="R482" s="196">
        <v>0</v>
      </c>
      <c r="S482" s="196">
        <v>0</v>
      </c>
      <c r="T482" s="196">
        <v>0</v>
      </c>
    </row>
    <row r="483" spans="1:20" x14ac:dyDescent="0.3">
      <c r="A483" s="17" t="s">
        <v>38</v>
      </c>
      <c r="B483" s="172" t="s">
        <v>103</v>
      </c>
      <c r="C483" s="173"/>
      <c r="D483" s="173"/>
      <c r="E483" s="173"/>
      <c r="F483" s="173"/>
      <c r="H483" s="17" t="s">
        <v>38</v>
      </c>
      <c r="I483" s="167" t="s">
        <v>1690</v>
      </c>
      <c r="J483" s="168"/>
      <c r="K483" s="168"/>
      <c r="L483" s="168"/>
      <c r="M483" s="168"/>
      <c r="O483" s="195" t="s">
        <v>38</v>
      </c>
      <c r="P483" s="167" t="s">
        <v>103</v>
      </c>
      <c r="Q483" s="168"/>
      <c r="R483" s="168"/>
      <c r="S483" s="168"/>
      <c r="T483" s="168"/>
    </row>
    <row r="484" spans="1:20" ht="19.8" x14ac:dyDescent="0.3">
      <c r="A484" s="170">
        <v>46112</v>
      </c>
      <c r="B484" s="168"/>
      <c r="C484" s="168"/>
      <c r="D484" s="168"/>
      <c r="E484" s="168"/>
      <c r="F484" s="168"/>
      <c r="H484" s="170">
        <v>46140</v>
      </c>
      <c r="I484" s="168"/>
      <c r="J484" s="168"/>
      <c r="K484" s="168"/>
      <c r="L484" s="168"/>
      <c r="M484" s="168"/>
    </row>
    <row r="485" spans="1:20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F485" s="1" t="s">
        <v>4</v>
      </c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20" x14ac:dyDescent="0.3">
      <c r="A486" s="2" t="s">
        <v>5</v>
      </c>
      <c r="B486" s="3">
        <v>7018</v>
      </c>
      <c r="C486" s="3">
        <v>1779</v>
      </c>
      <c r="D486" s="3">
        <v>1947</v>
      </c>
      <c r="E486" s="3">
        <v>1685</v>
      </c>
      <c r="F486" s="3">
        <v>1607</v>
      </c>
      <c r="H486" s="2" t="s">
        <v>5</v>
      </c>
      <c r="I486" s="3">
        <v>3954</v>
      </c>
      <c r="J486" s="3">
        <v>1514</v>
      </c>
      <c r="K486" s="3">
        <v>1358</v>
      </c>
      <c r="L486" s="3">
        <v>888</v>
      </c>
      <c r="M486" s="3">
        <v>194</v>
      </c>
    </row>
    <row r="487" spans="1:20" x14ac:dyDescent="0.3">
      <c r="A487" s="2" t="s">
        <v>6</v>
      </c>
      <c r="B487" s="3">
        <v>455</v>
      </c>
      <c r="C487" s="5">
        <v>122</v>
      </c>
      <c r="D487" s="6">
        <v>115</v>
      </c>
      <c r="E487" s="4">
        <v>110</v>
      </c>
      <c r="F487" s="3">
        <v>108</v>
      </c>
      <c r="H487" s="2" t="s">
        <v>6</v>
      </c>
      <c r="I487" s="3">
        <v>67</v>
      </c>
      <c r="J487" s="6">
        <v>19</v>
      </c>
      <c r="K487" s="5">
        <v>27</v>
      </c>
      <c r="L487" s="4">
        <v>14</v>
      </c>
      <c r="M487" s="3">
        <v>7</v>
      </c>
    </row>
    <row r="488" spans="1:20" x14ac:dyDescent="0.3">
      <c r="A488" s="2" t="s">
        <v>7</v>
      </c>
      <c r="B488" s="3" t="s">
        <v>1170</v>
      </c>
      <c r="C488" s="5" t="s">
        <v>1171</v>
      </c>
      <c r="D488" s="3" t="s">
        <v>1172</v>
      </c>
      <c r="E488" s="4" t="s">
        <v>375</v>
      </c>
      <c r="F488" s="6" t="s">
        <v>1173</v>
      </c>
      <c r="H488" s="2" t="s">
        <v>7</v>
      </c>
      <c r="I488" s="3" t="s">
        <v>648</v>
      </c>
      <c r="J488" s="3" t="s">
        <v>476</v>
      </c>
      <c r="K488" s="6" t="s">
        <v>1073</v>
      </c>
      <c r="L488" s="4" t="s">
        <v>187</v>
      </c>
      <c r="M488" s="5" t="s">
        <v>1703</v>
      </c>
    </row>
    <row r="489" spans="1:20" x14ac:dyDescent="0.3">
      <c r="A489" s="2" t="s">
        <v>12</v>
      </c>
      <c r="B489" s="3" t="s">
        <v>529</v>
      </c>
      <c r="C489" s="5" t="s">
        <v>61</v>
      </c>
      <c r="D489" s="3" t="s">
        <v>1174</v>
      </c>
      <c r="E489" s="6" t="s">
        <v>1175</v>
      </c>
      <c r="F489" s="4" t="s">
        <v>558</v>
      </c>
      <c r="H489" s="2" t="s">
        <v>12</v>
      </c>
      <c r="I489" s="3" t="s">
        <v>510</v>
      </c>
      <c r="J489" s="3" t="s">
        <v>405</v>
      </c>
      <c r="K489" s="6" t="s">
        <v>1704</v>
      </c>
      <c r="L489" s="4" t="s">
        <v>1451</v>
      </c>
      <c r="M489" s="5" t="s">
        <v>1096</v>
      </c>
    </row>
    <row r="490" spans="1:20" x14ac:dyDescent="0.3">
      <c r="A490" s="2" t="s">
        <v>17</v>
      </c>
      <c r="B490" s="3" t="s">
        <v>317</v>
      </c>
      <c r="C490" s="4" t="s">
        <v>100</v>
      </c>
      <c r="D490" s="3" t="s">
        <v>77</v>
      </c>
      <c r="E490" s="6" t="s">
        <v>78</v>
      </c>
      <c r="F490" s="5" t="s">
        <v>850</v>
      </c>
      <c r="H490" s="2" t="s">
        <v>17</v>
      </c>
      <c r="I490" s="3" t="s">
        <v>121</v>
      </c>
      <c r="J490" s="6" t="s">
        <v>99</v>
      </c>
      <c r="K490" s="3" t="s">
        <v>138</v>
      </c>
      <c r="L490" s="4" t="s">
        <v>49</v>
      </c>
      <c r="M490" s="5" t="s">
        <v>591</v>
      </c>
    </row>
    <row r="491" spans="1:20" x14ac:dyDescent="0.3">
      <c r="A491" s="2" t="s">
        <v>22</v>
      </c>
      <c r="B491" s="3" t="s">
        <v>552</v>
      </c>
      <c r="C491" s="6" t="s">
        <v>268</v>
      </c>
      <c r="D491" s="3" t="s">
        <v>25</v>
      </c>
      <c r="E491" s="3" t="s">
        <v>25</v>
      </c>
      <c r="F491" s="5" t="s">
        <v>268</v>
      </c>
      <c r="H491" s="2" t="s">
        <v>22</v>
      </c>
      <c r="I491" s="3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1:20" x14ac:dyDescent="0.3">
      <c r="A492" s="7" t="s">
        <v>26</v>
      </c>
      <c r="B492" s="8">
        <v>428</v>
      </c>
      <c r="C492" s="8">
        <v>114</v>
      </c>
      <c r="D492" s="8">
        <v>111</v>
      </c>
      <c r="E492" s="8">
        <v>106</v>
      </c>
      <c r="F492" s="8">
        <v>97</v>
      </c>
      <c r="H492" s="7" t="s">
        <v>26</v>
      </c>
      <c r="I492" s="8">
        <v>61</v>
      </c>
      <c r="J492" s="8">
        <v>16</v>
      </c>
      <c r="K492" s="8">
        <v>26</v>
      </c>
      <c r="L492" s="8">
        <v>13</v>
      </c>
      <c r="M492" s="8">
        <v>6</v>
      </c>
    </row>
    <row r="493" spans="1:20" x14ac:dyDescent="0.3">
      <c r="A493" s="9" t="s">
        <v>27</v>
      </c>
      <c r="B493" s="10">
        <v>156</v>
      </c>
      <c r="C493" s="10">
        <v>32</v>
      </c>
      <c r="D493" s="10">
        <v>41</v>
      </c>
      <c r="E493" s="10">
        <v>46</v>
      </c>
      <c r="F493" s="10">
        <v>37</v>
      </c>
      <c r="H493" s="9" t="s">
        <v>27</v>
      </c>
      <c r="I493" s="10">
        <v>52</v>
      </c>
      <c r="J493" s="10">
        <v>13</v>
      </c>
      <c r="K493" s="10">
        <v>23</v>
      </c>
      <c r="L493" s="10">
        <v>11</v>
      </c>
      <c r="M493" s="10">
        <v>5</v>
      </c>
    </row>
    <row r="494" spans="1:20" x14ac:dyDescent="0.3">
      <c r="A494" s="9" t="s">
        <v>28</v>
      </c>
      <c r="B494" s="10">
        <v>64</v>
      </c>
      <c r="C494" s="10">
        <v>21</v>
      </c>
      <c r="D494" s="10">
        <v>19</v>
      </c>
      <c r="E494" s="10">
        <v>18</v>
      </c>
      <c r="F494" s="10">
        <v>6</v>
      </c>
      <c r="H494" s="9" t="s">
        <v>28</v>
      </c>
      <c r="I494" s="10">
        <v>2</v>
      </c>
      <c r="J494" s="10">
        <v>1</v>
      </c>
      <c r="K494" s="10">
        <v>1</v>
      </c>
      <c r="L494" s="10">
        <v>0</v>
      </c>
      <c r="M494" s="10">
        <v>0</v>
      </c>
    </row>
    <row r="495" spans="1:20" x14ac:dyDescent="0.3">
      <c r="A495" s="9" t="s">
        <v>29</v>
      </c>
      <c r="B495" s="10">
        <v>0</v>
      </c>
      <c r="C495" s="10">
        <v>0</v>
      </c>
      <c r="D495" s="10">
        <v>0</v>
      </c>
      <c r="E495" s="10">
        <v>0</v>
      </c>
      <c r="F495" s="10">
        <v>0</v>
      </c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20" x14ac:dyDescent="0.3">
      <c r="A496" s="9" t="s">
        <v>30</v>
      </c>
      <c r="B496" s="10">
        <v>159</v>
      </c>
      <c r="C496" s="10">
        <v>41</v>
      </c>
      <c r="D496" s="10">
        <v>44</v>
      </c>
      <c r="E496" s="10">
        <v>32</v>
      </c>
      <c r="F496" s="10">
        <v>42</v>
      </c>
      <c r="H496" s="9" t="s">
        <v>30</v>
      </c>
      <c r="I496" s="10">
        <v>7</v>
      </c>
      <c r="J496" s="10">
        <v>2</v>
      </c>
      <c r="K496" s="10">
        <v>2</v>
      </c>
      <c r="L496" s="10">
        <v>2</v>
      </c>
      <c r="M496" s="10">
        <v>1</v>
      </c>
    </row>
    <row r="497" spans="1:13" x14ac:dyDescent="0.3">
      <c r="A497" s="9" t="s">
        <v>31</v>
      </c>
      <c r="B497" s="10">
        <v>49</v>
      </c>
      <c r="C497" s="10">
        <v>20</v>
      </c>
      <c r="D497" s="10">
        <v>7</v>
      </c>
      <c r="E497" s="10">
        <v>10</v>
      </c>
      <c r="F497" s="10">
        <v>12</v>
      </c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3">
      <c r="A498" s="11" t="s">
        <v>32</v>
      </c>
      <c r="B498" s="12">
        <v>32</v>
      </c>
      <c r="C498" s="12">
        <v>6</v>
      </c>
      <c r="D498" s="12">
        <v>4</v>
      </c>
      <c r="E498" s="12">
        <v>7</v>
      </c>
      <c r="F498" s="12">
        <v>15</v>
      </c>
      <c r="H498" s="11" t="s">
        <v>32</v>
      </c>
      <c r="I498" s="12">
        <v>6</v>
      </c>
      <c r="J498" s="12">
        <v>3</v>
      </c>
      <c r="K498" s="12">
        <v>1</v>
      </c>
      <c r="L498" s="12">
        <v>1</v>
      </c>
      <c r="M498" s="12">
        <v>1</v>
      </c>
    </row>
    <row r="499" spans="1:13" x14ac:dyDescent="0.3">
      <c r="A499" s="13" t="s">
        <v>33</v>
      </c>
      <c r="B499" s="14">
        <v>17</v>
      </c>
      <c r="C499" s="14">
        <v>2</v>
      </c>
      <c r="D499" s="14">
        <v>1</v>
      </c>
      <c r="E499" s="14">
        <v>3</v>
      </c>
      <c r="F499" s="14">
        <v>11</v>
      </c>
      <c r="H499" s="13" t="s">
        <v>33</v>
      </c>
      <c r="I499" s="14">
        <v>3</v>
      </c>
      <c r="J499" s="14">
        <v>2</v>
      </c>
      <c r="K499" s="14">
        <v>0</v>
      </c>
      <c r="L499" s="14">
        <v>1</v>
      </c>
      <c r="M499" s="14">
        <v>0</v>
      </c>
    </row>
    <row r="500" spans="1:13" x14ac:dyDescent="0.3">
      <c r="A500" s="13" t="s">
        <v>34</v>
      </c>
      <c r="B500" s="14">
        <v>15</v>
      </c>
      <c r="C500" s="14">
        <v>4</v>
      </c>
      <c r="D500" s="14">
        <v>3</v>
      </c>
      <c r="E500" s="14">
        <v>4</v>
      </c>
      <c r="F500" s="14">
        <v>4</v>
      </c>
      <c r="H500" s="13" t="s">
        <v>34</v>
      </c>
      <c r="I500" s="14">
        <v>3</v>
      </c>
      <c r="J500" s="14">
        <v>1</v>
      </c>
      <c r="K500" s="14">
        <v>1</v>
      </c>
      <c r="L500" s="14">
        <v>0</v>
      </c>
      <c r="M500" s="14">
        <v>1</v>
      </c>
    </row>
    <row r="501" spans="1:13" x14ac:dyDescent="0.3">
      <c r="A501" s="15" t="s">
        <v>35</v>
      </c>
      <c r="B501" s="16">
        <v>2</v>
      </c>
      <c r="C501" s="16">
        <v>1</v>
      </c>
      <c r="D501" s="16">
        <v>0</v>
      </c>
      <c r="E501" s="16">
        <v>0</v>
      </c>
      <c r="F501" s="16">
        <v>1</v>
      </c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1:13" x14ac:dyDescent="0.3">
      <c r="A502" s="17" t="s">
        <v>36</v>
      </c>
      <c r="B502" s="56">
        <v>0</v>
      </c>
      <c r="C502" s="56">
        <v>0</v>
      </c>
      <c r="D502" s="56">
        <v>0</v>
      </c>
      <c r="E502" s="56">
        <v>0</v>
      </c>
      <c r="F502" s="56">
        <v>0</v>
      </c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1:13" x14ac:dyDescent="0.3">
      <c r="A503" s="17" t="s">
        <v>37</v>
      </c>
      <c r="B503" s="56">
        <v>2</v>
      </c>
      <c r="C503" s="56">
        <v>1</v>
      </c>
      <c r="D503" s="56">
        <v>0</v>
      </c>
      <c r="E503" s="56">
        <v>0</v>
      </c>
      <c r="F503" s="56">
        <v>1</v>
      </c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1:13" x14ac:dyDescent="0.3">
      <c r="A504" s="17" t="s">
        <v>38</v>
      </c>
      <c r="B504" s="167" t="s">
        <v>103</v>
      </c>
      <c r="C504" s="168"/>
      <c r="D504" s="168"/>
      <c r="E504" s="168"/>
      <c r="F504" s="168"/>
      <c r="H504" s="17" t="s">
        <v>38</v>
      </c>
      <c r="I504" s="167" t="s">
        <v>1690</v>
      </c>
      <c r="J504" s="168"/>
      <c r="K504" s="168"/>
      <c r="L504" s="168"/>
      <c r="M504" s="168"/>
    </row>
    <row r="505" spans="1:13" ht="19.8" x14ac:dyDescent="0.3">
      <c r="H505" s="170">
        <v>46141</v>
      </c>
      <c r="I505" s="168"/>
      <c r="J505" s="168"/>
      <c r="K505" s="168"/>
      <c r="L505" s="168"/>
      <c r="M505" s="168"/>
    </row>
    <row r="506" spans="1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1:13" x14ac:dyDescent="0.3">
      <c r="H507" s="2" t="s">
        <v>5</v>
      </c>
      <c r="I507" s="3">
        <v>4153</v>
      </c>
      <c r="J507" s="3">
        <v>1458</v>
      </c>
      <c r="K507" s="3">
        <v>1266</v>
      </c>
      <c r="L507" s="3">
        <v>928</v>
      </c>
      <c r="M507" s="3">
        <v>501</v>
      </c>
    </row>
    <row r="508" spans="1:13" x14ac:dyDescent="0.3">
      <c r="H508" s="2" t="s">
        <v>6</v>
      </c>
      <c r="I508" s="3">
        <v>96</v>
      </c>
      <c r="J508" s="6">
        <v>26</v>
      </c>
      <c r="K508" s="5">
        <v>38</v>
      </c>
      <c r="L508" s="4">
        <v>20</v>
      </c>
      <c r="M508" s="3">
        <v>12</v>
      </c>
    </row>
    <row r="509" spans="1:13" x14ac:dyDescent="0.3">
      <c r="H509" s="2" t="s">
        <v>7</v>
      </c>
      <c r="I509" s="3" t="s">
        <v>43</v>
      </c>
      <c r="J509" s="3" t="s">
        <v>546</v>
      </c>
      <c r="K509" s="5" t="s">
        <v>1248</v>
      </c>
      <c r="L509" s="4" t="s">
        <v>292</v>
      </c>
      <c r="M509" s="6" t="s">
        <v>924</v>
      </c>
    </row>
    <row r="510" spans="1:13" x14ac:dyDescent="0.3">
      <c r="H510" s="2" t="s">
        <v>12</v>
      </c>
      <c r="I510" s="3" t="s">
        <v>511</v>
      </c>
      <c r="J510" s="3" t="s">
        <v>182</v>
      </c>
      <c r="K510" s="5" t="s">
        <v>888</v>
      </c>
      <c r="L510" s="4" t="s">
        <v>131</v>
      </c>
      <c r="M510" s="6" t="s">
        <v>526</v>
      </c>
    </row>
    <row r="511" spans="1:13" x14ac:dyDescent="0.3">
      <c r="H511" s="2" t="s">
        <v>17</v>
      </c>
      <c r="I511" s="3" t="s">
        <v>227</v>
      </c>
      <c r="J511" s="3" t="s">
        <v>310</v>
      </c>
      <c r="K511" s="6" t="s">
        <v>146</v>
      </c>
      <c r="L511" s="4" t="s">
        <v>122</v>
      </c>
      <c r="M511" s="5" t="s">
        <v>233</v>
      </c>
    </row>
    <row r="512" spans="1:13" x14ac:dyDescent="0.3">
      <c r="H512" s="2" t="s">
        <v>22</v>
      </c>
      <c r="I512" s="3" t="s">
        <v>267</v>
      </c>
      <c r="J512" s="3" t="s">
        <v>25</v>
      </c>
      <c r="K512" s="5" t="s">
        <v>309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87</v>
      </c>
      <c r="J513" s="8">
        <v>24</v>
      </c>
      <c r="K513" s="8">
        <v>34</v>
      </c>
      <c r="L513" s="8">
        <v>18</v>
      </c>
      <c r="M513" s="8">
        <v>11</v>
      </c>
    </row>
    <row r="514" spans="8:13" x14ac:dyDescent="0.3">
      <c r="H514" s="9" t="s">
        <v>27</v>
      </c>
      <c r="I514" s="10">
        <v>77</v>
      </c>
      <c r="J514" s="10">
        <v>21</v>
      </c>
      <c r="K514" s="10">
        <v>31</v>
      </c>
      <c r="L514" s="10">
        <v>16</v>
      </c>
      <c r="M514" s="10">
        <v>9</v>
      </c>
    </row>
    <row r="515" spans="8:13" x14ac:dyDescent="0.3">
      <c r="H515" s="9" t="s">
        <v>28</v>
      </c>
      <c r="I515" s="10">
        <v>2</v>
      </c>
      <c r="J515" s="10">
        <v>2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8</v>
      </c>
      <c r="J517" s="10">
        <v>1</v>
      </c>
      <c r="K517" s="10">
        <v>3</v>
      </c>
      <c r="L517" s="10">
        <v>2</v>
      </c>
      <c r="M517" s="10">
        <v>2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12</v>
      </c>
      <c r="J519" s="12">
        <v>2</v>
      </c>
      <c r="K519" s="12">
        <v>4</v>
      </c>
      <c r="L519" s="12">
        <v>2</v>
      </c>
      <c r="M519" s="12">
        <v>4</v>
      </c>
    </row>
    <row r="520" spans="8:13" x14ac:dyDescent="0.3">
      <c r="H520" s="13" t="s">
        <v>33</v>
      </c>
      <c r="I520" s="14">
        <v>2</v>
      </c>
      <c r="J520" s="14">
        <v>0</v>
      </c>
      <c r="K520" s="14">
        <v>0</v>
      </c>
      <c r="L520" s="14">
        <v>1</v>
      </c>
      <c r="M520" s="14">
        <v>1</v>
      </c>
    </row>
    <row r="521" spans="8:13" x14ac:dyDescent="0.3">
      <c r="H521" s="13" t="s">
        <v>34</v>
      </c>
      <c r="I521" s="14">
        <v>10</v>
      </c>
      <c r="J521" s="14">
        <v>2</v>
      </c>
      <c r="K521" s="14">
        <v>4</v>
      </c>
      <c r="L521" s="14">
        <v>1</v>
      </c>
      <c r="M521" s="14">
        <v>3</v>
      </c>
    </row>
    <row r="522" spans="8:13" x14ac:dyDescent="0.3">
      <c r="H522" s="15" t="s">
        <v>35</v>
      </c>
      <c r="I522" s="16">
        <v>1</v>
      </c>
      <c r="J522" s="16">
        <v>0</v>
      </c>
      <c r="K522" s="16">
        <v>1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1</v>
      </c>
      <c r="J523" s="109">
        <v>0</v>
      </c>
      <c r="K523" s="109">
        <v>1</v>
      </c>
      <c r="L523" s="109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8:13" x14ac:dyDescent="0.3">
      <c r="H525" s="17" t="s">
        <v>38</v>
      </c>
      <c r="I525" s="167" t="s">
        <v>1750</v>
      </c>
      <c r="J525" s="168"/>
      <c r="K525" s="168"/>
      <c r="L525" s="168"/>
      <c r="M525" s="168"/>
    </row>
    <row r="526" spans="8:13" ht="19.8" x14ac:dyDescent="0.3">
      <c r="H526" s="170">
        <v>46142</v>
      </c>
      <c r="I526" s="168"/>
      <c r="J526" s="168"/>
      <c r="K526" s="168"/>
      <c r="L526" s="168"/>
      <c r="M526" s="168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8:13" x14ac:dyDescent="0.3">
      <c r="H528" s="2" t="s">
        <v>5</v>
      </c>
      <c r="I528" s="3">
        <v>4313</v>
      </c>
      <c r="J528" s="3">
        <v>1525</v>
      </c>
      <c r="K528" s="3">
        <v>1347</v>
      </c>
      <c r="L528" s="3">
        <v>989</v>
      </c>
      <c r="M528" s="3">
        <v>452</v>
      </c>
    </row>
    <row r="529" spans="8:13" x14ac:dyDescent="0.3">
      <c r="H529" s="2" t="s">
        <v>6</v>
      </c>
      <c r="I529" s="3">
        <v>101</v>
      </c>
      <c r="J529" s="5">
        <v>39</v>
      </c>
      <c r="K529" s="6">
        <v>37</v>
      </c>
      <c r="L529" s="4">
        <v>13</v>
      </c>
      <c r="M529" s="3">
        <v>12</v>
      </c>
    </row>
    <row r="530" spans="8:13" x14ac:dyDescent="0.3">
      <c r="H530" s="2" t="s">
        <v>7</v>
      </c>
      <c r="I530" s="3" t="s">
        <v>1763</v>
      </c>
      <c r="J530" s="4" t="s">
        <v>402</v>
      </c>
      <c r="K530" s="5" t="s">
        <v>1083</v>
      </c>
      <c r="L530" s="3" t="s">
        <v>559</v>
      </c>
      <c r="M530" s="6" t="s">
        <v>441</v>
      </c>
    </row>
    <row r="531" spans="8:13" x14ac:dyDescent="0.3">
      <c r="H531" s="2" t="s">
        <v>12</v>
      </c>
      <c r="I531" s="3" t="s">
        <v>606</v>
      </c>
      <c r="J531" s="4" t="s">
        <v>155</v>
      </c>
      <c r="K531" s="6" t="s">
        <v>974</v>
      </c>
      <c r="L531" s="3" t="s">
        <v>1282</v>
      </c>
      <c r="M531" s="5" t="s">
        <v>441</v>
      </c>
    </row>
    <row r="532" spans="8:13" x14ac:dyDescent="0.3">
      <c r="H532" s="2" t="s">
        <v>17</v>
      </c>
      <c r="I532" s="3" t="s">
        <v>337</v>
      </c>
      <c r="J532" s="5" t="s">
        <v>452</v>
      </c>
      <c r="K532" s="4" t="s">
        <v>591</v>
      </c>
      <c r="L532" s="3" t="s">
        <v>147</v>
      </c>
      <c r="M532" s="6" t="s">
        <v>272</v>
      </c>
    </row>
    <row r="533" spans="8:13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8:13" x14ac:dyDescent="0.3">
      <c r="H534" s="7" t="s">
        <v>26</v>
      </c>
      <c r="I534" s="8">
        <v>75</v>
      </c>
      <c r="J534" s="8">
        <v>23</v>
      </c>
      <c r="K534" s="8">
        <v>30</v>
      </c>
      <c r="L534" s="8">
        <v>10</v>
      </c>
      <c r="M534" s="8">
        <v>12</v>
      </c>
    </row>
    <row r="535" spans="8:13" x14ac:dyDescent="0.3">
      <c r="H535" s="9" t="s">
        <v>27</v>
      </c>
      <c r="I535" s="10">
        <v>59</v>
      </c>
      <c r="J535" s="10">
        <v>18</v>
      </c>
      <c r="K535" s="10">
        <v>23</v>
      </c>
      <c r="L535" s="10">
        <v>8</v>
      </c>
      <c r="M535" s="10">
        <v>10</v>
      </c>
    </row>
    <row r="536" spans="8:13" x14ac:dyDescent="0.3">
      <c r="H536" s="9" t="s">
        <v>28</v>
      </c>
      <c r="I536" s="10">
        <v>1</v>
      </c>
      <c r="J536" s="10">
        <v>1</v>
      </c>
      <c r="K536" s="10">
        <v>0</v>
      </c>
      <c r="L536" s="10">
        <v>0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15</v>
      </c>
      <c r="J538" s="10">
        <v>4</v>
      </c>
      <c r="K538" s="10">
        <v>7</v>
      </c>
      <c r="L538" s="10">
        <v>2</v>
      </c>
      <c r="M538" s="10">
        <v>2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29</v>
      </c>
      <c r="J540" s="12">
        <v>15</v>
      </c>
      <c r="K540" s="12">
        <v>7</v>
      </c>
      <c r="L540" s="12">
        <v>3</v>
      </c>
      <c r="M540" s="12">
        <v>4</v>
      </c>
    </row>
    <row r="541" spans="8:13" x14ac:dyDescent="0.3">
      <c r="H541" s="13" t="s">
        <v>33</v>
      </c>
      <c r="I541" s="14">
        <v>12</v>
      </c>
      <c r="J541" s="14">
        <v>12</v>
      </c>
      <c r="K541" s="14">
        <v>0</v>
      </c>
      <c r="L541" s="14">
        <v>0</v>
      </c>
      <c r="M541" s="14">
        <v>0</v>
      </c>
    </row>
    <row r="542" spans="8:13" x14ac:dyDescent="0.3">
      <c r="H542" s="13" t="s">
        <v>34</v>
      </c>
      <c r="I542" s="14">
        <v>17</v>
      </c>
      <c r="J542" s="14">
        <v>3</v>
      </c>
      <c r="K542" s="14">
        <v>7</v>
      </c>
      <c r="L542" s="14">
        <v>3</v>
      </c>
      <c r="M542" s="14">
        <v>4</v>
      </c>
    </row>
    <row r="543" spans="8:13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67" t="s">
        <v>1690</v>
      </c>
      <c r="J546" s="168"/>
      <c r="K546" s="168"/>
      <c r="L546" s="168"/>
      <c r="M546" s="168"/>
    </row>
  </sheetData>
  <mergeCells count="146">
    <mergeCell ref="O400:T400"/>
    <mergeCell ref="P420:T420"/>
    <mergeCell ref="O421:T421"/>
    <mergeCell ref="P441:T441"/>
    <mergeCell ref="O442:T442"/>
    <mergeCell ref="P462:T462"/>
    <mergeCell ref="O463:T463"/>
    <mergeCell ref="P483:T483"/>
    <mergeCell ref="P189:T189"/>
    <mergeCell ref="O190:T190"/>
    <mergeCell ref="P210:T210"/>
    <mergeCell ref="O22:T22"/>
    <mergeCell ref="P42:T42"/>
    <mergeCell ref="O148:T148"/>
    <mergeCell ref="P168:T168"/>
    <mergeCell ref="O169:T169"/>
    <mergeCell ref="H526:M526"/>
    <mergeCell ref="H316:M316"/>
    <mergeCell ref="H211:M211"/>
    <mergeCell ref="I231:M231"/>
    <mergeCell ref="H232:M232"/>
    <mergeCell ref="H190:M190"/>
    <mergeCell ref="I210:M210"/>
    <mergeCell ref="H169:M169"/>
    <mergeCell ref="I189:M189"/>
    <mergeCell ref="I168:M168"/>
    <mergeCell ref="H148:M148"/>
    <mergeCell ref="I147:M147"/>
    <mergeCell ref="H127:M127"/>
    <mergeCell ref="H106:M106"/>
    <mergeCell ref="I126:M126"/>
    <mergeCell ref="H64:M64"/>
    <mergeCell ref="I546:M546"/>
    <mergeCell ref="O1:T1"/>
    <mergeCell ref="P21:T21"/>
    <mergeCell ref="O43:T43"/>
    <mergeCell ref="P63:T63"/>
    <mergeCell ref="O64:T64"/>
    <mergeCell ref="P84:T84"/>
    <mergeCell ref="O85:T85"/>
    <mergeCell ref="P105:T105"/>
    <mergeCell ref="O106:T106"/>
    <mergeCell ref="P126:T126"/>
    <mergeCell ref="O127:T127"/>
    <mergeCell ref="P147:T147"/>
    <mergeCell ref="I252:M252"/>
    <mergeCell ref="H253:M253"/>
    <mergeCell ref="I273:M273"/>
    <mergeCell ref="H358:M358"/>
    <mergeCell ref="I378:M378"/>
    <mergeCell ref="H274:M274"/>
    <mergeCell ref="I294:M294"/>
    <mergeCell ref="H337:M337"/>
    <mergeCell ref="I357:M357"/>
    <mergeCell ref="H295:M295"/>
    <mergeCell ref="I315:M315"/>
    <mergeCell ref="I84:M84"/>
    <mergeCell ref="H85:M85"/>
    <mergeCell ref="I105:M105"/>
    <mergeCell ref="H43:M43"/>
    <mergeCell ref="I63:M63"/>
    <mergeCell ref="B462:F462"/>
    <mergeCell ref="A463:F463"/>
    <mergeCell ref="B483:F483"/>
    <mergeCell ref="B252:F252"/>
    <mergeCell ref="A127:F127"/>
    <mergeCell ref="A421:F421"/>
    <mergeCell ref="B441:F441"/>
    <mergeCell ref="A442:F442"/>
    <mergeCell ref="B147:F147"/>
    <mergeCell ref="A148:F148"/>
    <mergeCell ref="B168:F168"/>
    <mergeCell ref="A169:F169"/>
    <mergeCell ref="B189:F189"/>
    <mergeCell ref="A190:F190"/>
    <mergeCell ref="B210:F210"/>
    <mergeCell ref="A211:F211"/>
    <mergeCell ref="B126:F126"/>
    <mergeCell ref="B105:F105"/>
    <mergeCell ref="A106:F106"/>
    <mergeCell ref="A1:F1"/>
    <mergeCell ref="B21:F21"/>
    <mergeCell ref="A22:F22"/>
    <mergeCell ref="B42:F42"/>
    <mergeCell ref="A43:F43"/>
    <mergeCell ref="B63:F63"/>
    <mergeCell ref="A64:F64"/>
    <mergeCell ref="B84:F84"/>
    <mergeCell ref="A85:F85"/>
    <mergeCell ref="B336:F336"/>
    <mergeCell ref="A316:F316"/>
    <mergeCell ref="A253:F253"/>
    <mergeCell ref="B273:F273"/>
    <mergeCell ref="A274:F274"/>
    <mergeCell ref="B294:F294"/>
    <mergeCell ref="B315:F315"/>
    <mergeCell ref="A295:F295"/>
    <mergeCell ref="A484:F484"/>
    <mergeCell ref="B504:F504"/>
    <mergeCell ref="H1:M1"/>
    <mergeCell ref="I21:M21"/>
    <mergeCell ref="H22:M22"/>
    <mergeCell ref="I42:M42"/>
    <mergeCell ref="A400:F400"/>
    <mergeCell ref="B420:F420"/>
    <mergeCell ref="A358:F358"/>
    <mergeCell ref="B378:F378"/>
    <mergeCell ref="A337:F337"/>
    <mergeCell ref="B357:F357"/>
    <mergeCell ref="A379:F379"/>
    <mergeCell ref="B399:F399"/>
    <mergeCell ref="B231:F231"/>
    <mergeCell ref="A232:F232"/>
    <mergeCell ref="I336:M336"/>
    <mergeCell ref="H421:M421"/>
    <mergeCell ref="I441:M441"/>
    <mergeCell ref="H442:M442"/>
    <mergeCell ref="I462:M462"/>
    <mergeCell ref="H400:M400"/>
    <mergeCell ref="I420:M420"/>
    <mergeCell ref="H379:M379"/>
    <mergeCell ref="I399:M399"/>
    <mergeCell ref="I525:M525"/>
    <mergeCell ref="H463:M463"/>
    <mergeCell ref="I483:M483"/>
    <mergeCell ref="H484:M484"/>
    <mergeCell ref="I504:M504"/>
    <mergeCell ref="H505:M505"/>
    <mergeCell ref="O211:T211"/>
    <mergeCell ref="P231:T231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O316:T316"/>
    <mergeCell ref="P336:T336"/>
    <mergeCell ref="O337:T337"/>
    <mergeCell ref="P357:T357"/>
    <mergeCell ref="O358:T358"/>
    <mergeCell ref="P378:T378"/>
    <mergeCell ref="O379:T379"/>
    <mergeCell ref="P399:T399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CEA4-3238-4653-B257-4B12EC7DEB56}">
  <dimension ref="A1:T546"/>
  <sheetViews>
    <sheetView topLeftCell="A479" workbookViewId="0">
      <selection activeCell="O464" sqref="O464"/>
    </sheetView>
  </sheetViews>
  <sheetFormatPr defaultRowHeight="15" x14ac:dyDescent="0.3"/>
  <cols>
    <col min="9" max="9" width="10.875" bestFit="1" customWidth="1"/>
  </cols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1"/>
      <c r="J1" s="171"/>
      <c r="K1" s="171"/>
      <c r="L1" s="171"/>
      <c r="M1" s="171"/>
      <c r="O1" s="170">
        <v>46143</v>
      </c>
      <c r="P1" s="168"/>
      <c r="Q1" s="168"/>
      <c r="R1" s="168"/>
      <c r="S1" s="168"/>
      <c r="T1" s="168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870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870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1882</v>
      </c>
      <c r="C3" s="3">
        <v>316</v>
      </c>
      <c r="D3" s="3">
        <v>768</v>
      </c>
      <c r="E3" s="3">
        <v>0</v>
      </c>
      <c r="F3" s="3">
        <v>798</v>
      </c>
      <c r="H3" s="2" t="s">
        <v>5</v>
      </c>
      <c r="I3" s="3">
        <v>5582</v>
      </c>
      <c r="J3" s="3">
        <v>1826</v>
      </c>
      <c r="K3" s="3">
        <v>1896</v>
      </c>
      <c r="L3" s="3">
        <v>0</v>
      </c>
      <c r="M3" s="3">
        <v>1860</v>
      </c>
      <c r="O3" s="2" t="s">
        <v>5</v>
      </c>
      <c r="P3" s="3">
        <v>6916</v>
      </c>
      <c r="Q3" s="3">
        <v>2381</v>
      </c>
      <c r="R3" s="3">
        <v>1954</v>
      </c>
      <c r="S3" s="3">
        <v>1494</v>
      </c>
      <c r="T3" s="3">
        <v>1087</v>
      </c>
    </row>
    <row r="4" spans="1:20" x14ac:dyDescent="0.3">
      <c r="A4" s="2" t="s">
        <v>6</v>
      </c>
      <c r="B4" s="3">
        <v>346</v>
      </c>
      <c r="C4" s="4">
        <v>91</v>
      </c>
      <c r="D4" s="5">
        <v>155</v>
      </c>
      <c r="E4" s="3">
        <v>0</v>
      </c>
      <c r="F4" s="6">
        <v>100</v>
      </c>
      <c r="H4" s="2" t="s">
        <v>6</v>
      </c>
      <c r="I4" s="3">
        <v>424</v>
      </c>
      <c r="J4" s="4">
        <v>122</v>
      </c>
      <c r="K4" s="6">
        <v>143</v>
      </c>
      <c r="L4" s="3">
        <v>0</v>
      </c>
      <c r="M4" s="5">
        <v>159</v>
      </c>
      <c r="O4" s="2" t="s">
        <v>6</v>
      </c>
      <c r="P4" s="3">
        <v>621</v>
      </c>
      <c r="Q4" s="3">
        <v>107</v>
      </c>
      <c r="R4" s="5">
        <v>232</v>
      </c>
      <c r="S4" s="4">
        <v>138</v>
      </c>
      <c r="T4" s="6">
        <v>144</v>
      </c>
    </row>
    <row r="5" spans="1:20" x14ac:dyDescent="0.3">
      <c r="A5" s="2" t="s">
        <v>7</v>
      </c>
      <c r="B5" s="3" t="s">
        <v>8</v>
      </c>
      <c r="C5" s="5" t="s">
        <v>9</v>
      </c>
      <c r="D5" s="6" t="s">
        <v>10</v>
      </c>
      <c r="E5" s="3">
        <v>0</v>
      </c>
      <c r="F5" s="4" t="s">
        <v>11</v>
      </c>
      <c r="H5" s="2" t="s">
        <v>7</v>
      </c>
      <c r="I5" s="3" t="s">
        <v>1126</v>
      </c>
      <c r="J5" s="4" t="s">
        <v>111</v>
      </c>
      <c r="K5" s="6" t="s">
        <v>1209</v>
      </c>
      <c r="L5" s="3">
        <v>0</v>
      </c>
      <c r="M5" s="5" t="s">
        <v>1210</v>
      </c>
      <c r="O5" s="2" t="s">
        <v>7</v>
      </c>
      <c r="P5" s="3" t="s">
        <v>610</v>
      </c>
      <c r="Q5" s="3" t="s">
        <v>916</v>
      </c>
      <c r="R5" s="6" t="s">
        <v>1780</v>
      </c>
      <c r="S5" s="4" t="s">
        <v>543</v>
      </c>
      <c r="T5" s="5" t="s">
        <v>1781</v>
      </c>
    </row>
    <row r="6" spans="1:20" x14ac:dyDescent="0.3">
      <c r="A6" s="2" t="s">
        <v>12</v>
      </c>
      <c r="B6" s="3" t="s">
        <v>13</v>
      </c>
      <c r="C6" s="5" t="s">
        <v>14</v>
      </c>
      <c r="D6" s="6" t="s">
        <v>15</v>
      </c>
      <c r="E6" s="3">
        <v>0</v>
      </c>
      <c r="F6" s="4" t="s">
        <v>16</v>
      </c>
      <c r="H6" s="2" t="s">
        <v>12</v>
      </c>
      <c r="I6" s="3" t="s">
        <v>536</v>
      </c>
      <c r="J6" s="4" t="s">
        <v>1130</v>
      </c>
      <c r="K6" s="6" t="s">
        <v>489</v>
      </c>
      <c r="L6" s="3">
        <v>0</v>
      </c>
      <c r="M6" s="5" t="s">
        <v>527</v>
      </c>
      <c r="O6" s="2" t="s">
        <v>12</v>
      </c>
      <c r="P6" s="3" t="s">
        <v>1247</v>
      </c>
      <c r="Q6" s="3" t="s">
        <v>25</v>
      </c>
      <c r="R6" s="6" t="s">
        <v>1280</v>
      </c>
      <c r="S6" s="4" t="s">
        <v>486</v>
      </c>
      <c r="T6" s="5" t="s">
        <v>1173</v>
      </c>
    </row>
    <row r="7" spans="1:20" x14ac:dyDescent="0.3">
      <c r="A7" s="2" t="s">
        <v>17</v>
      </c>
      <c r="B7" s="3" t="s">
        <v>18</v>
      </c>
      <c r="C7" s="5" t="s">
        <v>19</v>
      </c>
      <c r="D7" s="6" t="s">
        <v>20</v>
      </c>
      <c r="E7" s="3" t="s">
        <v>25</v>
      </c>
      <c r="F7" s="4" t="s">
        <v>21</v>
      </c>
      <c r="H7" s="2" t="s">
        <v>17</v>
      </c>
      <c r="I7" s="3" t="s">
        <v>469</v>
      </c>
      <c r="J7" s="5" t="s">
        <v>961</v>
      </c>
      <c r="K7" s="6" t="s">
        <v>69</v>
      </c>
      <c r="L7" s="3" t="s">
        <v>25</v>
      </c>
      <c r="M7" s="4" t="s">
        <v>429</v>
      </c>
      <c r="O7" s="2" t="s">
        <v>17</v>
      </c>
      <c r="P7" s="3" t="s">
        <v>57</v>
      </c>
      <c r="Q7" s="3" t="s">
        <v>1231</v>
      </c>
      <c r="R7" s="5" t="s">
        <v>444</v>
      </c>
      <c r="S7" s="4" t="s">
        <v>632</v>
      </c>
      <c r="T7" s="6" t="s">
        <v>386</v>
      </c>
    </row>
    <row r="8" spans="1:20" x14ac:dyDescent="0.3">
      <c r="A8" s="2" t="s">
        <v>22</v>
      </c>
      <c r="B8" s="3" t="s">
        <v>23</v>
      </c>
      <c r="C8" s="5" t="s">
        <v>24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267</v>
      </c>
      <c r="J8" s="5" t="s">
        <v>158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258</v>
      </c>
      <c r="Q8" s="5" t="s">
        <v>257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132</v>
      </c>
      <c r="C9" s="8">
        <v>36</v>
      </c>
      <c r="D9" s="8">
        <v>70</v>
      </c>
      <c r="E9" s="8">
        <v>0</v>
      </c>
      <c r="F9" s="8">
        <v>26</v>
      </c>
      <c r="H9" s="7" t="s">
        <v>26</v>
      </c>
      <c r="I9" s="8">
        <v>225</v>
      </c>
      <c r="J9" s="8">
        <v>47</v>
      </c>
      <c r="K9" s="8">
        <v>79</v>
      </c>
      <c r="L9" s="8">
        <v>0</v>
      </c>
      <c r="M9" s="8">
        <v>99</v>
      </c>
      <c r="O9" s="7" t="s">
        <v>26</v>
      </c>
      <c r="P9" s="8">
        <v>264</v>
      </c>
      <c r="Q9" s="8">
        <v>0</v>
      </c>
      <c r="R9" s="8">
        <v>125</v>
      </c>
      <c r="S9" s="8">
        <v>66</v>
      </c>
      <c r="T9" s="8">
        <v>73</v>
      </c>
    </row>
    <row r="10" spans="1:20" x14ac:dyDescent="0.3">
      <c r="A10" s="9" t="s">
        <v>27</v>
      </c>
      <c r="B10" s="10">
        <v>117</v>
      </c>
      <c r="C10" s="10">
        <v>23</v>
      </c>
      <c r="D10" s="10">
        <v>69</v>
      </c>
      <c r="E10" s="10">
        <v>0</v>
      </c>
      <c r="F10" s="10">
        <v>25</v>
      </c>
      <c r="H10" s="9" t="s">
        <v>27</v>
      </c>
      <c r="I10" s="10">
        <v>153</v>
      </c>
      <c r="J10" s="10">
        <v>32</v>
      </c>
      <c r="K10" s="10">
        <v>79</v>
      </c>
      <c r="L10" s="10">
        <v>0</v>
      </c>
      <c r="M10" s="10">
        <v>42</v>
      </c>
      <c r="O10" s="9" t="s">
        <v>27</v>
      </c>
      <c r="P10" s="10">
        <v>241</v>
      </c>
      <c r="Q10" s="10">
        <v>0</v>
      </c>
      <c r="R10" s="10">
        <v>111</v>
      </c>
      <c r="S10" s="10">
        <v>62</v>
      </c>
      <c r="T10" s="10">
        <v>68</v>
      </c>
    </row>
    <row r="11" spans="1:20" x14ac:dyDescent="0.3">
      <c r="A11" s="9" t="s">
        <v>28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H11" s="9" t="s">
        <v>28</v>
      </c>
      <c r="I11" s="10">
        <v>19</v>
      </c>
      <c r="J11" s="10">
        <v>0</v>
      </c>
      <c r="K11" s="10">
        <v>0</v>
      </c>
      <c r="L11" s="10">
        <v>0</v>
      </c>
      <c r="M11" s="10">
        <v>19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15</v>
      </c>
      <c r="C13" s="10">
        <v>13</v>
      </c>
      <c r="D13" s="10">
        <v>1</v>
      </c>
      <c r="E13" s="10">
        <v>0</v>
      </c>
      <c r="F13" s="10">
        <v>1</v>
      </c>
      <c r="H13" s="9" t="s">
        <v>30</v>
      </c>
      <c r="I13" s="10">
        <v>53</v>
      </c>
      <c r="J13" s="10">
        <v>15</v>
      </c>
      <c r="K13" s="10">
        <v>0</v>
      </c>
      <c r="L13" s="10">
        <v>0</v>
      </c>
      <c r="M13" s="10">
        <v>38</v>
      </c>
      <c r="O13" s="9" t="s">
        <v>30</v>
      </c>
      <c r="P13" s="10">
        <v>23</v>
      </c>
      <c r="Q13" s="10">
        <v>0</v>
      </c>
      <c r="R13" s="10">
        <v>14</v>
      </c>
      <c r="S13" s="10">
        <v>4</v>
      </c>
      <c r="T13" s="10">
        <v>5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238</v>
      </c>
      <c r="C15" s="12">
        <v>55</v>
      </c>
      <c r="D15" s="12">
        <v>101</v>
      </c>
      <c r="E15" s="12">
        <v>0</v>
      </c>
      <c r="F15" s="12">
        <v>82</v>
      </c>
      <c r="H15" s="11" t="s">
        <v>32</v>
      </c>
      <c r="I15" s="12">
        <v>200</v>
      </c>
      <c r="J15" s="12">
        <v>76</v>
      </c>
      <c r="K15" s="12">
        <v>64</v>
      </c>
      <c r="L15" s="12">
        <v>0</v>
      </c>
      <c r="M15" s="12">
        <v>60</v>
      </c>
      <c r="O15" s="11" t="s">
        <v>32</v>
      </c>
      <c r="P15" s="12">
        <v>341</v>
      </c>
      <c r="Q15" s="12">
        <v>106</v>
      </c>
      <c r="R15" s="12">
        <v>106</v>
      </c>
      <c r="S15" s="12">
        <v>72</v>
      </c>
      <c r="T15" s="12">
        <v>57</v>
      </c>
    </row>
    <row r="16" spans="1:20" x14ac:dyDescent="0.3">
      <c r="A16" s="13" t="s">
        <v>33</v>
      </c>
      <c r="B16" s="14">
        <v>42</v>
      </c>
      <c r="C16" s="14">
        <v>8</v>
      </c>
      <c r="D16" s="14">
        <v>18</v>
      </c>
      <c r="E16" s="14">
        <v>0</v>
      </c>
      <c r="F16" s="14">
        <v>16</v>
      </c>
      <c r="H16" s="13" t="s">
        <v>33</v>
      </c>
      <c r="I16" s="14">
        <v>2</v>
      </c>
      <c r="J16" s="14">
        <v>1</v>
      </c>
      <c r="K16" s="14">
        <v>1</v>
      </c>
      <c r="L16" s="14">
        <v>0</v>
      </c>
      <c r="M16" s="14">
        <v>0</v>
      </c>
      <c r="O16" s="13" t="s">
        <v>33</v>
      </c>
      <c r="P16" s="14">
        <v>62</v>
      </c>
      <c r="Q16" s="14">
        <v>19</v>
      </c>
      <c r="R16" s="14">
        <v>19</v>
      </c>
      <c r="S16" s="14">
        <v>11</v>
      </c>
      <c r="T16" s="14">
        <v>13</v>
      </c>
    </row>
    <row r="17" spans="1:20" x14ac:dyDescent="0.3">
      <c r="A17" s="13" t="s">
        <v>34</v>
      </c>
      <c r="B17" s="14">
        <v>196</v>
      </c>
      <c r="C17" s="14">
        <v>47</v>
      </c>
      <c r="D17" s="14">
        <v>83</v>
      </c>
      <c r="E17" s="14">
        <v>0</v>
      </c>
      <c r="F17" s="14">
        <v>66</v>
      </c>
      <c r="H17" s="13" t="s">
        <v>34</v>
      </c>
      <c r="I17" s="14">
        <v>198</v>
      </c>
      <c r="J17" s="14">
        <v>75</v>
      </c>
      <c r="K17" s="14">
        <v>63</v>
      </c>
      <c r="L17" s="14">
        <v>0</v>
      </c>
      <c r="M17" s="14">
        <v>60</v>
      </c>
      <c r="O17" s="13" t="s">
        <v>34</v>
      </c>
      <c r="P17" s="14">
        <v>279</v>
      </c>
      <c r="Q17" s="14">
        <v>87</v>
      </c>
      <c r="R17" s="14">
        <v>87</v>
      </c>
      <c r="S17" s="14">
        <v>61</v>
      </c>
      <c r="T17" s="14">
        <v>44</v>
      </c>
    </row>
    <row r="18" spans="1:20" x14ac:dyDescent="0.3">
      <c r="A18" s="15" t="s">
        <v>35</v>
      </c>
      <c r="B18" s="16">
        <v>51</v>
      </c>
      <c r="C18" s="16">
        <v>51</v>
      </c>
      <c r="D18" s="16">
        <v>0</v>
      </c>
      <c r="E18" s="16">
        <v>0</v>
      </c>
      <c r="F18" s="16">
        <v>0</v>
      </c>
      <c r="H18" s="15" t="s">
        <v>35</v>
      </c>
      <c r="I18" s="16">
        <v>1</v>
      </c>
      <c r="J18" s="16">
        <v>1</v>
      </c>
      <c r="K18" s="16">
        <v>0</v>
      </c>
      <c r="L18" s="16">
        <v>0</v>
      </c>
      <c r="M18" s="16">
        <v>0</v>
      </c>
      <c r="O18" s="15" t="s">
        <v>35</v>
      </c>
      <c r="P18" s="16">
        <v>1</v>
      </c>
      <c r="Q18" s="16">
        <v>1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51</v>
      </c>
      <c r="C20" s="18">
        <v>51</v>
      </c>
      <c r="D20" s="18">
        <v>0</v>
      </c>
      <c r="E20" s="18">
        <v>0</v>
      </c>
      <c r="F20" s="18">
        <v>0</v>
      </c>
      <c r="H20" s="17" t="s">
        <v>37</v>
      </c>
      <c r="I20" s="56">
        <v>1</v>
      </c>
      <c r="J20" s="56">
        <v>1</v>
      </c>
      <c r="K20" s="56">
        <v>0</v>
      </c>
      <c r="L20" s="56">
        <v>0</v>
      </c>
      <c r="M20" s="56">
        <v>0</v>
      </c>
      <c r="O20" s="17" t="s">
        <v>37</v>
      </c>
      <c r="P20" s="112">
        <v>1</v>
      </c>
      <c r="Q20" s="112">
        <v>1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72" t="s">
        <v>39</v>
      </c>
      <c r="C21" s="173"/>
      <c r="D21" s="173"/>
      <c r="E21" s="173"/>
      <c r="F21" s="173"/>
      <c r="H21" s="17" t="s">
        <v>38</v>
      </c>
      <c r="I21" s="172" t="s">
        <v>1179</v>
      </c>
      <c r="J21" s="173"/>
      <c r="K21" s="173"/>
      <c r="L21" s="173"/>
      <c r="M21" s="173"/>
      <c r="O21" s="17" t="s">
        <v>38</v>
      </c>
      <c r="P21" s="167" t="s">
        <v>1782</v>
      </c>
      <c r="Q21" s="168"/>
      <c r="R21" s="168"/>
      <c r="S21" s="168"/>
      <c r="T21" s="168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71">
        <v>46114</v>
      </c>
      <c r="I22" s="171"/>
      <c r="J22" s="171"/>
      <c r="K22" s="171"/>
      <c r="L22" s="171"/>
      <c r="M22" s="171"/>
      <c r="O22" s="170">
        <v>46146</v>
      </c>
      <c r="P22" s="168"/>
      <c r="Q22" s="168"/>
      <c r="R22" s="168"/>
      <c r="S22" s="168"/>
      <c r="T22" s="168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870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870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1715</v>
      </c>
      <c r="C24" s="3">
        <v>569</v>
      </c>
      <c r="D24" s="3">
        <v>551</v>
      </c>
      <c r="E24" s="3">
        <v>0</v>
      </c>
      <c r="F24" s="3">
        <v>595</v>
      </c>
      <c r="H24" s="2" t="s">
        <v>5</v>
      </c>
      <c r="I24" s="3">
        <v>6305</v>
      </c>
      <c r="J24" s="3">
        <v>2088</v>
      </c>
      <c r="K24" s="3">
        <v>2151</v>
      </c>
      <c r="L24" s="3">
        <v>0</v>
      </c>
      <c r="M24" s="3">
        <v>2066</v>
      </c>
      <c r="O24" s="2" t="s">
        <v>5</v>
      </c>
      <c r="P24" s="3">
        <v>3010</v>
      </c>
      <c r="Q24" s="3">
        <v>999</v>
      </c>
      <c r="R24" s="3">
        <v>821</v>
      </c>
      <c r="S24" s="3">
        <v>642</v>
      </c>
      <c r="T24" s="3">
        <v>548</v>
      </c>
    </row>
    <row r="25" spans="1:20" x14ac:dyDescent="0.3">
      <c r="A25" s="2" t="s">
        <v>6</v>
      </c>
      <c r="B25" s="3">
        <v>66</v>
      </c>
      <c r="C25" s="4">
        <v>15</v>
      </c>
      <c r="D25" s="6">
        <v>24</v>
      </c>
      <c r="E25" s="3">
        <v>0</v>
      </c>
      <c r="F25" s="5">
        <v>27</v>
      </c>
      <c r="H25" s="2" t="s">
        <v>6</v>
      </c>
      <c r="I25" s="3">
        <v>446</v>
      </c>
      <c r="J25" s="4">
        <v>129</v>
      </c>
      <c r="K25" s="6">
        <v>153</v>
      </c>
      <c r="L25" s="3">
        <v>0</v>
      </c>
      <c r="M25" s="5">
        <v>164</v>
      </c>
      <c r="O25" s="2" t="s">
        <v>6</v>
      </c>
      <c r="P25" s="3">
        <v>140</v>
      </c>
      <c r="Q25" s="3">
        <v>3</v>
      </c>
      <c r="R25" s="5">
        <v>62</v>
      </c>
      <c r="S25" s="4">
        <v>32</v>
      </c>
      <c r="T25" s="6">
        <v>43</v>
      </c>
    </row>
    <row r="26" spans="1:20" x14ac:dyDescent="0.3">
      <c r="A26" s="2" t="s">
        <v>7</v>
      </c>
      <c r="B26" s="3" t="s">
        <v>104</v>
      </c>
      <c r="C26" s="4" t="s">
        <v>105</v>
      </c>
      <c r="D26" s="6" t="s">
        <v>106</v>
      </c>
      <c r="E26" s="3">
        <v>0</v>
      </c>
      <c r="F26" s="5" t="s">
        <v>107</v>
      </c>
      <c r="H26" s="2" t="s">
        <v>7</v>
      </c>
      <c r="I26" s="3" t="s">
        <v>295</v>
      </c>
      <c r="J26" s="4" t="s">
        <v>661</v>
      </c>
      <c r="K26" s="6" t="s">
        <v>319</v>
      </c>
      <c r="L26" s="3">
        <v>0</v>
      </c>
      <c r="M26" s="5" t="s">
        <v>1230</v>
      </c>
      <c r="O26" s="2" t="s">
        <v>7</v>
      </c>
      <c r="P26" s="3" t="s">
        <v>1798</v>
      </c>
      <c r="Q26" s="3" t="s">
        <v>147</v>
      </c>
      <c r="R26" s="6" t="s">
        <v>891</v>
      </c>
      <c r="S26" s="4" t="s">
        <v>549</v>
      </c>
      <c r="T26" s="5" t="s">
        <v>1710</v>
      </c>
    </row>
    <row r="27" spans="1:20" x14ac:dyDescent="0.3">
      <c r="A27" s="2" t="s">
        <v>12</v>
      </c>
      <c r="B27" s="3" t="s">
        <v>108</v>
      </c>
      <c r="C27" s="6" t="s">
        <v>109</v>
      </c>
      <c r="D27" s="3" t="s">
        <v>25</v>
      </c>
      <c r="E27" s="3">
        <v>0</v>
      </c>
      <c r="F27" s="5" t="s">
        <v>100</v>
      </c>
      <c r="H27" s="2" t="s">
        <v>12</v>
      </c>
      <c r="I27" s="3" t="s">
        <v>143</v>
      </c>
      <c r="J27" s="4" t="s">
        <v>547</v>
      </c>
      <c r="K27" s="6" t="s">
        <v>625</v>
      </c>
      <c r="L27" s="3">
        <v>0</v>
      </c>
      <c r="M27" s="5" t="s">
        <v>1231</v>
      </c>
      <c r="O27" s="2" t="s">
        <v>12</v>
      </c>
      <c r="P27" s="3" t="s">
        <v>1388</v>
      </c>
      <c r="Q27" s="3" t="s">
        <v>25</v>
      </c>
      <c r="R27" s="6" t="s">
        <v>177</v>
      </c>
      <c r="S27" s="4" t="s">
        <v>1665</v>
      </c>
      <c r="T27" s="5" t="s">
        <v>1228</v>
      </c>
    </row>
    <row r="28" spans="1:20" x14ac:dyDescent="0.3">
      <c r="A28" s="2" t="s">
        <v>17</v>
      </c>
      <c r="B28" s="3" t="s">
        <v>110</v>
      </c>
      <c r="C28" s="4" t="s">
        <v>111</v>
      </c>
      <c r="D28" s="6" t="s">
        <v>112</v>
      </c>
      <c r="E28" s="3" t="s">
        <v>25</v>
      </c>
      <c r="F28" s="5" t="s">
        <v>113</v>
      </c>
      <c r="H28" s="2" t="s">
        <v>17</v>
      </c>
      <c r="I28" s="3" t="s">
        <v>69</v>
      </c>
      <c r="J28" s="6" t="s">
        <v>415</v>
      </c>
      <c r="K28" s="4" t="s">
        <v>490</v>
      </c>
      <c r="L28" s="3" t="s">
        <v>25</v>
      </c>
      <c r="M28" s="5" t="s">
        <v>983</v>
      </c>
      <c r="O28" s="2" t="s">
        <v>17</v>
      </c>
      <c r="P28" s="3" t="s">
        <v>147</v>
      </c>
      <c r="Q28" s="3" t="s">
        <v>81</v>
      </c>
      <c r="R28" s="5" t="s">
        <v>76</v>
      </c>
      <c r="S28" s="6" t="s">
        <v>148</v>
      </c>
      <c r="T28" s="4" t="s">
        <v>109</v>
      </c>
    </row>
    <row r="29" spans="1:20" x14ac:dyDescent="0.3">
      <c r="A29" s="2" t="s">
        <v>22</v>
      </c>
      <c r="B29" s="3" t="s">
        <v>114</v>
      </c>
      <c r="C29" s="5" t="s">
        <v>115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268</v>
      </c>
      <c r="J29" s="5" t="s">
        <v>136</v>
      </c>
      <c r="K29" s="3" t="s">
        <v>25</v>
      </c>
      <c r="L29" s="3" t="s">
        <v>25</v>
      </c>
      <c r="M29" s="3" t="s">
        <v>25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3</v>
      </c>
      <c r="C30" s="8">
        <v>1</v>
      </c>
      <c r="D30" s="8">
        <v>0</v>
      </c>
      <c r="E30" s="8">
        <v>0</v>
      </c>
      <c r="F30" s="8">
        <v>2</v>
      </c>
      <c r="H30" s="7" t="s">
        <v>26</v>
      </c>
      <c r="I30" s="8">
        <v>233</v>
      </c>
      <c r="J30" s="8">
        <v>59</v>
      </c>
      <c r="K30" s="8">
        <v>82</v>
      </c>
      <c r="L30" s="8">
        <v>0</v>
      </c>
      <c r="M30" s="8">
        <v>92</v>
      </c>
      <c r="O30" s="7" t="s">
        <v>26</v>
      </c>
      <c r="P30" s="8">
        <v>128</v>
      </c>
      <c r="Q30" s="8">
        <v>0</v>
      </c>
      <c r="R30" s="8">
        <v>57</v>
      </c>
      <c r="S30" s="8">
        <v>29</v>
      </c>
      <c r="T30" s="8">
        <v>42</v>
      </c>
    </row>
    <row r="31" spans="1:20" x14ac:dyDescent="0.3">
      <c r="A31" s="9" t="s">
        <v>27</v>
      </c>
      <c r="B31" s="10">
        <v>3</v>
      </c>
      <c r="C31" s="10">
        <v>1</v>
      </c>
      <c r="D31" s="10">
        <v>0</v>
      </c>
      <c r="E31" s="10">
        <v>0</v>
      </c>
      <c r="F31" s="10">
        <v>2</v>
      </c>
      <c r="H31" s="9" t="s">
        <v>27</v>
      </c>
      <c r="I31" s="10">
        <v>166</v>
      </c>
      <c r="J31" s="10">
        <v>39</v>
      </c>
      <c r="K31" s="10">
        <v>81</v>
      </c>
      <c r="L31" s="10">
        <v>0</v>
      </c>
      <c r="M31" s="10">
        <v>46</v>
      </c>
      <c r="O31" s="9" t="s">
        <v>27</v>
      </c>
      <c r="P31" s="10">
        <v>118</v>
      </c>
      <c r="Q31" s="10">
        <v>0</v>
      </c>
      <c r="R31" s="10">
        <v>52</v>
      </c>
      <c r="S31" s="10">
        <v>29</v>
      </c>
      <c r="T31" s="10">
        <v>37</v>
      </c>
    </row>
    <row r="32" spans="1:20" x14ac:dyDescent="0.3">
      <c r="A32" s="9" t="s">
        <v>28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H32" s="9" t="s">
        <v>28</v>
      </c>
      <c r="I32" s="10">
        <v>9</v>
      </c>
      <c r="J32" s="10">
        <v>1</v>
      </c>
      <c r="K32" s="10">
        <v>0</v>
      </c>
      <c r="L32" s="10">
        <v>0</v>
      </c>
      <c r="M32" s="10">
        <v>8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H34" s="9" t="s">
        <v>30</v>
      </c>
      <c r="I34" s="10">
        <v>58</v>
      </c>
      <c r="J34" s="10">
        <v>19</v>
      </c>
      <c r="K34" s="10">
        <v>1</v>
      </c>
      <c r="L34" s="10">
        <v>0</v>
      </c>
      <c r="M34" s="10">
        <v>38</v>
      </c>
      <c r="O34" s="9" t="s">
        <v>30</v>
      </c>
      <c r="P34" s="10">
        <v>10</v>
      </c>
      <c r="Q34" s="10">
        <v>0</v>
      </c>
      <c r="R34" s="10">
        <v>5</v>
      </c>
      <c r="S34" s="10">
        <v>0</v>
      </c>
      <c r="T34" s="10">
        <v>5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158</v>
      </c>
      <c r="C36" s="12">
        <v>38</v>
      </c>
      <c r="D36" s="12">
        <v>56</v>
      </c>
      <c r="E36" s="12">
        <v>0</v>
      </c>
      <c r="F36" s="12">
        <v>64</v>
      </c>
      <c r="H36" s="11" t="s">
        <v>32</v>
      </c>
      <c r="I36" s="12">
        <v>213</v>
      </c>
      <c r="J36" s="12">
        <v>70</v>
      </c>
      <c r="K36" s="12">
        <v>71</v>
      </c>
      <c r="L36" s="12">
        <v>0</v>
      </c>
      <c r="M36" s="12">
        <v>72</v>
      </c>
      <c r="O36" s="11" t="s">
        <v>32</v>
      </c>
      <c r="P36" s="12">
        <v>9</v>
      </c>
      <c r="Q36" s="12">
        <v>1</v>
      </c>
      <c r="R36" s="12">
        <v>4</v>
      </c>
      <c r="S36" s="12">
        <v>3</v>
      </c>
      <c r="T36" s="12">
        <v>1</v>
      </c>
    </row>
    <row r="37" spans="1:20" x14ac:dyDescent="0.3">
      <c r="A37" s="13" t="s">
        <v>33</v>
      </c>
      <c r="B37" s="14">
        <v>16</v>
      </c>
      <c r="C37" s="14">
        <v>3</v>
      </c>
      <c r="D37" s="14">
        <v>6</v>
      </c>
      <c r="E37" s="14">
        <v>0</v>
      </c>
      <c r="F37" s="14">
        <v>7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142</v>
      </c>
      <c r="C38" s="14">
        <v>35</v>
      </c>
      <c r="D38" s="14">
        <v>50</v>
      </c>
      <c r="E38" s="14">
        <v>0</v>
      </c>
      <c r="F38" s="14">
        <v>57</v>
      </c>
      <c r="H38" s="13" t="s">
        <v>34</v>
      </c>
      <c r="I38" s="14">
        <v>213</v>
      </c>
      <c r="J38" s="14">
        <v>70</v>
      </c>
      <c r="K38" s="14">
        <v>71</v>
      </c>
      <c r="L38" s="14">
        <v>0</v>
      </c>
      <c r="M38" s="14">
        <v>72</v>
      </c>
      <c r="O38" s="13" t="s">
        <v>34</v>
      </c>
      <c r="P38" s="14">
        <v>9</v>
      </c>
      <c r="Q38" s="14">
        <v>1</v>
      </c>
      <c r="R38" s="14">
        <v>4</v>
      </c>
      <c r="S38" s="14">
        <v>3</v>
      </c>
      <c r="T38" s="14">
        <v>1</v>
      </c>
    </row>
    <row r="39" spans="1:20" x14ac:dyDescent="0.3">
      <c r="A39" s="15" t="s">
        <v>35</v>
      </c>
      <c r="B39" s="16">
        <v>61</v>
      </c>
      <c r="C39" s="16">
        <v>61</v>
      </c>
      <c r="D39" s="16">
        <v>0</v>
      </c>
      <c r="E39" s="16">
        <v>0</v>
      </c>
      <c r="F39" s="16">
        <v>0</v>
      </c>
      <c r="H39" s="15" t="s">
        <v>35</v>
      </c>
      <c r="I39" s="16">
        <v>4</v>
      </c>
      <c r="J39" s="16">
        <v>4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61</v>
      </c>
      <c r="C41" s="18">
        <v>61</v>
      </c>
      <c r="D41" s="18">
        <v>0</v>
      </c>
      <c r="E41" s="18">
        <v>0</v>
      </c>
      <c r="F41" s="18">
        <v>0</v>
      </c>
      <c r="H41" s="17" t="s">
        <v>37</v>
      </c>
      <c r="I41" s="56">
        <v>4</v>
      </c>
      <c r="J41" s="56">
        <v>4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72" t="s">
        <v>39</v>
      </c>
      <c r="C42" s="173"/>
      <c r="D42" s="173"/>
      <c r="E42" s="173"/>
      <c r="F42" s="173"/>
      <c r="H42" s="17" t="s">
        <v>38</v>
      </c>
      <c r="I42" s="172" t="s">
        <v>1179</v>
      </c>
      <c r="J42" s="173"/>
      <c r="K42" s="173"/>
      <c r="L42" s="173"/>
      <c r="M42" s="173"/>
      <c r="O42" s="17" t="s">
        <v>38</v>
      </c>
      <c r="P42" s="167" t="s">
        <v>1799</v>
      </c>
      <c r="Q42" s="168"/>
      <c r="R42" s="168"/>
      <c r="S42" s="168"/>
      <c r="T42" s="168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69" t="s">
        <v>1252</v>
      </c>
      <c r="I43" s="169"/>
      <c r="J43" s="169"/>
      <c r="K43" s="169"/>
      <c r="L43" s="169"/>
      <c r="M43" s="169"/>
      <c r="O43" s="170">
        <v>46147</v>
      </c>
      <c r="P43" s="168"/>
      <c r="Q43" s="168"/>
      <c r="R43" s="168"/>
      <c r="S43" s="168"/>
      <c r="T43" s="168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870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870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2676</v>
      </c>
      <c r="C45" s="3">
        <v>947</v>
      </c>
      <c r="D45" s="3">
        <v>793</v>
      </c>
      <c r="E45" s="3">
        <v>0</v>
      </c>
      <c r="F45" s="3">
        <v>936</v>
      </c>
      <c r="H45" s="2" t="s">
        <v>5</v>
      </c>
      <c r="I45" s="3">
        <v>3196</v>
      </c>
      <c r="J45" s="3">
        <v>848</v>
      </c>
      <c r="K45" s="3">
        <v>1204</v>
      </c>
      <c r="L45" s="3">
        <v>0</v>
      </c>
      <c r="M45" s="3">
        <v>1144</v>
      </c>
      <c r="O45" s="2" t="s">
        <v>5</v>
      </c>
      <c r="P45" s="3">
        <v>5750</v>
      </c>
      <c r="Q45" s="3">
        <v>1942</v>
      </c>
      <c r="R45" s="3">
        <v>1468</v>
      </c>
      <c r="S45" s="3">
        <v>1232</v>
      </c>
      <c r="T45" s="3">
        <v>1108</v>
      </c>
    </row>
    <row r="46" spans="1:20" x14ac:dyDescent="0.3">
      <c r="A46" s="2" t="s">
        <v>6</v>
      </c>
      <c r="B46" s="3">
        <v>229</v>
      </c>
      <c r="C46" s="5">
        <v>93</v>
      </c>
      <c r="D46" s="4">
        <v>58</v>
      </c>
      <c r="E46" s="3">
        <v>0</v>
      </c>
      <c r="F46" s="6">
        <v>78</v>
      </c>
      <c r="H46" s="2" t="s">
        <v>6</v>
      </c>
      <c r="I46" s="3">
        <v>170</v>
      </c>
      <c r="J46" s="4">
        <v>39</v>
      </c>
      <c r="K46" s="5">
        <v>73</v>
      </c>
      <c r="L46" s="3">
        <v>0</v>
      </c>
      <c r="M46" s="6">
        <v>58</v>
      </c>
      <c r="O46" s="2" t="s">
        <v>6</v>
      </c>
      <c r="P46" s="3">
        <v>283</v>
      </c>
      <c r="Q46" s="3">
        <v>23</v>
      </c>
      <c r="R46" s="5">
        <v>105</v>
      </c>
      <c r="S46" s="4">
        <v>71</v>
      </c>
      <c r="T46" s="6">
        <v>84</v>
      </c>
    </row>
    <row r="47" spans="1:20" x14ac:dyDescent="0.3">
      <c r="A47" s="2" t="s">
        <v>7</v>
      </c>
      <c r="B47" s="3" t="s">
        <v>170</v>
      </c>
      <c r="C47" s="5" t="s">
        <v>171</v>
      </c>
      <c r="D47" s="4" t="s">
        <v>172</v>
      </c>
      <c r="E47" s="3">
        <v>0</v>
      </c>
      <c r="F47" s="6" t="s">
        <v>173</v>
      </c>
      <c r="H47" s="2" t="s">
        <v>7</v>
      </c>
      <c r="I47" s="3" t="s">
        <v>527</v>
      </c>
      <c r="J47" s="4" t="s">
        <v>1253</v>
      </c>
      <c r="K47" s="5" t="s">
        <v>302</v>
      </c>
      <c r="L47" s="3">
        <v>0</v>
      </c>
      <c r="M47" s="6" t="s">
        <v>245</v>
      </c>
      <c r="O47" s="2" t="s">
        <v>7</v>
      </c>
      <c r="P47" s="3" t="s">
        <v>612</v>
      </c>
      <c r="Q47" s="3" t="s">
        <v>499</v>
      </c>
      <c r="R47" s="6" t="s">
        <v>327</v>
      </c>
      <c r="S47" s="4" t="s">
        <v>1322</v>
      </c>
      <c r="T47" s="5" t="s">
        <v>211</v>
      </c>
    </row>
    <row r="48" spans="1:20" x14ac:dyDescent="0.3">
      <c r="A48" s="2" t="s">
        <v>12</v>
      </c>
      <c r="B48" s="3" t="s">
        <v>174</v>
      </c>
      <c r="C48" s="5" t="s">
        <v>80</v>
      </c>
      <c r="D48" s="4" t="s">
        <v>150</v>
      </c>
      <c r="E48" s="3">
        <v>0</v>
      </c>
      <c r="F48" s="6" t="s">
        <v>42</v>
      </c>
      <c r="H48" s="2" t="s">
        <v>12</v>
      </c>
      <c r="I48" s="3" t="s">
        <v>71</v>
      </c>
      <c r="J48" s="4" t="s">
        <v>126</v>
      </c>
      <c r="K48" s="5" t="s">
        <v>1254</v>
      </c>
      <c r="L48" s="3">
        <v>0</v>
      </c>
      <c r="M48" s="6" t="s">
        <v>430</v>
      </c>
      <c r="O48" s="2" t="s">
        <v>12</v>
      </c>
      <c r="P48" s="3" t="s">
        <v>533</v>
      </c>
      <c r="Q48" s="3" t="s">
        <v>25</v>
      </c>
      <c r="R48" s="6" t="s">
        <v>302</v>
      </c>
      <c r="S48" s="4" t="s">
        <v>837</v>
      </c>
      <c r="T48" s="5" t="s">
        <v>111</v>
      </c>
    </row>
    <row r="49" spans="1:20" x14ac:dyDescent="0.3">
      <c r="A49" s="2" t="s">
        <v>17</v>
      </c>
      <c r="B49" s="3" t="s">
        <v>175</v>
      </c>
      <c r="C49" s="5" t="s">
        <v>176</v>
      </c>
      <c r="D49" s="4" t="s">
        <v>177</v>
      </c>
      <c r="E49" s="3" t="s">
        <v>25</v>
      </c>
      <c r="F49" s="6" t="s">
        <v>178</v>
      </c>
      <c r="H49" s="2" t="s">
        <v>17</v>
      </c>
      <c r="I49" s="3" t="s">
        <v>447</v>
      </c>
      <c r="J49" s="6" t="s">
        <v>541</v>
      </c>
      <c r="K49" s="5" t="s">
        <v>1130</v>
      </c>
      <c r="L49" s="3" t="s">
        <v>25</v>
      </c>
      <c r="M49" s="4" t="s">
        <v>802</v>
      </c>
      <c r="O49" s="2" t="s">
        <v>17</v>
      </c>
      <c r="P49" s="3" t="s">
        <v>406</v>
      </c>
      <c r="Q49" s="5" t="s">
        <v>499</v>
      </c>
      <c r="R49" s="4" t="s">
        <v>365</v>
      </c>
      <c r="S49" s="6" t="s">
        <v>363</v>
      </c>
      <c r="T49" s="3" t="s">
        <v>493</v>
      </c>
    </row>
    <row r="50" spans="1:20" x14ac:dyDescent="0.3">
      <c r="A50" s="2" t="s">
        <v>22</v>
      </c>
      <c r="B50" s="3" t="s">
        <v>179</v>
      </c>
      <c r="C50" s="5" t="s">
        <v>180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84</v>
      </c>
      <c r="J50" s="5" t="s">
        <v>135</v>
      </c>
      <c r="K50" s="3" t="s">
        <v>25</v>
      </c>
      <c r="L50" s="3" t="s">
        <v>25</v>
      </c>
      <c r="M50" s="3" t="s">
        <v>25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16</v>
      </c>
      <c r="C51" s="8">
        <v>7</v>
      </c>
      <c r="D51" s="8">
        <v>3</v>
      </c>
      <c r="E51" s="8">
        <v>0</v>
      </c>
      <c r="F51" s="8">
        <v>6</v>
      </c>
      <c r="H51" s="7" t="s">
        <v>26</v>
      </c>
      <c r="I51" s="8">
        <v>93</v>
      </c>
      <c r="J51" s="8">
        <v>18</v>
      </c>
      <c r="K51" s="8">
        <v>42</v>
      </c>
      <c r="L51" s="8">
        <v>0</v>
      </c>
      <c r="M51" s="8">
        <v>33</v>
      </c>
      <c r="O51" s="7" t="s">
        <v>26</v>
      </c>
      <c r="P51" s="8">
        <v>220</v>
      </c>
      <c r="Q51" s="8">
        <v>0</v>
      </c>
      <c r="R51" s="8">
        <v>89</v>
      </c>
      <c r="S51" s="8">
        <v>57</v>
      </c>
      <c r="T51" s="8">
        <v>74</v>
      </c>
    </row>
    <row r="52" spans="1:20" x14ac:dyDescent="0.3">
      <c r="A52" s="9" t="s">
        <v>27</v>
      </c>
      <c r="B52" s="10">
        <v>13</v>
      </c>
      <c r="C52" s="10">
        <v>5</v>
      </c>
      <c r="D52" s="10">
        <v>2</v>
      </c>
      <c r="E52" s="10">
        <v>0</v>
      </c>
      <c r="F52" s="10">
        <v>6</v>
      </c>
      <c r="H52" s="9" t="s">
        <v>27</v>
      </c>
      <c r="I52" s="10">
        <v>62</v>
      </c>
      <c r="J52" s="10">
        <v>10</v>
      </c>
      <c r="K52" s="10">
        <v>36</v>
      </c>
      <c r="L52" s="10">
        <v>0</v>
      </c>
      <c r="M52" s="10">
        <v>16</v>
      </c>
      <c r="O52" s="9" t="s">
        <v>27</v>
      </c>
      <c r="P52" s="10">
        <v>209</v>
      </c>
      <c r="Q52" s="10">
        <v>0</v>
      </c>
      <c r="R52" s="10">
        <v>85</v>
      </c>
      <c r="S52" s="10">
        <v>53</v>
      </c>
      <c r="T52" s="10">
        <v>71</v>
      </c>
    </row>
    <row r="53" spans="1:20" x14ac:dyDescent="0.3">
      <c r="A53" s="9" t="s">
        <v>28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H53" s="9" t="s">
        <v>28</v>
      </c>
      <c r="I53" s="10">
        <v>7</v>
      </c>
      <c r="J53" s="10">
        <v>0</v>
      </c>
      <c r="K53" s="10">
        <v>1</v>
      </c>
      <c r="L53" s="10">
        <v>0</v>
      </c>
      <c r="M53" s="10">
        <v>6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3</v>
      </c>
      <c r="C55" s="10">
        <v>2</v>
      </c>
      <c r="D55" s="10">
        <v>1</v>
      </c>
      <c r="E55" s="10">
        <v>0</v>
      </c>
      <c r="F55" s="10">
        <v>0</v>
      </c>
      <c r="H55" s="9" t="s">
        <v>30</v>
      </c>
      <c r="I55" s="10">
        <v>24</v>
      </c>
      <c r="J55" s="10">
        <v>8</v>
      </c>
      <c r="K55" s="10">
        <v>5</v>
      </c>
      <c r="L55" s="10">
        <v>0</v>
      </c>
      <c r="M55" s="10">
        <v>11</v>
      </c>
      <c r="O55" s="9" t="s">
        <v>30</v>
      </c>
      <c r="P55" s="10">
        <v>11</v>
      </c>
      <c r="Q55" s="10">
        <v>0</v>
      </c>
      <c r="R55" s="10">
        <v>4</v>
      </c>
      <c r="S55" s="10">
        <v>4</v>
      </c>
      <c r="T55" s="10">
        <v>3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213</v>
      </c>
      <c r="C57" s="12">
        <v>86</v>
      </c>
      <c r="D57" s="12">
        <v>55</v>
      </c>
      <c r="E57" s="12">
        <v>0</v>
      </c>
      <c r="F57" s="12">
        <v>72</v>
      </c>
      <c r="H57" s="11" t="s">
        <v>32</v>
      </c>
      <c r="I57" s="12">
        <v>77</v>
      </c>
      <c r="J57" s="12">
        <v>21</v>
      </c>
      <c r="K57" s="12">
        <v>31</v>
      </c>
      <c r="L57" s="12">
        <v>0</v>
      </c>
      <c r="M57" s="12">
        <v>25</v>
      </c>
      <c r="O57" s="11" t="s">
        <v>32</v>
      </c>
      <c r="P57" s="12">
        <v>63</v>
      </c>
      <c r="Q57" s="12">
        <v>23</v>
      </c>
      <c r="R57" s="12">
        <v>16</v>
      </c>
      <c r="S57" s="12">
        <v>14</v>
      </c>
      <c r="T57" s="12">
        <v>10</v>
      </c>
    </row>
    <row r="58" spans="1:20" x14ac:dyDescent="0.3">
      <c r="A58" s="13" t="s">
        <v>33</v>
      </c>
      <c r="B58" s="14">
        <v>4</v>
      </c>
      <c r="C58" s="14">
        <v>2</v>
      </c>
      <c r="D58" s="14">
        <v>0</v>
      </c>
      <c r="E58" s="14">
        <v>0</v>
      </c>
      <c r="F58" s="14">
        <v>2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5</v>
      </c>
      <c r="Q58" s="14">
        <v>2</v>
      </c>
      <c r="R58" s="14">
        <v>1</v>
      </c>
      <c r="S58" s="14">
        <v>2</v>
      </c>
      <c r="T58" s="14">
        <v>0</v>
      </c>
    </row>
    <row r="59" spans="1:20" x14ac:dyDescent="0.3">
      <c r="A59" s="13" t="s">
        <v>34</v>
      </c>
      <c r="B59" s="14">
        <v>209</v>
      </c>
      <c r="C59" s="14">
        <v>84</v>
      </c>
      <c r="D59" s="14">
        <v>55</v>
      </c>
      <c r="E59" s="14">
        <v>0</v>
      </c>
      <c r="F59" s="14">
        <v>70</v>
      </c>
      <c r="H59" s="13" t="s">
        <v>34</v>
      </c>
      <c r="I59" s="14">
        <v>77</v>
      </c>
      <c r="J59" s="14">
        <v>21</v>
      </c>
      <c r="K59" s="14">
        <v>31</v>
      </c>
      <c r="L59" s="14">
        <v>0</v>
      </c>
      <c r="M59" s="14">
        <v>25</v>
      </c>
      <c r="O59" s="13" t="s">
        <v>34</v>
      </c>
      <c r="P59" s="14">
        <v>58</v>
      </c>
      <c r="Q59" s="14">
        <v>21</v>
      </c>
      <c r="R59" s="14">
        <v>15</v>
      </c>
      <c r="S59" s="14">
        <v>12</v>
      </c>
      <c r="T59" s="14">
        <v>10</v>
      </c>
    </row>
    <row r="60" spans="1:20" x14ac:dyDescent="0.3">
      <c r="A60" s="15" t="s">
        <v>35</v>
      </c>
      <c r="B60" s="16">
        <v>133</v>
      </c>
      <c r="C60" s="16">
        <v>133</v>
      </c>
      <c r="D60" s="16">
        <v>0</v>
      </c>
      <c r="E60" s="16">
        <v>0</v>
      </c>
      <c r="F60" s="16">
        <v>0</v>
      </c>
      <c r="H60" s="15" t="s">
        <v>35</v>
      </c>
      <c r="I60" s="16">
        <v>3</v>
      </c>
      <c r="J60" s="16">
        <v>3</v>
      </c>
      <c r="K60" s="16">
        <v>0</v>
      </c>
      <c r="L60" s="16">
        <v>0</v>
      </c>
      <c r="M60" s="16">
        <v>0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133</v>
      </c>
      <c r="C62" s="18">
        <v>133</v>
      </c>
      <c r="D62" s="18">
        <v>0</v>
      </c>
      <c r="E62" s="18">
        <v>0</v>
      </c>
      <c r="F62" s="18">
        <v>0</v>
      </c>
      <c r="H62" s="17" t="s">
        <v>37</v>
      </c>
      <c r="I62" s="78">
        <v>3</v>
      </c>
      <c r="J62" s="78">
        <v>3</v>
      </c>
      <c r="K62" s="78">
        <v>0</v>
      </c>
      <c r="L62" s="78">
        <v>0</v>
      </c>
      <c r="M62" s="78">
        <v>0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72" t="s">
        <v>181</v>
      </c>
      <c r="C63" s="173"/>
      <c r="D63" s="173"/>
      <c r="E63" s="173"/>
      <c r="F63" s="173"/>
      <c r="H63" s="17" t="s">
        <v>38</v>
      </c>
      <c r="I63" s="175" t="s">
        <v>1179</v>
      </c>
      <c r="J63" s="176"/>
      <c r="K63" s="176"/>
      <c r="L63" s="176"/>
      <c r="M63" s="176"/>
      <c r="O63" s="17" t="s">
        <v>38</v>
      </c>
      <c r="P63" s="167" t="s">
        <v>1808</v>
      </c>
      <c r="Q63" s="168"/>
      <c r="R63" s="168"/>
      <c r="S63" s="168"/>
      <c r="T63" s="168"/>
    </row>
    <row r="64" spans="1:20" ht="19.8" x14ac:dyDescent="0.3">
      <c r="A64" s="170">
        <v>46086</v>
      </c>
      <c r="B64" s="168"/>
      <c r="C64" s="168"/>
      <c r="D64" s="168"/>
      <c r="E64" s="168"/>
      <c r="F64" s="168"/>
      <c r="H64" s="171">
        <v>46116</v>
      </c>
      <c r="I64" s="171"/>
      <c r="J64" s="171"/>
      <c r="K64" s="171"/>
      <c r="L64" s="171"/>
      <c r="M64" s="171"/>
      <c r="O64" s="170">
        <v>46148</v>
      </c>
      <c r="P64" s="168"/>
      <c r="Q64" s="168"/>
      <c r="R64" s="168"/>
      <c r="S64" s="168"/>
      <c r="T64" s="168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870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3270</v>
      </c>
      <c r="C66" s="3">
        <v>139</v>
      </c>
      <c r="D66" s="3">
        <v>1043</v>
      </c>
      <c r="E66" s="3">
        <v>1001</v>
      </c>
      <c r="F66" s="3">
        <v>1087</v>
      </c>
      <c r="H66" s="2" t="s">
        <v>5</v>
      </c>
      <c r="I66" s="3">
        <v>4638</v>
      </c>
      <c r="J66" s="3">
        <v>1754</v>
      </c>
      <c r="K66" s="3">
        <v>1541</v>
      </c>
      <c r="L66" s="3">
        <v>0</v>
      </c>
      <c r="M66" s="3">
        <v>1343</v>
      </c>
      <c r="O66" s="2" t="s">
        <v>5</v>
      </c>
      <c r="P66" s="3">
        <v>6786</v>
      </c>
      <c r="Q66" s="3">
        <v>2244</v>
      </c>
      <c r="R66" s="3">
        <v>1864</v>
      </c>
      <c r="S66" s="3">
        <v>1115</v>
      </c>
      <c r="T66" s="3">
        <v>1563</v>
      </c>
    </row>
    <row r="67" spans="1:20" x14ac:dyDescent="0.3">
      <c r="A67" s="2" t="s">
        <v>6</v>
      </c>
      <c r="B67" s="3">
        <v>459</v>
      </c>
      <c r="C67" s="4">
        <v>17</v>
      </c>
      <c r="D67" s="6">
        <v>98</v>
      </c>
      <c r="E67" s="5">
        <v>246</v>
      </c>
      <c r="F67" s="6">
        <v>98</v>
      </c>
      <c r="H67" s="2" t="s">
        <v>6</v>
      </c>
      <c r="I67" s="3">
        <v>628</v>
      </c>
      <c r="J67" s="4">
        <v>146</v>
      </c>
      <c r="K67" s="5">
        <v>251</v>
      </c>
      <c r="L67" s="3">
        <v>0</v>
      </c>
      <c r="M67" s="6">
        <v>231</v>
      </c>
      <c r="O67" s="2" t="s">
        <v>6</v>
      </c>
      <c r="P67" s="3">
        <v>318</v>
      </c>
      <c r="Q67" s="3">
        <v>34</v>
      </c>
      <c r="R67" s="5">
        <v>124</v>
      </c>
      <c r="S67" s="4">
        <v>54</v>
      </c>
      <c r="T67" s="6">
        <v>106</v>
      </c>
    </row>
    <row r="68" spans="1:20" x14ac:dyDescent="0.3">
      <c r="A68" s="2" t="s">
        <v>7</v>
      </c>
      <c r="B68" s="3" t="s">
        <v>180</v>
      </c>
      <c r="C68" s="6" t="s">
        <v>221</v>
      </c>
      <c r="D68" s="4" t="s">
        <v>222</v>
      </c>
      <c r="E68" s="5" t="s">
        <v>223</v>
      </c>
      <c r="F68" s="3" t="s">
        <v>224</v>
      </c>
      <c r="H68" s="2" t="s">
        <v>7</v>
      </c>
      <c r="I68" s="3" t="s">
        <v>1276</v>
      </c>
      <c r="J68" s="4" t="s">
        <v>133</v>
      </c>
      <c r="K68" s="6" t="s">
        <v>1277</v>
      </c>
      <c r="L68" s="3">
        <v>0</v>
      </c>
      <c r="M68" s="5" t="s">
        <v>1278</v>
      </c>
      <c r="O68" s="2" t="s">
        <v>7</v>
      </c>
      <c r="P68" s="3" t="s">
        <v>1819</v>
      </c>
      <c r="Q68" s="3" t="s">
        <v>1364</v>
      </c>
      <c r="R68" s="6" t="s">
        <v>1801</v>
      </c>
      <c r="S68" s="4" t="s">
        <v>603</v>
      </c>
      <c r="T68" s="5" t="s">
        <v>315</v>
      </c>
    </row>
    <row r="69" spans="1:20" x14ac:dyDescent="0.3">
      <c r="A69" s="2" t="s">
        <v>12</v>
      </c>
      <c r="B69" s="3" t="s">
        <v>225</v>
      </c>
      <c r="C69" s="6" t="s">
        <v>226</v>
      </c>
      <c r="D69" s="3" t="s">
        <v>227</v>
      </c>
      <c r="E69" s="5" t="s">
        <v>228</v>
      </c>
      <c r="F69" s="4" t="s">
        <v>229</v>
      </c>
      <c r="H69" s="2" t="s">
        <v>12</v>
      </c>
      <c r="I69" s="3" t="s">
        <v>558</v>
      </c>
      <c r="J69" s="4" t="s">
        <v>317</v>
      </c>
      <c r="K69" s="6" t="s">
        <v>312</v>
      </c>
      <c r="L69" s="3">
        <v>0</v>
      </c>
      <c r="M69" s="5" t="s">
        <v>970</v>
      </c>
      <c r="O69" s="2" t="s">
        <v>12</v>
      </c>
      <c r="P69" s="3" t="s">
        <v>1007</v>
      </c>
      <c r="Q69" s="3" t="s">
        <v>25</v>
      </c>
      <c r="R69" s="5" t="s">
        <v>213</v>
      </c>
      <c r="S69" s="4" t="s">
        <v>502</v>
      </c>
      <c r="T69" s="6" t="s">
        <v>609</v>
      </c>
    </row>
    <row r="70" spans="1:20" x14ac:dyDescent="0.3">
      <c r="A70" s="2" t="s">
        <v>17</v>
      </c>
      <c r="B70" s="3" t="s">
        <v>192</v>
      </c>
      <c r="C70" s="4" t="s">
        <v>230</v>
      </c>
      <c r="D70" s="6" t="s">
        <v>15</v>
      </c>
      <c r="E70" s="5" t="s">
        <v>231</v>
      </c>
      <c r="F70" s="3" t="s">
        <v>232</v>
      </c>
      <c r="H70" s="2" t="s">
        <v>17</v>
      </c>
      <c r="I70" s="3" t="s">
        <v>1071</v>
      </c>
      <c r="J70" s="5" t="s">
        <v>1279</v>
      </c>
      <c r="K70" s="6" t="s">
        <v>55</v>
      </c>
      <c r="L70" s="3" t="s">
        <v>25</v>
      </c>
      <c r="M70" s="4" t="s">
        <v>1280</v>
      </c>
      <c r="O70" s="2" t="s">
        <v>17</v>
      </c>
      <c r="P70" s="3" t="s">
        <v>851</v>
      </c>
      <c r="Q70" s="5" t="s">
        <v>236</v>
      </c>
      <c r="R70" s="3" t="s">
        <v>443</v>
      </c>
      <c r="S70" s="4" t="s">
        <v>346</v>
      </c>
      <c r="T70" s="6" t="s">
        <v>434</v>
      </c>
    </row>
    <row r="71" spans="1:20" x14ac:dyDescent="0.3">
      <c r="A71" s="2" t="s">
        <v>22</v>
      </c>
      <c r="B71" s="3" t="s">
        <v>233</v>
      </c>
      <c r="C71" s="5" t="s">
        <v>234</v>
      </c>
      <c r="D71" s="3" t="s">
        <v>25</v>
      </c>
      <c r="E71" s="3" t="s">
        <v>25</v>
      </c>
      <c r="F71" s="6" t="s">
        <v>109</v>
      </c>
      <c r="H71" s="2" t="s">
        <v>22</v>
      </c>
      <c r="I71" s="3" t="s">
        <v>75</v>
      </c>
      <c r="J71" s="5" t="s">
        <v>100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552</v>
      </c>
      <c r="Q71" s="6" t="s">
        <v>257</v>
      </c>
      <c r="R71" s="3" t="s">
        <v>25</v>
      </c>
      <c r="S71" s="5" t="s">
        <v>84</v>
      </c>
      <c r="T71" s="3" t="s">
        <v>25</v>
      </c>
    </row>
    <row r="72" spans="1:20" x14ac:dyDescent="0.3">
      <c r="A72" s="7" t="s">
        <v>26</v>
      </c>
      <c r="B72" s="8">
        <v>105</v>
      </c>
      <c r="C72" s="8">
        <v>5</v>
      </c>
      <c r="D72" s="8">
        <v>3</v>
      </c>
      <c r="E72" s="8">
        <v>87</v>
      </c>
      <c r="F72" s="8">
        <v>10</v>
      </c>
      <c r="H72" s="7" t="s">
        <v>26</v>
      </c>
      <c r="I72" s="8">
        <v>280</v>
      </c>
      <c r="J72" s="8">
        <v>8</v>
      </c>
      <c r="K72" s="8">
        <v>136</v>
      </c>
      <c r="L72" s="8">
        <v>0</v>
      </c>
      <c r="M72" s="8">
        <v>136</v>
      </c>
      <c r="O72" s="7" t="s">
        <v>26</v>
      </c>
      <c r="P72" s="8">
        <v>230</v>
      </c>
      <c r="Q72" s="8">
        <v>0</v>
      </c>
      <c r="R72" s="8">
        <v>104</v>
      </c>
      <c r="S72" s="8">
        <v>41</v>
      </c>
      <c r="T72" s="8">
        <v>85</v>
      </c>
    </row>
    <row r="73" spans="1:20" x14ac:dyDescent="0.3">
      <c r="A73" s="9" t="s">
        <v>27</v>
      </c>
      <c r="B73" s="10">
        <v>31</v>
      </c>
      <c r="C73" s="10">
        <v>4</v>
      </c>
      <c r="D73" s="10">
        <v>2</v>
      </c>
      <c r="E73" s="10">
        <v>19</v>
      </c>
      <c r="F73" s="10">
        <v>6</v>
      </c>
      <c r="H73" s="9" t="s">
        <v>27</v>
      </c>
      <c r="I73" s="10">
        <v>166</v>
      </c>
      <c r="J73" s="10">
        <v>8</v>
      </c>
      <c r="K73" s="10">
        <v>99</v>
      </c>
      <c r="L73" s="10">
        <v>0</v>
      </c>
      <c r="M73" s="10">
        <v>59</v>
      </c>
      <c r="O73" s="9" t="s">
        <v>27</v>
      </c>
      <c r="P73" s="10">
        <v>215</v>
      </c>
      <c r="Q73" s="10">
        <v>0</v>
      </c>
      <c r="R73" s="10">
        <v>96</v>
      </c>
      <c r="S73" s="10">
        <v>40</v>
      </c>
      <c r="T73" s="10">
        <v>79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86</v>
      </c>
      <c r="J74" s="10">
        <v>0</v>
      </c>
      <c r="K74" s="10">
        <v>26</v>
      </c>
      <c r="L74" s="10">
        <v>0</v>
      </c>
      <c r="M74" s="10">
        <v>60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74</v>
      </c>
      <c r="C76" s="10">
        <v>1</v>
      </c>
      <c r="D76" s="10">
        <v>1</v>
      </c>
      <c r="E76" s="10">
        <v>68</v>
      </c>
      <c r="F76" s="10">
        <v>4</v>
      </c>
      <c r="H76" s="9" t="s">
        <v>30</v>
      </c>
      <c r="I76" s="10">
        <v>28</v>
      </c>
      <c r="J76" s="10">
        <v>0</v>
      </c>
      <c r="K76" s="10">
        <v>11</v>
      </c>
      <c r="L76" s="10">
        <v>0</v>
      </c>
      <c r="M76" s="10">
        <v>17</v>
      </c>
      <c r="O76" s="9" t="s">
        <v>30</v>
      </c>
      <c r="P76" s="10">
        <v>15</v>
      </c>
      <c r="Q76" s="10">
        <v>0</v>
      </c>
      <c r="R76" s="10">
        <v>8</v>
      </c>
      <c r="S76" s="10">
        <v>1</v>
      </c>
      <c r="T76" s="10">
        <v>6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327</v>
      </c>
      <c r="C78" s="12">
        <v>12</v>
      </c>
      <c r="D78" s="12">
        <v>95</v>
      </c>
      <c r="E78" s="12">
        <v>132</v>
      </c>
      <c r="F78" s="12">
        <v>88</v>
      </c>
      <c r="H78" s="11" t="s">
        <v>32</v>
      </c>
      <c r="I78" s="12">
        <v>334</v>
      </c>
      <c r="J78" s="12">
        <v>136</v>
      </c>
      <c r="K78" s="12">
        <v>112</v>
      </c>
      <c r="L78" s="12">
        <v>0</v>
      </c>
      <c r="M78" s="12">
        <v>86</v>
      </c>
      <c r="O78" s="11" t="s">
        <v>32</v>
      </c>
      <c r="P78" s="12">
        <v>86</v>
      </c>
      <c r="Q78" s="12">
        <v>33</v>
      </c>
      <c r="R78" s="12">
        <v>20</v>
      </c>
      <c r="S78" s="12">
        <v>13</v>
      </c>
      <c r="T78" s="12">
        <v>20</v>
      </c>
    </row>
    <row r="79" spans="1:20" x14ac:dyDescent="0.3">
      <c r="A79" s="13" t="s">
        <v>33</v>
      </c>
      <c r="B79" s="14">
        <v>6</v>
      </c>
      <c r="C79" s="14">
        <v>0</v>
      </c>
      <c r="D79" s="14">
        <v>4</v>
      </c>
      <c r="E79" s="14">
        <v>1</v>
      </c>
      <c r="F79" s="14">
        <v>1</v>
      </c>
      <c r="H79" s="13" t="s">
        <v>33</v>
      </c>
      <c r="I79" s="14">
        <v>6</v>
      </c>
      <c r="J79" s="14">
        <v>3</v>
      </c>
      <c r="K79" s="14">
        <v>3</v>
      </c>
      <c r="L79" s="14">
        <v>0</v>
      </c>
      <c r="M79" s="14">
        <v>0</v>
      </c>
      <c r="O79" s="13" t="s">
        <v>33</v>
      </c>
      <c r="P79" s="14">
        <v>9</v>
      </c>
      <c r="Q79" s="14">
        <v>4</v>
      </c>
      <c r="R79" s="14">
        <v>1</v>
      </c>
      <c r="S79" s="14">
        <v>1</v>
      </c>
      <c r="T79" s="14">
        <v>3</v>
      </c>
    </row>
    <row r="80" spans="1:20" x14ac:dyDescent="0.3">
      <c r="A80" s="13" t="s">
        <v>34</v>
      </c>
      <c r="B80" s="14">
        <v>321</v>
      </c>
      <c r="C80" s="14">
        <v>12</v>
      </c>
      <c r="D80" s="14">
        <v>91</v>
      </c>
      <c r="E80" s="14">
        <v>131</v>
      </c>
      <c r="F80" s="14">
        <v>87</v>
      </c>
      <c r="H80" s="13" t="s">
        <v>34</v>
      </c>
      <c r="I80" s="14">
        <v>328</v>
      </c>
      <c r="J80" s="14">
        <v>133</v>
      </c>
      <c r="K80" s="14">
        <v>109</v>
      </c>
      <c r="L80" s="14">
        <v>0</v>
      </c>
      <c r="M80" s="14">
        <v>86</v>
      </c>
      <c r="O80" s="13" t="s">
        <v>34</v>
      </c>
      <c r="P80" s="14">
        <v>77</v>
      </c>
      <c r="Q80" s="14">
        <v>29</v>
      </c>
      <c r="R80" s="14">
        <v>19</v>
      </c>
      <c r="S80" s="14">
        <v>12</v>
      </c>
      <c r="T80" s="14">
        <v>17</v>
      </c>
    </row>
    <row r="81" spans="1:20" x14ac:dyDescent="0.3">
      <c r="A81" s="15" t="s">
        <v>35</v>
      </c>
      <c r="B81" s="16">
        <v>26</v>
      </c>
      <c r="C81" s="16">
        <v>24</v>
      </c>
      <c r="D81" s="16">
        <v>0</v>
      </c>
      <c r="E81" s="16">
        <v>0</v>
      </c>
      <c r="F81" s="16">
        <v>2</v>
      </c>
      <c r="H81" s="15" t="s">
        <v>35</v>
      </c>
      <c r="I81" s="16">
        <v>6</v>
      </c>
      <c r="J81" s="16">
        <v>6</v>
      </c>
      <c r="K81" s="16">
        <v>0</v>
      </c>
      <c r="L81" s="16">
        <v>0</v>
      </c>
      <c r="M81" s="16">
        <v>0</v>
      </c>
      <c r="O81" s="15" t="s">
        <v>35</v>
      </c>
      <c r="P81" s="16">
        <v>2</v>
      </c>
      <c r="Q81" s="16">
        <v>1</v>
      </c>
      <c r="R81" s="16">
        <v>0</v>
      </c>
      <c r="S81" s="16">
        <v>1</v>
      </c>
      <c r="T81" s="16">
        <v>0</v>
      </c>
    </row>
    <row r="82" spans="1:20" x14ac:dyDescent="0.3">
      <c r="A82" s="17" t="s">
        <v>36</v>
      </c>
      <c r="B82" s="18">
        <v>2</v>
      </c>
      <c r="C82" s="18">
        <v>0</v>
      </c>
      <c r="D82" s="18">
        <v>0</v>
      </c>
      <c r="E82" s="18">
        <v>0</v>
      </c>
      <c r="F82" s="18">
        <v>2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2</v>
      </c>
      <c r="Q82" s="112">
        <v>1</v>
      </c>
      <c r="R82" s="112">
        <v>0</v>
      </c>
      <c r="S82" s="112">
        <v>1</v>
      </c>
      <c r="T82" s="112">
        <v>0</v>
      </c>
    </row>
    <row r="83" spans="1:20" x14ac:dyDescent="0.3">
      <c r="A83" s="17" t="s">
        <v>37</v>
      </c>
      <c r="B83" s="18">
        <v>24</v>
      </c>
      <c r="C83" s="18">
        <v>24</v>
      </c>
      <c r="D83" s="18">
        <v>0</v>
      </c>
      <c r="E83" s="18">
        <v>0</v>
      </c>
      <c r="F83" s="18">
        <v>0</v>
      </c>
      <c r="H83" s="17" t="s">
        <v>37</v>
      </c>
      <c r="I83" s="78">
        <v>6</v>
      </c>
      <c r="J83" s="78">
        <v>6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7" t="s">
        <v>235</v>
      </c>
      <c r="C84" s="168"/>
      <c r="D84" s="168"/>
      <c r="E84" s="168"/>
      <c r="F84" s="168"/>
      <c r="H84" s="17" t="s">
        <v>38</v>
      </c>
      <c r="I84" s="172" t="s">
        <v>1281</v>
      </c>
      <c r="J84" s="173"/>
      <c r="K84" s="173"/>
      <c r="L84" s="173"/>
      <c r="M84" s="173"/>
      <c r="O84" s="17" t="s">
        <v>38</v>
      </c>
      <c r="P84" s="167" t="s">
        <v>1808</v>
      </c>
      <c r="Q84" s="168"/>
      <c r="R84" s="168"/>
      <c r="S84" s="168"/>
      <c r="T84" s="168"/>
    </row>
    <row r="85" spans="1:20" ht="19.8" x14ac:dyDescent="0.3">
      <c r="A85" s="171">
        <v>46087</v>
      </c>
      <c r="B85" s="171"/>
      <c r="C85" s="171"/>
      <c r="D85" s="171"/>
      <c r="E85" s="171"/>
      <c r="F85" s="171"/>
      <c r="H85" s="171">
        <v>46118</v>
      </c>
      <c r="I85" s="171"/>
      <c r="J85" s="171"/>
      <c r="K85" s="171"/>
      <c r="L85" s="171"/>
      <c r="M85" s="171"/>
      <c r="O85" s="170">
        <v>46149</v>
      </c>
      <c r="P85" s="168"/>
      <c r="Q85" s="168"/>
      <c r="R85" s="168"/>
      <c r="S85" s="168"/>
      <c r="T85" s="168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870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870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2083</v>
      </c>
      <c r="C87" s="3">
        <v>2</v>
      </c>
      <c r="D87" s="3">
        <v>1063</v>
      </c>
      <c r="E87" s="3">
        <v>0</v>
      </c>
      <c r="F87" s="3">
        <v>1018</v>
      </c>
      <c r="H87" s="2" t="s">
        <v>5</v>
      </c>
      <c r="I87" s="3">
        <v>3602</v>
      </c>
      <c r="J87" s="3">
        <v>1189</v>
      </c>
      <c r="K87" s="3">
        <v>1165</v>
      </c>
      <c r="L87" s="3">
        <v>0</v>
      </c>
      <c r="M87" s="3">
        <v>1248</v>
      </c>
      <c r="O87" s="2" t="s">
        <v>5</v>
      </c>
      <c r="P87" s="3">
        <v>6505</v>
      </c>
      <c r="Q87" s="3">
        <v>2331</v>
      </c>
      <c r="R87" s="3">
        <v>1949</v>
      </c>
      <c r="S87" s="3">
        <v>1834</v>
      </c>
      <c r="T87" s="3">
        <v>391</v>
      </c>
    </row>
    <row r="88" spans="1:20" x14ac:dyDescent="0.3">
      <c r="A88" s="2" t="s">
        <v>6</v>
      </c>
      <c r="B88" s="3">
        <v>107</v>
      </c>
      <c r="C88" s="4">
        <v>2</v>
      </c>
      <c r="D88" s="6">
        <v>45</v>
      </c>
      <c r="E88" s="3">
        <v>0</v>
      </c>
      <c r="F88" s="5">
        <v>60</v>
      </c>
      <c r="H88" s="2" t="s">
        <v>6</v>
      </c>
      <c r="I88" s="3">
        <v>414</v>
      </c>
      <c r="J88" s="4">
        <v>76</v>
      </c>
      <c r="K88" s="6">
        <v>122</v>
      </c>
      <c r="L88" s="3">
        <v>0</v>
      </c>
      <c r="M88" s="5">
        <v>216</v>
      </c>
      <c r="O88" s="2" t="s">
        <v>6</v>
      </c>
      <c r="P88" s="3">
        <v>249</v>
      </c>
      <c r="Q88" s="3">
        <v>34</v>
      </c>
      <c r="R88" s="5">
        <v>104</v>
      </c>
      <c r="S88" s="6">
        <v>69</v>
      </c>
      <c r="T88" s="4">
        <v>42</v>
      </c>
    </row>
    <row r="89" spans="1:20" x14ac:dyDescent="0.3">
      <c r="A89" s="2" t="s">
        <v>7</v>
      </c>
      <c r="B89" s="3" t="s">
        <v>269</v>
      </c>
      <c r="C89" s="5" t="s">
        <v>48</v>
      </c>
      <c r="D89" s="4" t="s">
        <v>270</v>
      </c>
      <c r="E89" s="3">
        <v>0</v>
      </c>
      <c r="F89" s="6" t="s">
        <v>271</v>
      </c>
      <c r="H89" s="2" t="s">
        <v>7</v>
      </c>
      <c r="I89" s="3" t="s">
        <v>1301</v>
      </c>
      <c r="J89" s="4" t="s">
        <v>394</v>
      </c>
      <c r="K89" s="6" t="s">
        <v>1302</v>
      </c>
      <c r="L89" s="3">
        <v>0</v>
      </c>
      <c r="M89" s="5" t="s">
        <v>1303</v>
      </c>
      <c r="O89" s="2" t="s">
        <v>7</v>
      </c>
      <c r="P89" s="3" t="s">
        <v>533</v>
      </c>
      <c r="Q89" s="3" t="s">
        <v>1451</v>
      </c>
      <c r="R89" s="6" t="s">
        <v>52</v>
      </c>
      <c r="S89" s="4" t="s">
        <v>579</v>
      </c>
      <c r="T89" s="5" t="s">
        <v>1507</v>
      </c>
    </row>
    <row r="90" spans="1:20" x14ac:dyDescent="0.3">
      <c r="A90" s="2" t="s">
        <v>12</v>
      </c>
      <c r="B90" s="3" t="s">
        <v>87</v>
      </c>
      <c r="C90" s="3" t="s">
        <v>25</v>
      </c>
      <c r="D90" s="6" t="s">
        <v>150</v>
      </c>
      <c r="E90" s="3">
        <v>0</v>
      </c>
      <c r="F90" s="5" t="s">
        <v>272</v>
      </c>
      <c r="H90" s="2" t="s">
        <v>12</v>
      </c>
      <c r="I90" s="3" t="s">
        <v>891</v>
      </c>
      <c r="J90" s="4" t="s">
        <v>1044</v>
      </c>
      <c r="K90" s="6" t="s">
        <v>668</v>
      </c>
      <c r="L90" s="3">
        <v>0</v>
      </c>
      <c r="M90" s="5" t="s">
        <v>1304</v>
      </c>
      <c r="O90" s="2" t="s">
        <v>12</v>
      </c>
      <c r="P90" s="3" t="s">
        <v>526</v>
      </c>
      <c r="Q90" s="3" t="s">
        <v>25</v>
      </c>
      <c r="R90" s="6" t="s">
        <v>206</v>
      </c>
      <c r="S90" s="4" t="s">
        <v>548</v>
      </c>
      <c r="T90" s="5" t="s">
        <v>394</v>
      </c>
    </row>
    <row r="91" spans="1:20" x14ac:dyDescent="0.3">
      <c r="A91" s="2" t="s">
        <v>17</v>
      </c>
      <c r="B91" s="3" t="s">
        <v>140</v>
      </c>
      <c r="C91" s="5" t="s">
        <v>48</v>
      </c>
      <c r="D91" s="4" t="s">
        <v>273</v>
      </c>
      <c r="E91" s="3" t="s">
        <v>25</v>
      </c>
      <c r="F91" s="6" t="s">
        <v>274</v>
      </c>
      <c r="H91" s="2" t="s">
        <v>17</v>
      </c>
      <c r="I91" s="3" t="s">
        <v>1305</v>
      </c>
      <c r="J91" s="5" t="s">
        <v>107</v>
      </c>
      <c r="K91" s="6" t="s">
        <v>207</v>
      </c>
      <c r="L91" s="3" t="s">
        <v>25</v>
      </c>
      <c r="M91" s="4" t="s">
        <v>358</v>
      </c>
      <c r="O91" s="2" t="s">
        <v>17</v>
      </c>
      <c r="P91" s="3" t="s">
        <v>428</v>
      </c>
      <c r="Q91" s="4" t="s">
        <v>1451</v>
      </c>
      <c r="R91" s="6" t="s">
        <v>238</v>
      </c>
      <c r="S91" s="3" t="s">
        <v>476</v>
      </c>
      <c r="T91" s="5" t="s">
        <v>1689</v>
      </c>
    </row>
    <row r="92" spans="1:20" x14ac:dyDescent="0.3">
      <c r="A92" s="2" t="s">
        <v>22</v>
      </c>
      <c r="B92" s="3" t="s">
        <v>81</v>
      </c>
      <c r="C92" s="5" t="s">
        <v>48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42</v>
      </c>
      <c r="J92" s="5" t="s">
        <v>581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137</v>
      </c>
      <c r="Q92" s="3" t="s">
        <v>25</v>
      </c>
      <c r="R92" s="3" t="s">
        <v>25</v>
      </c>
      <c r="S92" s="3" t="s">
        <v>25</v>
      </c>
      <c r="T92" s="5" t="s">
        <v>82</v>
      </c>
    </row>
    <row r="93" spans="1:20" x14ac:dyDescent="0.3">
      <c r="A93" s="7" t="s">
        <v>26</v>
      </c>
      <c r="B93" s="8">
        <v>13</v>
      </c>
      <c r="C93" s="8">
        <v>0</v>
      </c>
      <c r="D93" s="8">
        <v>4</v>
      </c>
      <c r="E93" s="8">
        <v>0</v>
      </c>
      <c r="F93" s="8">
        <v>9</v>
      </c>
      <c r="H93" s="7" t="s">
        <v>26</v>
      </c>
      <c r="I93" s="8">
        <v>272</v>
      </c>
      <c r="J93" s="8">
        <v>22</v>
      </c>
      <c r="K93" s="8">
        <v>73</v>
      </c>
      <c r="L93" s="8">
        <v>0</v>
      </c>
      <c r="M93" s="8">
        <v>177</v>
      </c>
      <c r="O93" s="7" t="s">
        <v>26</v>
      </c>
      <c r="P93" s="8">
        <v>143</v>
      </c>
      <c r="Q93" s="8">
        <v>0</v>
      </c>
      <c r="R93" s="8">
        <v>72</v>
      </c>
      <c r="S93" s="8">
        <v>46</v>
      </c>
      <c r="T93" s="8">
        <v>25</v>
      </c>
    </row>
    <row r="94" spans="1:20" x14ac:dyDescent="0.3">
      <c r="A94" s="9" t="s">
        <v>27</v>
      </c>
      <c r="B94" s="10">
        <v>9</v>
      </c>
      <c r="C94" s="10">
        <v>0</v>
      </c>
      <c r="D94" s="10">
        <v>3</v>
      </c>
      <c r="E94" s="10">
        <v>0</v>
      </c>
      <c r="F94" s="10">
        <v>6</v>
      </c>
      <c r="H94" s="9" t="s">
        <v>27</v>
      </c>
      <c r="I94" s="10">
        <v>69</v>
      </c>
      <c r="J94" s="10">
        <v>16</v>
      </c>
      <c r="K94" s="10">
        <v>21</v>
      </c>
      <c r="L94" s="10">
        <v>0</v>
      </c>
      <c r="M94" s="10">
        <v>32</v>
      </c>
      <c r="O94" s="9" t="s">
        <v>27</v>
      </c>
      <c r="P94" s="10">
        <v>138</v>
      </c>
      <c r="Q94" s="10">
        <v>0</v>
      </c>
      <c r="R94" s="10">
        <v>71</v>
      </c>
      <c r="S94" s="10">
        <v>44</v>
      </c>
      <c r="T94" s="10">
        <v>23</v>
      </c>
    </row>
    <row r="95" spans="1:20" x14ac:dyDescent="0.3">
      <c r="A95" s="9" t="s">
        <v>28</v>
      </c>
      <c r="B95" s="10">
        <v>1</v>
      </c>
      <c r="C95" s="10">
        <v>0</v>
      </c>
      <c r="D95" s="10">
        <v>0</v>
      </c>
      <c r="E95" s="10">
        <v>0</v>
      </c>
      <c r="F95" s="10">
        <v>1</v>
      </c>
      <c r="H95" s="9" t="s">
        <v>28</v>
      </c>
      <c r="I95" s="10">
        <v>142</v>
      </c>
      <c r="J95" s="10">
        <v>0</v>
      </c>
      <c r="K95" s="10">
        <v>31</v>
      </c>
      <c r="L95" s="10">
        <v>0</v>
      </c>
      <c r="M95" s="10">
        <v>111</v>
      </c>
      <c r="O95" s="9" t="s">
        <v>28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3</v>
      </c>
      <c r="C97" s="10">
        <v>0</v>
      </c>
      <c r="D97" s="10">
        <v>1</v>
      </c>
      <c r="E97" s="10">
        <v>0</v>
      </c>
      <c r="F97" s="10">
        <v>2</v>
      </c>
      <c r="H97" s="9" t="s">
        <v>30</v>
      </c>
      <c r="I97" s="10">
        <v>61</v>
      </c>
      <c r="J97" s="10">
        <v>6</v>
      </c>
      <c r="K97" s="10">
        <v>21</v>
      </c>
      <c r="L97" s="10">
        <v>0</v>
      </c>
      <c r="M97" s="10">
        <v>34</v>
      </c>
      <c r="O97" s="9" t="s">
        <v>30</v>
      </c>
      <c r="P97" s="10">
        <v>5</v>
      </c>
      <c r="Q97" s="10">
        <v>0</v>
      </c>
      <c r="R97" s="10">
        <v>1</v>
      </c>
      <c r="S97" s="10">
        <v>2</v>
      </c>
      <c r="T97" s="10">
        <v>2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94</v>
      </c>
      <c r="C99" s="12">
        <v>2</v>
      </c>
      <c r="D99" s="12">
        <v>41</v>
      </c>
      <c r="E99" s="12">
        <v>0</v>
      </c>
      <c r="F99" s="12">
        <v>51</v>
      </c>
      <c r="H99" s="11" t="s">
        <v>32</v>
      </c>
      <c r="I99" s="12">
        <v>142</v>
      </c>
      <c r="J99" s="12">
        <v>54</v>
      </c>
      <c r="K99" s="12">
        <v>49</v>
      </c>
      <c r="L99" s="12">
        <v>0</v>
      </c>
      <c r="M99" s="12">
        <v>39</v>
      </c>
      <c r="O99" s="11" t="s">
        <v>32</v>
      </c>
      <c r="P99" s="12">
        <v>106</v>
      </c>
      <c r="Q99" s="12">
        <v>34</v>
      </c>
      <c r="R99" s="12">
        <v>32</v>
      </c>
      <c r="S99" s="12">
        <v>23</v>
      </c>
      <c r="T99" s="12">
        <v>17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3</v>
      </c>
      <c r="Q100" s="14">
        <v>0</v>
      </c>
      <c r="R100" s="14">
        <v>1</v>
      </c>
      <c r="S100" s="14">
        <v>1</v>
      </c>
      <c r="T100" s="14">
        <v>1</v>
      </c>
    </row>
    <row r="101" spans="1:20" x14ac:dyDescent="0.3">
      <c r="A101" s="13" t="s">
        <v>34</v>
      </c>
      <c r="B101" s="14">
        <v>94</v>
      </c>
      <c r="C101" s="14">
        <v>2</v>
      </c>
      <c r="D101" s="14">
        <v>41</v>
      </c>
      <c r="E101" s="14">
        <v>0</v>
      </c>
      <c r="F101" s="14">
        <v>51</v>
      </c>
      <c r="H101" s="13" t="s">
        <v>34</v>
      </c>
      <c r="I101" s="14">
        <v>142</v>
      </c>
      <c r="J101" s="14">
        <v>54</v>
      </c>
      <c r="K101" s="14">
        <v>49</v>
      </c>
      <c r="L101" s="14">
        <v>0</v>
      </c>
      <c r="M101" s="14">
        <v>39</v>
      </c>
      <c r="O101" s="13" t="s">
        <v>34</v>
      </c>
      <c r="P101" s="14">
        <v>103</v>
      </c>
      <c r="Q101" s="14">
        <v>34</v>
      </c>
      <c r="R101" s="14">
        <v>31</v>
      </c>
      <c r="S101" s="14">
        <v>22</v>
      </c>
      <c r="T101" s="14">
        <v>16</v>
      </c>
    </row>
    <row r="102" spans="1:20" x14ac:dyDescent="0.3">
      <c r="A102" s="15" t="s">
        <v>35</v>
      </c>
      <c r="B102" s="16">
        <v>2</v>
      </c>
      <c r="C102" s="16">
        <v>2</v>
      </c>
      <c r="D102" s="16">
        <v>0</v>
      </c>
      <c r="E102" s="16">
        <v>0</v>
      </c>
      <c r="F102" s="16">
        <v>0</v>
      </c>
      <c r="H102" s="15" t="s">
        <v>35</v>
      </c>
      <c r="I102" s="16">
        <v>23</v>
      </c>
      <c r="J102" s="16">
        <v>23</v>
      </c>
      <c r="K102" s="16">
        <v>0</v>
      </c>
      <c r="L102" s="16">
        <v>0</v>
      </c>
      <c r="M102" s="16">
        <v>0</v>
      </c>
      <c r="O102" s="15" t="s">
        <v>35</v>
      </c>
      <c r="P102" s="16">
        <v>38</v>
      </c>
      <c r="Q102" s="16">
        <v>0</v>
      </c>
      <c r="R102" s="16">
        <v>0</v>
      </c>
      <c r="S102" s="16">
        <v>0</v>
      </c>
      <c r="T102" s="16">
        <v>38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2</v>
      </c>
      <c r="C104" s="18">
        <v>2</v>
      </c>
      <c r="D104" s="18">
        <v>0</v>
      </c>
      <c r="E104" s="18">
        <v>0</v>
      </c>
      <c r="F104" s="18">
        <v>0</v>
      </c>
      <c r="H104" s="17" t="s">
        <v>37</v>
      </c>
      <c r="I104" s="78">
        <v>23</v>
      </c>
      <c r="J104" s="78">
        <v>23</v>
      </c>
      <c r="K104" s="78">
        <v>0</v>
      </c>
      <c r="L104" s="78">
        <v>0</v>
      </c>
      <c r="M104" s="78">
        <v>0</v>
      </c>
      <c r="O104" s="17" t="s">
        <v>37</v>
      </c>
      <c r="P104" s="112">
        <v>38</v>
      </c>
      <c r="Q104" s="112">
        <v>0</v>
      </c>
      <c r="R104" s="112">
        <v>0</v>
      </c>
      <c r="S104" s="112">
        <v>0</v>
      </c>
      <c r="T104" s="112">
        <v>38</v>
      </c>
    </row>
    <row r="105" spans="1:20" x14ac:dyDescent="0.3">
      <c r="A105" s="17" t="s">
        <v>38</v>
      </c>
      <c r="B105" s="172" t="s">
        <v>275</v>
      </c>
      <c r="C105" s="173"/>
      <c r="D105" s="173"/>
      <c r="E105" s="173"/>
      <c r="F105" s="173"/>
      <c r="H105" s="17" t="s">
        <v>38</v>
      </c>
      <c r="I105" s="172" t="s">
        <v>624</v>
      </c>
      <c r="J105" s="173"/>
      <c r="K105" s="173"/>
      <c r="L105" s="173"/>
      <c r="M105" s="173"/>
      <c r="O105" s="17" t="s">
        <v>38</v>
      </c>
      <c r="P105" s="167" t="s">
        <v>1830</v>
      </c>
      <c r="Q105" s="168"/>
      <c r="R105" s="168"/>
      <c r="S105" s="168"/>
      <c r="T105" s="168"/>
    </row>
    <row r="106" spans="1:20" ht="19.8" x14ac:dyDescent="0.3">
      <c r="A106" s="170">
        <v>46090</v>
      </c>
      <c r="B106" s="168"/>
      <c r="C106" s="168"/>
      <c r="D106" s="168"/>
      <c r="E106" s="168"/>
      <c r="F106" s="168"/>
      <c r="H106" s="171">
        <v>46119</v>
      </c>
      <c r="I106" s="171"/>
      <c r="J106" s="171"/>
      <c r="K106" s="171"/>
      <c r="L106" s="171"/>
      <c r="M106" s="171"/>
      <c r="O106" s="170">
        <v>46150</v>
      </c>
      <c r="P106" s="168"/>
      <c r="Q106" s="168"/>
      <c r="R106" s="168"/>
      <c r="S106" s="168"/>
      <c r="T106" s="168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870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3699</v>
      </c>
      <c r="C108" s="3">
        <v>685</v>
      </c>
      <c r="D108" s="3">
        <v>1241</v>
      </c>
      <c r="E108" s="3">
        <v>581</v>
      </c>
      <c r="F108" s="3">
        <v>1192</v>
      </c>
      <c r="H108" s="2" t="s">
        <v>5</v>
      </c>
      <c r="I108" s="3">
        <v>2168</v>
      </c>
      <c r="J108" s="3">
        <v>727</v>
      </c>
      <c r="K108" s="3">
        <v>648</v>
      </c>
      <c r="L108" s="3">
        <v>0</v>
      </c>
      <c r="M108" s="3">
        <v>793</v>
      </c>
      <c r="O108" s="2" t="s">
        <v>5</v>
      </c>
      <c r="P108" s="3">
        <v>4442</v>
      </c>
      <c r="Q108" s="3">
        <v>908</v>
      </c>
      <c r="R108" s="3">
        <v>1832</v>
      </c>
      <c r="S108" s="3">
        <v>1700</v>
      </c>
      <c r="T108" s="3">
        <v>2</v>
      </c>
    </row>
    <row r="109" spans="1:20" x14ac:dyDescent="0.3">
      <c r="A109" s="2" t="s">
        <v>6</v>
      </c>
      <c r="B109" s="3">
        <v>206</v>
      </c>
      <c r="C109" s="5">
        <v>100</v>
      </c>
      <c r="D109" s="3">
        <v>17</v>
      </c>
      <c r="E109" s="6">
        <v>69</v>
      </c>
      <c r="F109" s="4">
        <v>20</v>
      </c>
      <c r="H109" s="2" t="s">
        <v>6</v>
      </c>
      <c r="I109" s="3">
        <v>248</v>
      </c>
      <c r="J109" s="4">
        <v>32</v>
      </c>
      <c r="K109" s="6">
        <v>68</v>
      </c>
      <c r="L109" s="3">
        <v>0</v>
      </c>
      <c r="M109" s="5">
        <v>148</v>
      </c>
      <c r="O109" s="2" t="s">
        <v>6</v>
      </c>
      <c r="P109" s="3">
        <v>264</v>
      </c>
      <c r="Q109" s="4">
        <v>55</v>
      </c>
      <c r="R109" s="5">
        <v>137</v>
      </c>
      <c r="S109" s="6">
        <v>70</v>
      </c>
      <c r="T109" s="3">
        <v>2</v>
      </c>
    </row>
    <row r="110" spans="1:20" x14ac:dyDescent="0.3">
      <c r="A110" s="2" t="s">
        <v>7</v>
      </c>
      <c r="B110" s="3" t="s">
        <v>340</v>
      </c>
      <c r="C110" s="5" t="s">
        <v>341</v>
      </c>
      <c r="D110" s="3" t="s">
        <v>240</v>
      </c>
      <c r="E110" s="6" t="s">
        <v>244</v>
      </c>
      <c r="F110" s="4" t="s">
        <v>342</v>
      </c>
      <c r="H110" s="2" t="s">
        <v>7</v>
      </c>
      <c r="I110" s="3" t="s">
        <v>1327</v>
      </c>
      <c r="J110" s="4" t="s">
        <v>660</v>
      </c>
      <c r="K110" s="6" t="s">
        <v>1328</v>
      </c>
      <c r="L110" s="3">
        <v>0</v>
      </c>
      <c r="M110" s="5" t="s">
        <v>1329</v>
      </c>
      <c r="O110" s="2" t="s">
        <v>7</v>
      </c>
      <c r="P110" s="3" t="s">
        <v>816</v>
      </c>
      <c r="Q110" s="4" t="s">
        <v>302</v>
      </c>
      <c r="R110" s="6" t="s">
        <v>396</v>
      </c>
      <c r="S110" s="3" t="s">
        <v>1005</v>
      </c>
      <c r="T110" s="5" t="s">
        <v>48</v>
      </c>
    </row>
    <row r="111" spans="1:20" x14ac:dyDescent="0.3">
      <c r="A111" s="2" t="s">
        <v>12</v>
      </c>
      <c r="B111" s="3" t="s">
        <v>343</v>
      </c>
      <c r="C111" s="5" t="s">
        <v>344</v>
      </c>
      <c r="D111" s="3" t="s">
        <v>41</v>
      </c>
      <c r="E111" s="6" t="s">
        <v>345</v>
      </c>
      <c r="F111" s="4" t="s">
        <v>346</v>
      </c>
      <c r="H111" s="2" t="s">
        <v>12</v>
      </c>
      <c r="I111" s="3" t="s">
        <v>1330</v>
      </c>
      <c r="J111" s="4" t="s">
        <v>185</v>
      </c>
      <c r="K111" s="6" t="s">
        <v>220</v>
      </c>
      <c r="L111" s="3">
        <v>0</v>
      </c>
      <c r="M111" s="5" t="s">
        <v>1331</v>
      </c>
      <c r="O111" s="2" t="s">
        <v>12</v>
      </c>
      <c r="P111" s="3" t="s">
        <v>974</v>
      </c>
      <c r="Q111" s="3" t="s">
        <v>25</v>
      </c>
      <c r="R111" s="6" t="s">
        <v>1389</v>
      </c>
      <c r="S111" s="4" t="s">
        <v>582</v>
      </c>
      <c r="T111" s="5" t="s">
        <v>1666</v>
      </c>
    </row>
    <row r="112" spans="1:20" x14ac:dyDescent="0.3">
      <c r="A112" s="2" t="s">
        <v>17</v>
      </c>
      <c r="B112" s="3" t="s">
        <v>182</v>
      </c>
      <c r="C112" s="3" t="s">
        <v>121</v>
      </c>
      <c r="D112" s="4" t="s">
        <v>347</v>
      </c>
      <c r="E112" s="5" t="s">
        <v>348</v>
      </c>
      <c r="F112" s="6" t="s">
        <v>50</v>
      </c>
      <c r="H112" s="2" t="s">
        <v>17</v>
      </c>
      <c r="I112" s="3" t="s">
        <v>533</v>
      </c>
      <c r="J112" s="4" t="s">
        <v>925</v>
      </c>
      <c r="K112" s="5" t="s">
        <v>385</v>
      </c>
      <c r="L112" s="3" t="s">
        <v>25</v>
      </c>
      <c r="M112" s="6" t="s">
        <v>961</v>
      </c>
      <c r="O112" s="2" t="s">
        <v>17</v>
      </c>
      <c r="P112" s="3" t="s">
        <v>195</v>
      </c>
      <c r="Q112" s="6" t="s">
        <v>764</v>
      </c>
      <c r="R112" s="4" t="s">
        <v>69</v>
      </c>
      <c r="S112" s="3" t="s">
        <v>23</v>
      </c>
      <c r="T112" s="5" t="s">
        <v>1666</v>
      </c>
    </row>
    <row r="113" spans="1:20" x14ac:dyDescent="0.3">
      <c r="A113" s="2" t="s">
        <v>22</v>
      </c>
      <c r="B113" s="3" t="s">
        <v>349</v>
      </c>
      <c r="C113" s="5" t="s">
        <v>350</v>
      </c>
      <c r="D113" s="3" t="s">
        <v>25</v>
      </c>
      <c r="E113" s="3" t="s">
        <v>25</v>
      </c>
      <c r="F113" s="6" t="s">
        <v>309</v>
      </c>
      <c r="H113" s="2" t="s">
        <v>22</v>
      </c>
      <c r="I113" s="3" t="s">
        <v>595</v>
      </c>
      <c r="J113" s="5" t="s">
        <v>697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158</v>
      </c>
      <c r="Q113" s="3" t="s">
        <v>25</v>
      </c>
      <c r="R113" s="3" t="s">
        <v>25</v>
      </c>
      <c r="S113" s="3" t="s">
        <v>25</v>
      </c>
      <c r="T113" s="5" t="s">
        <v>48</v>
      </c>
    </row>
    <row r="114" spans="1:20" x14ac:dyDescent="0.3">
      <c r="A114" s="7" t="s">
        <v>26</v>
      </c>
      <c r="B114" s="8">
        <v>144</v>
      </c>
      <c r="C114" s="8">
        <v>99</v>
      </c>
      <c r="D114" s="8">
        <v>14</v>
      </c>
      <c r="E114" s="8">
        <v>17</v>
      </c>
      <c r="F114" s="8">
        <v>14</v>
      </c>
      <c r="H114" s="7" t="s">
        <v>26</v>
      </c>
      <c r="I114" s="8">
        <v>165</v>
      </c>
      <c r="J114" s="8">
        <v>10</v>
      </c>
      <c r="K114" s="8">
        <v>40</v>
      </c>
      <c r="L114" s="8">
        <v>0</v>
      </c>
      <c r="M114" s="8">
        <v>115</v>
      </c>
      <c r="O114" s="7" t="s">
        <v>26</v>
      </c>
      <c r="P114" s="8">
        <v>99</v>
      </c>
      <c r="Q114" s="8">
        <v>0</v>
      </c>
      <c r="R114" s="8">
        <v>75</v>
      </c>
      <c r="S114" s="8">
        <v>23</v>
      </c>
      <c r="T114" s="8">
        <v>1</v>
      </c>
    </row>
    <row r="115" spans="1:20" x14ac:dyDescent="0.3">
      <c r="A115" s="9" t="s">
        <v>27</v>
      </c>
      <c r="B115" s="10">
        <v>35</v>
      </c>
      <c r="C115" s="10">
        <v>6</v>
      </c>
      <c r="D115" s="10">
        <v>13</v>
      </c>
      <c r="E115" s="10">
        <v>5</v>
      </c>
      <c r="F115" s="10">
        <v>11</v>
      </c>
      <c r="H115" s="9" t="s">
        <v>27</v>
      </c>
      <c r="I115" s="10">
        <v>28</v>
      </c>
      <c r="J115" s="10">
        <v>6</v>
      </c>
      <c r="K115" s="10">
        <v>8</v>
      </c>
      <c r="L115" s="10">
        <v>0</v>
      </c>
      <c r="M115" s="10">
        <v>14</v>
      </c>
      <c r="O115" s="9" t="s">
        <v>27</v>
      </c>
      <c r="P115" s="10">
        <v>92</v>
      </c>
      <c r="Q115" s="10">
        <v>0</v>
      </c>
      <c r="R115" s="10">
        <v>69</v>
      </c>
      <c r="S115" s="10">
        <v>22</v>
      </c>
      <c r="T115" s="10">
        <v>1</v>
      </c>
    </row>
    <row r="116" spans="1:20" x14ac:dyDescent="0.3">
      <c r="A116" s="9" t="s">
        <v>28</v>
      </c>
      <c r="B116" s="10">
        <v>4</v>
      </c>
      <c r="C116" s="10">
        <v>1</v>
      </c>
      <c r="D116" s="10">
        <v>0</v>
      </c>
      <c r="E116" s="10">
        <v>3</v>
      </c>
      <c r="F116" s="10">
        <v>0</v>
      </c>
      <c r="H116" s="9" t="s">
        <v>28</v>
      </c>
      <c r="I116" s="10">
        <v>119</v>
      </c>
      <c r="J116" s="10">
        <v>2</v>
      </c>
      <c r="K116" s="10">
        <v>25</v>
      </c>
      <c r="L116" s="10">
        <v>0</v>
      </c>
      <c r="M116" s="10">
        <v>92</v>
      </c>
      <c r="O116" s="9" t="s">
        <v>28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105</v>
      </c>
      <c r="C118" s="10">
        <v>92</v>
      </c>
      <c r="D118" s="10">
        <v>1</v>
      </c>
      <c r="E118" s="10">
        <v>9</v>
      </c>
      <c r="F118" s="10">
        <v>3</v>
      </c>
      <c r="H118" s="9" t="s">
        <v>30</v>
      </c>
      <c r="I118" s="10">
        <v>18</v>
      </c>
      <c r="J118" s="10">
        <v>2</v>
      </c>
      <c r="K118" s="10">
        <v>7</v>
      </c>
      <c r="L118" s="10">
        <v>0</v>
      </c>
      <c r="M118" s="10">
        <v>9</v>
      </c>
      <c r="O118" s="9" t="s">
        <v>30</v>
      </c>
      <c r="P118" s="10">
        <v>7</v>
      </c>
      <c r="Q118" s="10">
        <v>0</v>
      </c>
      <c r="R118" s="10">
        <v>6</v>
      </c>
      <c r="S118" s="10">
        <v>1</v>
      </c>
      <c r="T118" s="10">
        <v>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61</v>
      </c>
      <c r="C120" s="12">
        <v>1</v>
      </c>
      <c r="D120" s="12">
        <v>3</v>
      </c>
      <c r="E120" s="12">
        <v>51</v>
      </c>
      <c r="F120" s="12">
        <v>6</v>
      </c>
      <c r="H120" s="11" t="s">
        <v>32</v>
      </c>
      <c r="I120" s="12">
        <v>83</v>
      </c>
      <c r="J120" s="12">
        <v>22</v>
      </c>
      <c r="K120" s="12">
        <v>28</v>
      </c>
      <c r="L120" s="12">
        <v>0</v>
      </c>
      <c r="M120" s="12">
        <v>33</v>
      </c>
      <c r="O120" s="11" t="s">
        <v>32</v>
      </c>
      <c r="P120" s="12">
        <v>162</v>
      </c>
      <c r="Q120" s="12">
        <v>53</v>
      </c>
      <c r="R120" s="12">
        <v>62</v>
      </c>
      <c r="S120" s="12">
        <v>46</v>
      </c>
      <c r="T120" s="12">
        <v>1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1</v>
      </c>
      <c r="J121" s="14">
        <v>0</v>
      </c>
      <c r="K121" s="14">
        <v>0</v>
      </c>
      <c r="L121" s="14">
        <v>0</v>
      </c>
      <c r="M121" s="14">
        <v>1</v>
      </c>
      <c r="O121" s="13" t="s">
        <v>33</v>
      </c>
      <c r="P121" s="14">
        <v>36</v>
      </c>
      <c r="Q121" s="14">
        <v>10</v>
      </c>
      <c r="R121" s="14">
        <v>17</v>
      </c>
      <c r="S121" s="14">
        <v>9</v>
      </c>
      <c r="T121" s="14">
        <v>0</v>
      </c>
    </row>
    <row r="122" spans="1:20" x14ac:dyDescent="0.3">
      <c r="A122" s="13" t="s">
        <v>34</v>
      </c>
      <c r="B122" s="14">
        <v>61</v>
      </c>
      <c r="C122" s="14">
        <v>1</v>
      </c>
      <c r="D122" s="14">
        <v>3</v>
      </c>
      <c r="E122" s="14">
        <v>51</v>
      </c>
      <c r="F122" s="14">
        <v>6</v>
      </c>
      <c r="H122" s="13" t="s">
        <v>34</v>
      </c>
      <c r="I122" s="14">
        <v>82</v>
      </c>
      <c r="J122" s="14">
        <v>22</v>
      </c>
      <c r="K122" s="14">
        <v>28</v>
      </c>
      <c r="L122" s="14">
        <v>0</v>
      </c>
      <c r="M122" s="14">
        <v>32</v>
      </c>
      <c r="O122" s="13" t="s">
        <v>34</v>
      </c>
      <c r="P122" s="14">
        <v>126</v>
      </c>
      <c r="Q122" s="14">
        <v>43</v>
      </c>
      <c r="R122" s="14">
        <v>45</v>
      </c>
      <c r="S122" s="14">
        <v>37</v>
      </c>
      <c r="T122" s="14">
        <v>1</v>
      </c>
    </row>
    <row r="123" spans="1:20" x14ac:dyDescent="0.3">
      <c r="A123" s="15" t="s">
        <v>35</v>
      </c>
      <c r="B123" s="16">
        <v>73</v>
      </c>
      <c r="C123" s="16">
        <v>72</v>
      </c>
      <c r="D123" s="16">
        <v>0</v>
      </c>
      <c r="E123" s="16">
        <v>0</v>
      </c>
      <c r="F123" s="16">
        <v>1</v>
      </c>
      <c r="H123" s="15" t="s">
        <v>35</v>
      </c>
      <c r="I123" s="16">
        <v>6</v>
      </c>
      <c r="J123" s="16">
        <v>6</v>
      </c>
      <c r="K123" s="16">
        <v>0</v>
      </c>
      <c r="L123" s="16">
        <v>0</v>
      </c>
      <c r="M123" s="16">
        <v>0</v>
      </c>
      <c r="O123" s="15" t="s">
        <v>35</v>
      </c>
      <c r="P123" s="16">
        <v>2</v>
      </c>
      <c r="Q123" s="16">
        <v>0</v>
      </c>
      <c r="R123" s="16">
        <v>0</v>
      </c>
      <c r="S123" s="16">
        <v>0</v>
      </c>
      <c r="T123" s="16">
        <v>2</v>
      </c>
    </row>
    <row r="124" spans="1:20" x14ac:dyDescent="0.3">
      <c r="A124" s="17" t="s">
        <v>36</v>
      </c>
      <c r="B124" s="18">
        <v>1</v>
      </c>
      <c r="C124" s="18">
        <v>0</v>
      </c>
      <c r="D124" s="18">
        <v>0</v>
      </c>
      <c r="E124" s="18">
        <v>0</v>
      </c>
      <c r="F124" s="18">
        <v>1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72</v>
      </c>
      <c r="C125" s="18">
        <v>72</v>
      </c>
      <c r="D125" s="18">
        <v>0</v>
      </c>
      <c r="E125" s="18">
        <v>0</v>
      </c>
      <c r="F125" s="18">
        <v>0</v>
      </c>
      <c r="H125" s="17" t="s">
        <v>37</v>
      </c>
      <c r="I125" s="78">
        <v>6</v>
      </c>
      <c r="J125" s="78">
        <v>6</v>
      </c>
      <c r="K125" s="78">
        <v>0</v>
      </c>
      <c r="L125" s="78">
        <v>0</v>
      </c>
      <c r="M125" s="78">
        <v>0</v>
      </c>
      <c r="O125" s="17" t="s">
        <v>37</v>
      </c>
      <c r="P125" s="112">
        <v>2</v>
      </c>
      <c r="Q125" s="112">
        <v>0</v>
      </c>
      <c r="R125" s="112">
        <v>0</v>
      </c>
      <c r="S125" s="112">
        <v>0</v>
      </c>
      <c r="T125" s="112">
        <v>2</v>
      </c>
    </row>
    <row r="126" spans="1:20" x14ac:dyDescent="0.3">
      <c r="A126" s="17" t="s">
        <v>38</v>
      </c>
      <c r="B126" s="167" t="s">
        <v>275</v>
      </c>
      <c r="C126" s="168"/>
      <c r="D126" s="168"/>
      <c r="E126" s="168"/>
      <c r="F126" s="168"/>
      <c r="H126" s="17" t="s">
        <v>38</v>
      </c>
      <c r="I126" s="172" t="s">
        <v>1332</v>
      </c>
      <c r="J126" s="173"/>
      <c r="K126" s="173"/>
      <c r="L126" s="173"/>
      <c r="M126" s="173"/>
      <c r="O126" s="17" t="s">
        <v>38</v>
      </c>
      <c r="P126" s="167" t="s">
        <v>1842</v>
      </c>
      <c r="Q126" s="168"/>
      <c r="R126" s="168"/>
      <c r="S126" s="168"/>
      <c r="T126" s="168"/>
    </row>
    <row r="127" spans="1:20" ht="19.8" x14ac:dyDescent="0.3">
      <c r="A127" s="171">
        <v>46093</v>
      </c>
      <c r="B127" s="171"/>
      <c r="C127" s="171"/>
      <c r="D127" s="171"/>
      <c r="E127" s="171"/>
      <c r="F127" s="171"/>
      <c r="H127" s="171">
        <v>46120</v>
      </c>
      <c r="I127" s="171"/>
      <c r="J127" s="171"/>
      <c r="K127" s="171"/>
      <c r="L127" s="171"/>
      <c r="M127" s="171"/>
      <c r="O127" s="170">
        <v>46151</v>
      </c>
      <c r="P127" s="168"/>
      <c r="Q127" s="168"/>
      <c r="R127" s="168"/>
      <c r="S127" s="168"/>
      <c r="T127" s="168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870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870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5562</v>
      </c>
      <c r="C129" s="3">
        <v>1968</v>
      </c>
      <c r="D129" s="3">
        <v>1704</v>
      </c>
      <c r="E129" s="3">
        <v>0</v>
      </c>
      <c r="F129" s="3">
        <v>1890</v>
      </c>
      <c r="H129" s="2" t="s">
        <v>5</v>
      </c>
      <c r="I129" s="3">
        <v>5342</v>
      </c>
      <c r="J129" s="3">
        <v>2066</v>
      </c>
      <c r="K129" s="3">
        <v>1857</v>
      </c>
      <c r="L129" s="3">
        <v>0</v>
      </c>
      <c r="M129" s="3">
        <v>1419</v>
      </c>
      <c r="O129" s="2" t="s">
        <v>5</v>
      </c>
      <c r="P129" s="3">
        <v>5663</v>
      </c>
      <c r="Q129" s="3">
        <v>2004</v>
      </c>
      <c r="R129" s="3">
        <v>1832</v>
      </c>
      <c r="S129" s="3">
        <v>1826</v>
      </c>
      <c r="T129" s="3">
        <v>1</v>
      </c>
    </row>
    <row r="130" spans="1:20" x14ac:dyDescent="0.3">
      <c r="A130" s="2" t="s">
        <v>6</v>
      </c>
      <c r="B130" s="3">
        <v>513</v>
      </c>
      <c r="C130" s="6">
        <v>213</v>
      </c>
      <c r="D130" s="4">
        <v>25</v>
      </c>
      <c r="E130" s="3">
        <v>0</v>
      </c>
      <c r="F130" s="5">
        <v>275</v>
      </c>
      <c r="H130" s="2" t="s">
        <v>6</v>
      </c>
      <c r="I130" s="3">
        <v>246</v>
      </c>
      <c r="J130" s="4">
        <v>63</v>
      </c>
      <c r="K130" s="5">
        <v>101</v>
      </c>
      <c r="L130" s="3">
        <v>0</v>
      </c>
      <c r="M130" s="6">
        <v>82</v>
      </c>
      <c r="O130" s="2" t="s">
        <v>6</v>
      </c>
      <c r="P130" s="3">
        <v>2625</v>
      </c>
      <c r="Q130" s="5">
        <v>900</v>
      </c>
      <c r="R130" s="4">
        <v>860</v>
      </c>
      <c r="S130" s="6">
        <v>864</v>
      </c>
      <c r="T130" s="3">
        <v>1</v>
      </c>
    </row>
    <row r="131" spans="1:20" x14ac:dyDescent="0.3">
      <c r="A131" s="2" t="s">
        <v>7</v>
      </c>
      <c r="B131" s="3" t="s">
        <v>461</v>
      </c>
      <c r="C131" s="6" t="s">
        <v>462</v>
      </c>
      <c r="D131" s="4" t="s">
        <v>236</v>
      </c>
      <c r="E131" s="3">
        <v>0</v>
      </c>
      <c r="F131" s="5" t="s">
        <v>463</v>
      </c>
      <c r="H131" s="2" t="s">
        <v>7</v>
      </c>
      <c r="I131" s="3" t="s">
        <v>1196</v>
      </c>
      <c r="J131" s="4" t="s">
        <v>1346</v>
      </c>
      <c r="K131" s="6" t="s">
        <v>609</v>
      </c>
      <c r="L131" s="3">
        <v>0</v>
      </c>
      <c r="M131" s="5" t="s">
        <v>663</v>
      </c>
      <c r="O131" s="2" t="s">
        <v>7</v>
      </c>
      <c r="P131" s="3" t="s">
        <v>1847</v>
      </c>
      <c r="Q131" s="3" t="s">
        <v>1848</v>
      </c>
      <c r="R131" s="4" t="s">
        <v>1849</v>
      </c>
      <c r="S131" s="6" t="s">
        <v>1850</v>
      </c>
      <c r="T131" s="5" t="s">
        <v>48</v>
      </c>
    </row>
    <row r="132" spans="1:20" x14ac:dyDescent="0.3">
      <c r="A132" s="2" t="s">
        <v>12</v>
      </c>
      <c r="B132" s="3" t="s">
        <v>464</v>
      </c>
      <c r="C132" s="6" t="s">
        <v>465</v>
      </c>
      <c r="D132" s="4" t="s">
        <v>466</v>
      </c>
      <c r="E132" s="3">
        <v>0</v>
      </c>
      <c r="F132" s="5" t="s">
        <v>193</v>
      </c>
      <c r="H132" s="2" t="s">
        <v>12</v>
      </c>
      <c r="I132" s="3" t="s">
        <v>1334</v>
      </c>
      <c r="J132" s="4" t="s">
        <v>559</v>
      </c>
      <c r="K132" s="6" t="s">
        <v>1137</v>
      </c>
      <c r="L132" s="3">
        <v>0</v>
      </c>
      <c r="M132" s="5" t="s">
        <v>73</v>
      </c>
      <c r="O132" s="2" t="s">
        <v>12</v>
      </c>
      <c r="P132" s="3" t="s">
        <v>1333</v>
      </c>
      <c r="Q132" s="3" t="s">
        <v>25</v>
      </c>
      <c r="R132" s="5" t="s">
        <v>486</v>
      </c>
      <c r="S132" s="6" t="s">
        <v>802</v>
      </c>
      <c r="T132" s="3" t="s">
        <v>25</v>
      </c>
    </row>
    <row r="133" spans="1:20" x14ac:dyDescent="0.3">
      <c r="A133" s="2" t="s">
        <v>17</v>
      </c>
      <c r="B133" s="3" t="s">
        <v>467</v>
      </c>
      <c r="C133" s="4" t="s">
        <v>64</v>
      </c>
      <c r="D133" s="5" t="s">
        <v>468</v>
      </c>
      <c r="E133" s="3" t="s">
        <v>25</v>
      </c>
      <c r="F133" s="6" t="s">
        <v>63</v>
      </c>
      <c r="H133" s="2" t="s">
        <v>17</v>
      </c>
      <c r="I133" s="3" t="s">
        <v>116</v>
      </c>
      <c r="J133" s="4" t="s">
        <v>648</v>
      </c>
      <c r="K133" s="6" t="s">
        <v>732</v>
      </c>
      <c r="L133" s="3" t="s">
        <v>25</v>
      </c>
      <c r="M133" s="5" t="s">
        <v>392</v>
      </c>
      <c r="O133" s="2" t="s">
        <v>17</v>
      </c>
      <c r="P133" s="3" t="s">
        <v>1851</v>
      </c>
      <c r="Q133" s="6" t="s">
        <v>1852</v>
      </c>
      <c r="R133" s="3" t="s">
        <v>1853</v>
      </c>
      <c r="S133" s="4" t="s">
        <v>1854</v>
      </c>
      <c r="T133" s="5" t="s">
        <v>48</v>
      </c>
    </row>
    <row r="134" spans="1:20" x14ac:dyDescent="0.3">
      <c r="A134" s="2" t="s">
        <v>22</v>
      </c>
      <c r="B134" s="3" t="s">
        <v>469</v>
      </c>
      <c r="C134" s="5" t="s">
        <v>163</v>
      </c>
      <c r="D134" s="4" t="s">
        <v>268</v>
      </c>
      <c r="E134" s="3" t="s">
        <v>25</v>
      </c>
      <c r="F134" s="6" t="s">
        <v>49</v>
      </c>
      <c r="H134" s="2" t="s">
        <v>22</v>
      </c>
      <c r="I134" s="3" t="s">
        <v>101</v>
      </c>
      <c r="J134" s="5" t="s">
        <v>492</v>
      </c>
      <c r="K134" s="3" t="s">
        <v>25</v>
      </c>
      <c r="L134" s="3" t="s">
        <v>25</v>
      </c>
      <c r="M134" s="3" t="s">
        <v>25</v>
      </c>
      <c r="O134" s="2" t="s">
        <v>22</v>
      </c>
      <c r="P134" s="3" t="s">
        <v>267</v>
      </c>
      <c r="Q134" s="3" t="s">
        <v>25</v>
      </c>
      <c r="R134" s="3" t="s">
        <v>25</v>
      </c>
      <c r="S134" s="3" t="s">
        <v>25</v>
      </c>
      <c r="T134" s="5" t="s">
        <v>48</v>
      </c>
    </row>
    <row r="135" spans="1:20" x14ac:dyDescent="0.3">
      <c r="A135" s="7" t="s">
        <v>26</v>
      </c>
      <c r="B135" s="8">
        <v>473</v>
      </c>
      <c r="C135" s="8">
        <v>205</v>
      </c>
      <c r="D135" s="8">
        <v>9</v>
      </c>
      <c r="E135" s="8">
        <v>0</v>
      </c>
      <c r="F135" s="8">
        <v>259</v>
      </c>
      <c r="H135" s="7" t="s">
        <v>26</v>
      </c>
      <c r="I135" s="8">
        <v>110</v>
      </c>
      <c r="J135" s="8">
        <v>27</v>
      </c>
      <c r="K135" s="8">
        <v>47</v>
      </c>
      <c r="L135" s="8">
        <v>0</v>
      </c>
      <c r="M135" s="8">
        <v>36</v>
      </c>
      <c r="O135" s="7" t="s">
        <v>26</v>
      </c>
      <c r="P135" s="8">
        <v>121</v>
      </c>
      <c r="Q135" s="8">
        <v>0</v>
      </c>
      <c r="R135" s="8">
        <v>81</v>
      </c>
      <c r="S135" s="8">
        <v>40</v>
      </c>
      <c r="T135" s="8">
        <v>0</v>
      </c>
    </row>
    <row r="136" spans="1:20" x14ac:dyDescent="0.3">
      <c r="A136" s="9" t="s">
        <v>27</v>
      </c>
      <c r="B136" s="10">
        <v>269</v>
      </c>
      <c r="C136" s="10">
        <v>178</v>
      </c>
      <c r="D136" s="10">
        <v>9</v>
      </c>
      <c r="E136" s="10">
        <v>0</v>
      </c>
      <c r="F136" s="10">
        <v>82</v>
      </c>
      <c r="H136" s="9" t="s">
        <v>27</v>
      </c>
      <c r="I136" s="10">
        <v>103</v>
      </c>
      <c r="J136" s="10">
        <v>26</v>
      </c>
      <c r="K136" s="10">
        <v>43</v>
      </c>
      <c r="L136" s="10">
        <v>0</v>
      </c>
      <c r="M136" s="10">
        <v>34</v>
      </c>
      <c r="O136" s="9" t="s">
        <v>27</v>
      </c>
      <c r="P136" s="10">
        <v>115</v>
      </c>
      <c r="Q136" s="10">
        <v>0</v>
      </c>
      <c r="R136" s="10">
        <v>77</v>
      </c>
      <c r="S136" s="10">
        <v>38</v>
      </c>
      <c r="T136" s="10">
        <v>0</v>
      </c>
    </row>
    <row r="137" spans="1:20" x14ac:dyDescent="0.3">
      <c r="A137" s="9" t="s">
        <v>28</v>
      </c>
      <c r="B137" s="10">
        <v>4</v>
      </c>
      <c r="C137" s="10">
        <v>1</v>
      </c>
      <c r="D137" s="10">
        <v>0</v>
      </c>
      <c r="E137" s="10">
        <v>0</v>
      </c>
      <c r="F137" s="10">
        <v>3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O137" s="9" t="s">
        <v>28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200</v>
      </c>
      <c r="C139" s="10">
        <v>26</v>
      </c>
      <c r="D139" s="10">
        <v>0</v>
      </c>
      <c r="E139" s="10">
        <v>0</v>
      </c>
      <c r="F139" s="10">
        <v>174</v>
      </c>
      <c r="H139" s="9" t="s">
        <v>30</v>
      </c>
      <c r="I139" s="10">
        <v>7</v>
      </c>
      <c r="J139" s="10">
        <v>1</v>
      </c>
      <c r="K139" s="10">
        <v>4</v>
      </c>
      <c r="L139" s="10">
        <v>0</v>
      </c>
      <c r="M139" s="10">
        <v>2</v>
      </c>
      <c r="O139" s="9" t="s">
        <v>30</v>
      </c>
      <c r="P139" s="10">
        <v>6</v>
      </c>
      <c r="Q139" s="10">
        <v>0</v>
      </c>
      <c r="R139" s="10">
        <v>4</v>
      </c>
      <c r="S139" s="10">
        <v>2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48</v>
      </c>
      <c r="C141" s="12">
        <v>16</v>
      </c>
      <c r="D141" s="12">
        <v>16</v>
      </c>
      <c r="E141" s="12">
        <v>0</v>
      </c>
      <c r="F141" s="12">
        <v>16</v>
      </c>
      <c r="H141" s="11" t="s">
        <v>32</v>
      </c>
      <c r="I141" s="12">
        <v>132</v>
      </c>
      <c r="J141" s="12">
        <v>35</v>
      </c>
      <c r="K141" s="12">
        <v>52</v>
      </c>
      <c r="L141" s="12">
        <v>0</v>
      </c>
      <c r="M141" s="12">
        <v>45</v>
      </c>
      <c r="O141" s="11" t="s">
        <v>32</v>
      </c>
      <c r="P141" s="12">
        <v>2451</v>
      </c>
      <c r="Q141" s="12">
        <v>877</v>
      </c>
      <c r="R141" s="12">
        <v>776</v>
      </c>
      <c r="S141" s="12">
        <v>797</v>
      </c>
      <c r="T141" s="12">
        <v>1</v>
      </c>
    </row>
    <row r="142" spans="1:20" x14ac:dyDescent="0.3">
      <c r="A142" s="13" t="s">
        <v>33</v>
      </c>
      <c r="B142" s="14">
        <v>22</v>
      </c>
      <c r="C142" s="14">
        <v>8</v>
      </c>
      <c r="D142" s="14">
        <v>8</v>
      </c>
      <c r="E142" s="14">
        <v>0</v>
      </c>
      <c r="F142" s="14">
        <v>6</v>
      </c>
      <c r="H142" s="13" t="s">
        <v>33</v>
      </c>
      <c r="I142" s="14">
        <v>4</v>
      </c>
      <c r="J142" s="14">
        <v>0</v>
      </c>
      <c r="K142" s="14">
        <v>2</v>
      </c>
      <c r="L142" s="14">
        <v>0</v>
      </c>
      <c r="M142" s="14">
        <v>2</v>
      </c>
      <c r="O142" s="13" t="s">
        <v>33</v>
      </c>
      <c r="P142" s="14">
        <v>49</v>
      </c>
      <c r="Q142" s="14">
        <v>15</v>
      </c>
      <c r="R142" s="14">
        <v>15</v>
      </c>
      <c r="S142" s="14">
        <v>19</v>
      </c>
      <c r="T142" s="14">
        <v>0</v>
      </c>
    </row>
    <row r="143" spans="1:20" x14ac:dyDescent="0.3">
      <c r="A143" s="13" t="s">
        <v>34</v>
      </c>
      <c r="B143" s="14">
        <v>26</v>
      </c>
      <c r="C143" s="14">
        <v>8</v>
      </c>
      <c r="D143" s="14">
        <v>8</v>
      </c>
      <c r="E143" s="14">
        <v>0</v>
      </c>
      <c r="F143" s="14">
        <v>10</v>
      </c>
      <c r="H143" s="13" t="s">
        <v>34</v>
      </c>
      <c r="I143" s="14">
        <v>128</v>
      </c>
      <c r="J143" s="14">
        <v>35</v>
      </c>
      <c r="K143" s="14">
        <v>50</v>
      </c>
      <c r="L143" s="14">
        <v>0</v>
      </c>
      <c r="M143" s="14">
        <v>43</v>
      </c>
      <c r="O143" s="13" t="s">
        <v>34</v>
      </c>
      <c r="P143" s="14">
        <v>2402</v>
      </c>
      <c r="Q143" s="14">
        <v>862</v>
      </c>
      <c r="R143" s="14">
        <v>761</v>
      </c>
      <c r="S143" s="14">
        <v>778</v>
      </c>
      <c r="T143" s="14">
        <v>1</v>
      </c>
    </row>
    <row r="144" spans="1:20" x14ac:dyDescent="0.3">
      <c r="A144" s="15" t="s">
        <v>35</v>
      </c>
      <c r="B144" s="16">
        <v>199</v>
      </c>
      <c r="C144" s="16">
        <v>196</v>
      </c>
      <c r="D144" s="16">
        <v>1</v>
      </c>
      <c r="E144" s="16">
        <v>0</v>
      </c>
      <c r="F144" s="16">
        <v>2</v>
      </c>
      <c r="H144" s="15" t="s">
        <v>35</v>
      </c>
      <c r="I144" s="16">
        <v>14</v>
      </c>
      <c r="J144" s="16">
        <v>14</v>
      </c>
      <c r="K144" s="16">
        <v>0</v>
      </c>
      <c r="L144" s="16">
        <v>0</v>
      </c>
      <c r="M144" s="16">
        <v>0</v>
      </c>
      <c r="O144" s="15" t="s">
        <v>35</v>
      </c>
      <c r="P144" s="16">
        <v>1</v>
      </c>
      <c r="Q144" s="16">
        <v>0</v>
      </c>
      <c r="R144" s="16">
        <v>0</v>
      </c>
      <c r="S144" s="16">
        <v>0</v>
      </c>
      <c r="T144" s="16">
        <v>1</v>
      </c>
    </row>
    <row r="145" spans="1:20" x14ac:dyDescent="0.3">
      <c r="A145" s="17" t="s">
        <v>36</v>
      </c>
      <c r="B145" s="18">
        <v>3</v>
      </c>
      <c r="C145" s="18">
        <v>0</v>
      </c>
      <c r="D145" s="18">
        <v>1</v>
      </c>
      <c r="E145" s="18">
        <v>0</v>
      </c>
      <c r="F145" s="18">
        <v>2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196</v>
      </c>
      <c r="C146" s="18">
        <v>196</v>
      </c>
      <c r="D146" s="18">
        <v>0</v>
      </c>
      <c r="E146" s="18">
        <v>0</v>
      </c>
      <c r="F146" s="18">
        <v>0</v>
      </c>
      <c r="H146" s="17" t="s">
        <v>37</v>
      </c>
      <c r="I146" s="78">
        <v>14</v>
      </c>
      <c r="J146" s="78">
        <v>14</v>
      </c>
      <c r="K146" s="78">
        <v>0</v>
      </c>
      <c r="L146" s="78">
        <v>0</v>
      </c>
      <c r="M146" s="78">
        <v>0</v>
      </c>
      <c r="O146" s="17" t="s">
        <v>37</v>
      </c>
      <c r="P146" s="112">
        <v>1</v>
      </c>
      <c r="Q146" s="112">
        <v>0</v>
      </c>
      <c r="R146" s="112">
        <v>0</v>
      </c>
      <c r="S146" s="112">
        <v>0</v>
      </c>
      <c r="T146" s="112">
        <v>1</v>
      </c>
    </row>
    <row r="147" spans="1:20" x14ac:dyDescent="0.3">
      <c r="A147" s="17" t="s">
        <v>38</v>
      </c>
      <c r="B147" s="172" t="s">
        <v>470</v>
      </c>
      <c r="C147" s="173"/>
      <c r="D147" s="173"/>
      <c r="E147" s="173"/>
      <c r="F147" s="173"/>
      <c r="H147" s="17" t="s">
        <v>38</v>
      </c>
      <c r="I147" s="172" t="s">
        <v>1347</v>
      </c>
      <c r="J147" s="173"/>
      <c r="K147" s="173"/>
      <c r="L147" s="173"/>
      <c r="M147" s="173"/>
      <c r="O147" s="17" t="s">
        <v>38</v>
      </c>
      <c r="P147" s="167" t="s">
        <v>1855</v>
      </c>
      <c r="Q147" s="168"/>
      <c r="R147" s="168"/>
      <c r="S147" s="168"/>
      <c r="T147" s="168"/>
    </row>
    <row r="148" spans="1:20" ht="19.8" x14ac:dyDescent="0.3">
      <c r="A148" s="171">
        <v>46094</v>
      </c>
      <c r="B148" s="171"/>
      <c r="C148" s="171"/>
      <c r="D148" s="171"/>
      <c r="E148" s="171"/>
      <c r="F148" s="171"/>
      <c r="H148" s="170">
        <v>46121</v>
      </c>
      <c r="I148" s="168"/>
      <c r="J148" s="168"/>
      <c r="K148" s="168"/>
      <c r="L148" s="168"/>
      <c r="M148" s="168"/>
      <c r="O148" s="171">
        <v>46153</v>
      </c>
      <c r="P148" s="171"/>
      <c r="Q148" s="171"/>
      <c r="R148" s="171"/>
      <c r="S148" s="171"/>
      <c r="T148" s="171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870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3</v>
      </c>
      <c r="S149" s="1" t="s">
        <v>40</v>
      </c>
      <c r="T149" s="1" t="s">
        <v>871</v>
      </c>
    </row>
    <row r="150" spans="1:20" x14ac:dyDescent="0.3">
      <c r="A150" s="2" t="s">
        <v>5</v>
      </c>
      <c r="B150" s="3">
        <v>5767</v>
      </c>
      <c r="C150" s="3">
        <v>2013</v>
      </c>
      <c r="D150" s="3">
        <v>1802</v>
      </c>
      <c r="E150" s="3">
        <v>0</v>
      </c>
      <c r="F150" s="3">
        <v>1952</v>
      </c>
      <c r="H150" s="2" t="s">
        <v>5</v>
      </c>
      <c r="I150" s="3">
        <v>6037</v>
      </c>
      <c r="J150" s="3">
        <v>2170</v>
      </c>
      <c r="K150" s="3">
        <v>1853</v>
      </c>
      <c r="L150" s="3">
        <v>826</v>
      </c>
      <c r="M150" s="3">
        <v>1188</v>
      </c>
      <c r="O150" s="2" t="s">
        <v>5</v>
      </c>
      <c r="P150" s="3">
        <v>3757</v>
      </c>
      <c r="Q150" s="3">
        <v>1377</v>
      </c>
      <c r="R150" s="3">
        <v>1198</v>
      </c>
      <c r="S150" s="3">
        <v>1182</v>
      </c>
      <c r="T150" s="3">
        <v>0</v>
      </c>
    </row>
    <row r="151" spans="1:20" x14ac:dyDescent="0.3">
      <c r="A151" s="2" t="s">
        <v>6</v>
      </c>
      <c r="B151" s="3">
        <v>756</v>
      </c>
      <c r="C151" s="5">
        <v>452</v>
      </c>
      <c r="D151" s="4">
        <v>142</v>
      </c>
      <c r="E151" s="3">
        <v>0</v>
      </c>
      <c r="F151" s="6">
        <v>162</v>
      </c>
      <c r="H151" s="2" t="s">
        <v>6</v>
      </c>
      <c r="I151" s="3">
        <v>180</v>
      </c>
      <c r="J151" s="6">
        <v>49</v>
      </c>
      <c r="K151" s="5">
        <v>61</v>
      </c>
      <c r="L151" s="4">
        <v>35</v>
      </c>
      <c r="M151" s="4">
        <v>35</v>
      </c>
      <c r="O151" s="2" t="s">
        <v>6</v>
      </c>
      <c r="P151" s="3">
        <v>126</v>
      </c>
      <c r="Q151" s="5">
        <v>47</v>
      </c>
      <c r="R151" s="6">
        <v>45</v>
      </c>
      <c r="S151" s="4">
        <v>34</v>
      </c>
      <c r="T151" s="3">
        <v>0</v>
      </c>
    </row>
    <row r="152" spans="1:20" x14ac:dyDescent="0.3">
      <c r="A152" s="2" t="s">
        <v>7</v>
      </c>
      <c r="B152" s="3" t="s">
        <v>519</v>
      </c>
      <c r="C152" s="5" t="s">
        <v>520</v>
      </c>
      <c r="D152" s="4" t="s">
        <v>521</v>
      </c>
      <c r="E152" s="3">
        <v>0</v>
      </c>
      <c r="F152" s="6" t="s">
        <v>522</v>
      </c>
      <c r="H152" s="2" t="s">
        <v>7</v>
      </c>
      <c r="I152" s="3" t="s">
        <v>1363</v>
      </c>
      <c r="J152" s="3" t="s">
        <v>403</v>
      </c>
      <c r="K152" s="6" t="s">
        <v>692</v>
      </c>
      <c r="L152" s="5" t="s">
        <v>963</v>
      </c>
      <c r="M152" s="4" t="s">
        <v>141</v>
      </c>
      <c r="O152" s="2" t="s">
        <v>7</v>
      </c>
      <c r="P152" s="3" t="s">
        <v>415</v>
      </c>
      <c r="Q152" s="6" t="s">
        <v>1616</v>
      </c>
      <c r="R152" s="5" t="s">
        <v>579</v>
      </c>
      <c r="S152" s="4" t="s">
        <v>430</v>
      </c>
      <c r="T152" s="3">
        <v>0</v>
      </c>
    </row>
    <row r="153" spans="1:20" x14ac:dyDescent="0.3">
      <c r="A153" s="2" t="s">
        <v>12</v>
      </c>
      <c r="B153" s="3" t="s">
        <v>523</v>
      </c>
      <c r="C153" s="5" t="s">
        <v>524</v>
      </c>
      <c r="D153" s="4" t="s">
        <v>525</v>
      </c>
      <c r="E153" s="3">
        <v>0</v>
      </c>
      <c r="F153" s="6" t="s">
        <v>526</v>
      </c>
      <c r="H153" s="2" t="s">
        <v>12</v>
      </c>
      <c r="I153" s="3" t="s">
        <v>560</v>
      </c>
      <c r="J153" s="3" t="s">
        <v>697</v>
      </c>
      <c r="K153" s="6" t="s">
        <v>155</v>
      </c>
      <c r="L153" s="5" t="s">
        <v>433</v>
      </c>
      <c r="M153" s="4" t="s">
        <v>1075</v>
      </c>
      <c r="O153" s="2" t="s">
        <v>12</v>
      </c>
      <c r="P153" s="3" t="s">
        <v>157</v>
      </c>
      <c r="Q153" s="3" t="s">
        <v>25</v>
      </c>
      <c r="R153" s="5" t="s">
        <v>229</v>
      </c>
      <c r="S153" s="6" t="s">
        <v>78</v>
      </c>
      <c r="T153" s="3">
        <v>0</v>
      </c>
    </row>
    <row r="154" spans="1:20" x14ac:dyDescent="0.3">
      <c r="A154" s="2" t="s">
        <v>17</v>
      </c>
      <c r="B154" s="3" t="s">
        <v>422</v>
      </c>
      <c r="C154" s="4" t="s">
        <v>527</v>
      </c>
      <c r="D154" s="6" t="s">
        <v>528</v>
      </c>
      <c r="E154" s="3" t="s">
        <v>25</v>
      </c>
      <c r="F154" s="5" t="s">
        <v>529</v>
      </c>
      <c r="H154" s="2" t="s">
        <v>17</v>
      </c>
      <c r="I154" s="3" t="s">
        <v>648</v>
      </c>
      <c r="J154" s="3" t="s">
        <v>1075</v>
      </c>
      <c r="K154" s="6" t="s">
        <v>546</v>
      </c>
      <c r="L154" s="5" t="s">
        <v>120</v>
      </c>
      <c r="M154" s="4" t="s">
        <v>1364</v>
      </c>
      <c r="O154" s="2" t="s">
        <v>17</v>
      </c>
      <c r="P154" s="3" t="s">
        <v>345</v>
      </c>
      <c r="Q154" s="5" t="s">
        <v>1616</v>
      </c>
      <c r="R154" s="6" t="s">
        <v>1235</v>
      </c>
      <c r="S154" s="4" t="s">
        <v>1214</v>
      </c>
      <c r="T154" s="3" t="s">
        <v>25</v>
      </c>
    </row>
    <row r="155" spans="1:20" x14ac:dyDescent="0.3">
      <c r="A155" s="2" t="s">
        <v>22</v>
      </c>
      <c r="B155" s="3" t="s">
        <v>16</v>
      </c>
      <c r="C155" s="5" t="s">
        <v>530</v>
      </c>
      <c r="D155" s="3" t="s">
        <v>25</v>
      </c>
      <c r="E155" s="3" t="s">
        <v>25</v>
      </c>
      <c r="F155" s="6" t="s">
        <v>158</v>
      </c>
      <c r="H155" s="2" t="s">
        <v>22</v>
      </c>
      <c r="I155" s="3" t="s">
        <v>109</v>
      </c>
      <c r="J155" s="5" t="s">
        <v>654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158</v>
      </c>
      <c r="Q155" s="5" t="s">
        <v>121</v>
      </c>
      <c r="R155" s="3" t="s">
        <v>25</v>
      </c>
      <c r="S155" s="3" t="s">
        <v>25</v>
      </c>
      <c r="T155" s="3" t="s">
        <v>25</v>
      </c>
    </row>
    <row r="156" spans="1:20" x14ac:dyDescent="0.3">
      <c r="A156" s="7" t="s">
        <v>26</v>
      </c>
      <c r="B156" s="8">
        <v>430</v>
      </c>
      <c r="C156" s="8">
        <v>350</v>
      </c>
      <c r="D156" s="8">
        <v>37</v>
      </c>
      <c r="E156" s="8">
        <v>0</v>
      </c>
      <c r="F156" s="8">
        <v>43</v>
      </c>
      <c r="H156" s="7" t="s">
        <v>26</v>
      </c>
      <c r="I156" s="8">
        <v>78</v>
      </c>
      <c r="J156" s="8">
        <v>18</v>
      </c>
      <c r="K156" s="8">
        <v>28</v>
      </c>
      <c r="L156" s="8">
        <v>15</v>
      </c>
      <c r="M156" s="8">
        <v>17</v>
      </c>
      <c r="O156" s="7" t="s">
        <v>26</v>
      </c>
      <c r="P156" s="8">
        <v>16</v>
      </c>
      <c r="Q156" s="8">
        <v>0</v>
      </c>
      <c r="R156" s="8">
        <v>11</v>
      </c>
      <c r="S156" s="8">
        <v>5</v>
      </c>
      <c r="T156" s="8">
        <v>0</v>
      </c>
    </row>
    <row r="157" spans="1:20" x14ac:dyDescent="0.3">
      <c r="A157" s="9" t="s">
        <v>27</v>
      </c>
      <c r="B157" s="10">
        <v>102</v>
      </c>
      <c r="C157" s="10">
        <v>38</v>
      </c>
      <c r="D157" s="10">
        <v>36</v>
      </c>
      <c r="E157" s="10">
        <v>0</v>
      </c>
      <c r="F157" s="10">
        <v>28</v>
      </c>
      <c r="H157" s="9" t="s">
        <v>27</v>
      </c>
      <c r="I157" s="10">
        <v>75</v>
      </c>
      <c r="J157" s="10">
        <v>18</v>
      </c>
      <c r="K157" s="10">
        <v>27</v>
      </c>
      <c r="L157" s="10">
        <v>14</v>
      </c>
      <c r="M157" s="10">
        <v>16</v>
      </c>
      <c r="O157" s="9" t="s">
        <v>27</v>
      </c>
      <c r="P157" s="10">
        <v>16</v>
      </c>
      <c r="Q157" s="10">
        <v>0</v>
      </c>
      <c r="R157" s="10">
        <v>11</v>
      </c>
      <c r="S157" s="10">
        <v>5</v>
      </c>
      <c r="T157" s="10">
        <v>0</v>
      </c>
    </row>
    <row r="158" spans="1:20" x14ac:dyDescent="0.3">
      <c r="A158" s="9" t="s">
        <v>28</v>
      </c>
      <c r="B158" s="10">
        <v>6</v>
      </c>
      <c r="C158" s="10">
        <v>0</v>
      </c>
      <c r="D158" s="10">
        <v>0</v>
      </c>
      <c r="E158" s="10">
        <v>0</v>
      </c>
      <c r="F158" s="10">
        <v>6</v>
      </c>
      <c r="H158" s="9" t="s">
        <v>28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O158" s="9" t="s">
        <v>28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322</v>
      </c>
      <c r="C160" s="10">
        <v>312</v>
      </c>
      <c r="D160" s="10">
        <v>1</v>
      </c>
      <c r="E160" s="10">
        <v>0</v>
      </c>
      <c r="F160" s="10">
        <v>9</v>
      </c>
      <c r="H160" s="9" t="s">
        <v>30</v>
      </c>
      <c r="I160" s="10">
        <v>3</v>
      </c>
      <c r="J160" s="10">
        <v>0</v>
      </c>
      <c r="K160" s="10">
        <v>1</v>
      </c>
      <c r="L160" s="10">
        <v>1</v>
      </c>
      <c r="M160" s="10">
        <v>1</v>
      </c>
      <c r="O160" s="9" t="s">
        <v>30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331</v>
      </c>
      <c r="C162" s="12">
        <v>107</v>
      </c>
      <c r="D162" s="12">
        <v>105</v>
      </c>
      <c r="E162" s="12">
        <v>0</v>
      </c>
      <c r="F162" s="12">
        <v>119</v>
      </c>
      <c r="H162" s="11" t="s">
        <v>32</v>
      </c>
      <c r="I162" s="12">
        <v>102</v>
      </c>
      <c r="J162" s="12">
        <v>31</v>
      </c>
      <c r="K162" s="12">
        <v>33</v>
      </c>
      <c r="L162" s="12">
        <v>20</v>
      </c>
      <c r="M162" s="12">
        <v>18</v>
      </c>
      <c r="O162" s="11" t="s">
        <v>32</v>
      </c>
      <c r="P162" s="12">
        <v>110</v>
      </c>
      <c r="Q162" s="12">
        <v>47</v>
      </c>
      <c r="R162" s="12">
        <v>34</v>
      </c>
      <c r="S162" s="12">
        <v>29</v>
      </c>
      <c r="T162" s="12">
        <v>0</v>
      </c>
    </row>
    <row r="163" spans="1:20" x14ac:dyDescent="0.3">
      <c r="A163" s="13" t="s">
        <v>33</v>
      </c>
      <c r="B163" s="14">
        <v>23</v>
      </c>
      <c r="C163" s="14">
        <v>7</v>
      </c>
      <c r="D163" s="14">
        <v>7</v>
      </c>
      <c r="E163" s="14">
        <v>0</v>
      </c>
      <c r="F163" s="14">
        <v>9</v>
      </c>
      <c r="H163" s="13" t="s">
        <v>33</v>
      </c>
      <c r="I163" s="14">
        <v>3</v>
      </c>
      <c r="J163" s="14">
        <v>2</v>
      </c>
      <c r="K163" s="14">
        <v>1</v>
      </c>
      <c r="L163" s="14">
        <v>0</v>
      </c>
      <c r="M163" s="14">
        <v>0</v>
      </c>
      <c r="O163" s="13" t="s">
        <v>33</v>
      </c>
      <c r="P163" s="14">
        <v>7</v>
      </c>
      <c r="Q163" s="14">
        <v>3</v>
      </c>
      <c r="R163" s="14">
        <v>3</v>
      </c>
      <c r="S163" s="14">
        <v>1</v>
      </c>
      <c r="T163" s="14">
        <v>0</v>
      </c>
    </row>
    <row r="164" spans="1:20" x14ac:dyDescent="0.3">
      <c r="A164" s="13" t="s">
        <v>34</v>
      </c>
      <c r="B164" s="14">
        <v>308</v>
      </c>
      <c r="C164" s="14">
        <v>100</v>
      </c>
      <c r="D164" s="14">
        <v>98</v>
      </c>
      <c r="E164" s="14">
        <v>0</v>
      </c>
      <c r="F164" s="14">
        <v>110</v>
      </c>
      <c r="H164" s="13" t="s">
        <v>34</v>
      </c>
      <c r="I164" s="14">
        <v>99</v>
      </c>
      <c r="J164" s="14">
        <v>29</v>
      </c>
      <c r="K164" s="14">
        <v>32</v>
      </c>
      <c r="L164" s="14">
        <v>20</v>
      </c>
      <c r="M164" s="14">
        <v>18</v>
      </c>
      <c r="O164" s="13" t="s">
        <v>34</v>
      </c>
      <c r="P164" s="14">
        <v>103</v>
      </c>
      <c r="Q164" s="14">
        <v>44</v>
      </c>
      <c r="R164" s="14">
        <v>31</v>
      </c>
      <c r="S164" s="14">
        <v>28</v>
      </c>
      <c r="T164" s="14">
        <v>0</v>
      </c>
    </row>
    <row r="165" spans="1:20" x14ac:dyDescent="0.3">
      <c r="A165" s="15" t="s">
        <v>35</v>
      </c>
      <c r="B165" s="16">
        <v>188</v>
      </c>
      <c r="C165" s="16">
        <v>187</v>
      </c>
      <c r="D165" s="16">
        <v>0</v>
      </c>
      <c r="E165" s="16">
        <v>0</v>
      </c>
      <c r="F165" s="16">
        <v>1</v>
      </c>
      <c r="H165" s="15" t="s">
        <v>35</v>
      </c>
      <c r="I165" s="16">
        <v>11</v>
      </c>
      <c r="J165" s="16">
        <v>11</v>
      </c>
      <c r="K165" s="16">
        <v>0</v>
      </c>
      <c r="L165" s="16">
        <v>0</v>
      </c>
      <c r="M165" s="16">
        <v>0</v>
      </c>
      <c r="O165" s="15" t="s">
        <v>35</v>
      </c>
      <c r="P165" s="16">
        <v>2</v>
      </c>
      <c r="Q165" s="16">
        <v>2</v>
      </c>
      <c r="R165" s="16">
        <v>0</v>
      </c>
      <c r="S165" s="16">
        <v>0</v>
      </c>
      <c r="T165" s="16">
        <v>0</v>
      </c>
    </row>
    <row r="166" spans="1:20" x14ac:dyDescent="0.3">
      <c r="A166" s="17" t="s">
        <v>36</v>
      </c>
      <c r="B166" s="18">
        <v>2</v>
      </c>
      <c r="C166" s="18">
        <v>1</v>
      </c>
      <c r="D166" s="18">
        <v>0</v>
      </c>
      <c r="E166" s="18">
        <v>0</v>
      </c>
      <c r="F166" s="18">
        <v>1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0</v>
      </c>
      <c r="Q166" s="112">
        <v>0</v>
      </c>
      <c r="R166" s="112">
        <v>0</v>
      </c>
      <c r="S166" s="112">
        <v>0</v>
      </c>
      <c r="T166" s="112">
        <v>0</v>
      </c>
    </row>
    <row r="167" spans="1:20" x14ac:dyDescent="0.3">
      <c r="A167" s="17" t="s">
        <v>37</v>
      </c>
      <c r="B167" s="18">
        <v>186</v>
      </c>
      <c r="C167" s="18">
        <v>186</v>
      </c>
      <c r="D167" s="18">
        <v>0</v>
      </c>
      <c r="E167" s="18">
        <v>0</v>
      </c>
      <c r="F167" s="18">
        <v>0</v>
      </c>
      <c r="H167" s="17" t="s">
        <v>37</v>
      </c>
      <c r="I167" s="78">
        <v>11</v>
      </c>
      <c r="J167" s="78">
        <v>11</v>
      </c>
      <c r="K167" s="78">
        <v>0</v>
      </c>
      <c r="L167" s="78">
        <v>0</v>
      </c>
      <c r="M167" s="78">
        <v>0</v>
      </c>
      <c r="O167" s="17" t="s">
        <v>37</v>
      </c>
      <c r="P167" s="112">
        <v>2</v>
      </c>
      <c r="Q167" s="112">
        <v>2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72" t="s">
        <v>531</v>
      </c>
      <c r="C168" s="173"/>
      <c r="D168" s="173"/>
      <c r="E168" s="173"/>
      <c r="F168" s="173"/>
      <c r="H168" s="17" t="s">
        <v>38</v>
      </c>
      <c r="I168" s="167" t="s">
        <v>1347</v>
      </c>
      <c r="J168" s="168"/>
      <c r="K168" s="168"/>
      <c r="L168" s="168"/>
      <c r="M168" s="168"/>
      <c r="O168" s="17" t="s">
        <v>38</v>
      </c>
      <c r="P168" s="172" t="s">
        <v>181</v>
      </c>
      <c r="Q168" s="173"/>
      <c r="R168" s="173"/>
      <c r="S168" s="173"/>
      <c r="T168" s="173"/>
    </row>
    <row r="169" spans="1:20" ht="19.8" x14ac:dyDescent="0.3">
      <c r="A169" s="171">
        <v>46095</v>
      </c>
      <c r="B169" s="171"/>
      <c r="C169" s="171"/>
      <c r="D169" s="171"/>
      <c r="E169" s="171"/>
      <c r="F169" s="171"/>
      <c r="H169" s="170">
        <v>46122</v>
      </c>
      <c r="I169" s="168"/>
      <c r="J169" s="168"/>
      <c r="K169" s="168"/>
      <c r="L169" s="168"/>
      <c r="M169" s="168"/>
      <c r="O169" s="170">
        <v>46154</v>
      </c>
      <c r="P169" s="168"/>
      <c r="Q169" s="168"/>
      <c r="R169" s="168"/>
      <c r="S169" s="168"/>
      <c r="T169" s="168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870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3097</v>
      </c>
      <c r="C171" s="3">
        <v>1120</v>
      </c>
      <c r="D171" s="3">
        <v>967</v>
      </c>
      <c r="E171" s="3">
        <v>0</v>
      </c>
      <c r="F171" s="3">
        <v>1010</v>
      </c>
      <c r="H171" s="2" t="s">
        <v>5</v>
      </c>
      <c r="I171" s="3">
        <v>5784</v>
      </c>
      <c r="J171" s="3">
        <v>2075</v>
      </c>
      <c r="K171" s="3">
        <v>1507</v>
      </c>
      <c r="L171" s="3">
        <v>1316</v>
      </c>
      <c r="M171" s="3">
        <v>886</v>
      </c>
      <c r="O171" s="2" t="s">
        <v>5</v>
      </c>
      <c r="P171" s="3">
        <v>6262</v>
      </c>
      <c r="Q171" s="3">
        <v>2178</v>
      </c>
      <c r="R171" s="3">
        <v>1434</v>
      </c>
      <c r="S171" s="3">
        <v>1661</v>
      </c>
      <c r="T171" s="3">
        <v>989</v>
      </c>
    </row>
    <row r="172" spans="1:20" x14ac:dyDescent="0.3">
      <c r="A172" s="2" t="s">
        <v>6</v>
      </c>
      <c r="B172" s="3">
        <v>485</v>
      </c>
      <c r="C172" s="5">
        <v>276</v>
      </c>
      <c r="D172" s="4">
        <v>95</v>
      </c>
      <c r="E172" s="3">
        <v>0</v>
      </c>
      <c r="F172" s="6">
        <v>114</v>
      </c>
      <c r="H172" s="2" t="s">
        <v>6</v>
      </c>
      <c r="I172" s="3">
        <v>317</v>
      </c>
      <c r="J172" s="5">
        <v>111</v>
      </c>
      <c r="K172" s="6">
        <v>99</v>
      </c>
      <c r="L172" s="4">
        <v>71</v>
      </c>
      <c r="M172" s="3">
        <v>36</v>
      </c>
      <c r="O172" s="2" t="s">
        <v>6</v>
      </c>
      <c r="P172" s="3">
        <v>467</v>
      </c>
      <c r="Q172" s="3">
        <v>62</v>
      </c>
      <c r="R172" s="5">
        <v>167</v>
      </c>
      <c r="S172" s="6">
        <v>121</v>
      </c>
      <c r="T172" s="4">
        <v>117</v>
      </c>
    </row>
    <row r="173" spans="1:20" x14ac:dyDescent="0.3">
      <c r="A173" s="2" t="s">
        <v>7</v>
      </c>
      <c r="B173" s="3" t="s">
        <v>565</v>
      </c>
      <c r="C173" s="5" t="s">
        <v>566</v>
      </c>
      <c r="D173" s="4" t="s">
        <v>171</v>
      </c>
      <c r="E173" s="3">
        <v>0</v>
      </c>
      <c r="F173" s="6" t="s">
        <v>567</v>
      </c>
      <c r="H173" s="2" t="s">
        <v>7</v>
      </c>
      <c r="I173" s="3" t="s">
        <v>1372</v>
      </c>
      <c r="J173" s="4" t="s">
        <v>904</v>
      </c>
      <c r="K173" s="5" t="s">
        <v>799</v>
      </c>
      <c r="L173" s="6" t="s">
        <v>621</v>
      </c>
      <c r="M173" s="3" t="s">
        <v>866</v>
      </c>
      <c r="O173" s="2" t="s">
        <v>7</v>
      </c>
      <c r="P173" s="3" t="s">
        <v>523</v>
      </c>
      <c r="Q173" s="3" t="s">
        <v>1874</v>
      </c>
      <c r="R173" s="6" t="s">
        <v>1759</v>
      </c>
      <c r="S173" s="4" t="s">
        <v>518</v>
      </c>
      <c r="T173" s="5" t="s">
        <v>1875</v>
      </c>
    </row>
    <row r="174" spans="1:20" x14ac:dyDescent="0.3">
      <c r="A174" s="2" t="s">
        <v>12</v>
      </c>
      <c r="B174" s="3" t="s">
        <v>568</v>
      </c>
      <c r="C174" s="5" t="s">
        <v>569</v>
      </c>
      <c r="D174" s="4" t="s">
        <v>570</v>
      </c>
      <c r="E174" s="3">
        <v>0</v>
      </c>
      <c r="F174" s="6" t="s">
        <v>571</v>
      </c>
      <c r="H174" s="2" t="s">
        <v>12</v>
      </c>
      <c r="I174" s="3" t="s">
        <v>1334</v>
      </c>
      <c r="J174" s="3" t="s">
        <v>1246</v>
      </c>
      <c r="K174" s="5" t="s">
        <v>440</v>
      </c>
      <c r="L174" s="4" t="s">
        <v>1382</v>
      </c>
      <c r="M174" s="6" t="s">
        <v>1318</v>
      </c>
      <c r="O174" s="2" t="s">
        <v>12</v>
      </c>
      <c r="P174" s="3" t="s">
        <v>409</v>
      </c>
      <c r="Q174" s="3" t="s">
        <v>229</v>
      </c>
      <c r="R174" s="5" t="s">
        <v>736</v>
      </c>
      <c r="S174" s="4" t="s">
        <v>1517</v>
      </c>
      <c r="T174" s="6" t="s">
        <v>1216</v>
      </c>
    </row>
    <row r="175" spans="1:20" x14ac:dyDescent="0.3">
      <c r="A175" s="2" t="s">
        <v>17</v>
      </c>
      <c r="B175" s="3" t="s">
        <v>247</v>
      </c>
      <c r="C175" s="6" t="s">
        <v>572</v>
      </c>
      <c r="D175" s="4" t="s">
        <v>409</v>
      </c>
      <c r="E175" s="3" t="s">
        <v>25</v>
      </c>
      <c r="F175" s="5" t="s">
        <v>571</v>
      </c>
      <c r="H175" s="2" t="s">
        <v>17</v>
      </c>
      <c r="I175" s="3" t="s">
        <v>503</v>
      </c>
      <c r="J175" s="5" t="s">
        <v>1235</v>
      </c>
      <c r="K175" s="4" t="s">
        <v>357</v>
      </c>
      <c r="L175" s="6" t="s">
        <v>532</v>
      </c>
      <c r="M175" s="3" t="s">
        <v>100</v>
      </c>
      <c r="O175" s="2" t="s">
        <v>17</v>
      </c>
      <c r="P175" s="3" t="s">
        <v>1792</v>
      </c>
      <c r="Q175" s="4" t="s">
        <v>581</v>
      </c>
      <c r="R175" s="6" t="s">
        <v>511</v>
      </c>
      <c r="S175" s="3" t="s">
        <v>581</v>
      </c>
      <c r="T175" s="5" t="s">
        <v>557</v>
      </c>
    </row>
    <row r="176" spans="1:20" x14ac:dyDescent="0.3">
      <c r="A176" s="2" t="s">
        <v>22</v>
      </c>
      <c r="B176" s="3" t="s">
        <v>573</v>
      </c>
      <c r="C176" s="5" t="s">
        <v>488</v>
      </c>
      <c r="D176" s="3" t="s">
        <v>25</v>
      </c>
      <c r="E176" s="3" t="s">
        <v>25</v>
      </c>
      <c r="F176" s="6" t="s">
        <v>81</v>
      </c>
      <c r="H176" s="2" t="s">
        <v>22</v>
      </c>
      <c r="I176" s="3" t="s">
        <v>50</v>
      </c>
      <c r="J176" s="5" t="s">
        <v>290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552</v>
      </c>
      <c r="Q176" s="6" t="s">
        <v>158</v>
      </c>
      <c r="R176" s="3" t="s">
        <v>25</v>
      </c>
      <c r="S176" s="3" t="s">
        <v>25</v>
      </c>
      <c r="T176" s="5" t="s">
        <v>81</v>
      </c>
    </row>
    <row r="177" spans="1:20" x14ac:dyDescent="0.3">
      <c r="A177" s="7" t="s">
        <v>26</v>
      </c>
      <c r="B177" s="8">
        <v>313</v>
      </c>
      <c r="C177" s="8">
        <v>214</v>
      </c>
      <c r="D177" s="8">
        <v>42</v>
      </c>
      <c r="E177" s="8">
        <v>0</v>
      </c>
      <c r="F177" s="8">
        <v>57</v>
      </c>
      <c r="H177" s="7" t="s">
        <v>26</v>
      </c>
      <c r="I177" s="8">
        <v>119</v>
      </c>
      <c r="J177" s="8">
        <v>27</v>
      </c>
      <c r="K177" s="8">
        <v>41</v>
      </c>
      <c r="L177" s="8">
        <v>28</v>
      </c>
      <c r="M177" s="8">
        <v>23</v>
      </c>
      <c r="O177" s="7" t="s">
        <v>26</v>
      </c>
      <c r="P177" s="8">
        <v>337</v>
      </c>
      <c r="Q177" s="8">
        <v>20</v>
      </c>
      <c r="R177" s="8">
        <v>137</v>
      </c>
      <c r="S177" s="8">
        <v>89</v>
      </c>
      <c r="T177" s="8">
        <v>91</v>
      </c>
    </row>
    <row r="178" spans="1:20" x14ac:dyDescent="0.3">
      <c r="A178" s="9" t="s">
        <v>27</v>
      </c>
      <c r="B178" s="10">
        <v>76</v>
      </c>
      <c r="C178" s="10">
        <v>23</v>
      </c>
      <c r="D178" s="10">
        <v>39</v>
      </c>
      <c r="E178" s="10">
        <v>0</v>
      </c>
      <c r="F178" s="10">
        <v>14</v>
      </c>
      <c r="H178" s="9" t="s">
        <v>27</v>
      </c>
      <c r="I178" s="10">
        <v>110</v>
      </c>
      <c r="J178" s="10">
        <v>26</v>
      </c>
      <c r="K178" s="10">
        <v>37</v>
      </c>
      <c r="L178" s="10">
        <v>26</v>
      </c>
      <c r="M178" s="10">
        <v>21</v>
      </c>
      <c r="O178" s="9" t="s">
        <v>27</v>
      </c>
      <c r="P178" s="10">
        <v>284</v>
      </c>
      <c r="Q178" s="10">
        <v>16</v>
      </c>
      <c r="R178" s="10">
        <v>94</v>
      </c>
      <c r="S178" s="10">
        <v>85</v>
      </c>
      <c r="T178" s="10">
        <v>89</v>
      </c>
    </row>
    <row r="179" spans="1:20" x14ac:dyDescent="0.3">
      <c r="A179" s="9" t="s">
        <v>28</v>
      </c>
      <c r="B179" s="10">
        <v>39</v>
      </c>
      <c r="C179" s="10">
        <v>2</v>
      </c>
      <c r="D179" s="10">
        <v>0</v>
      </c>
      <c r="E179" s="10">
        <v>0</v>
      </c>
      <c r="F179" s="10">
        <v>37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O179" s="9" t="s">
        <v>28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198</v>
      </c>
      <c r="C181" s="10">
        <v>189</v>
      </c>
      <c r="D181" s="10">
        <v>3</v>
      </c>
      <c r="E181" s="10">
        <v>0</v>
      </c>
      <c r="F181" s="10">
        <v>6</v>
      </c>
      <c r="H181" s="9" t="s">
        <v>30</v>
      </c>
      <c r="I181" s="10">
        <v>9</v>
      </c>
      <c r="J181" s="10">
        <v>1</v>
      </c>
      <c r="K181" s="10">
        <v>4</v>
      </c>
      <c r="L181" s="10">
        <v>2</v>
      </c>
      <c r="M181" s="10">
        <v>2</v>
      </c>
      <c r="O181" s="9" t="s">
        <v>30</v>
      </c>
      <c r="P181" s="10">
        <v>53</v>
      </c>
      <c r="Q181" s="10">
        <v>4</v>
      </c>
      <c r="R181" s="10">
        <v>43</v>
      </c>
      <c r="S181" s="10">
        <v>4</v>
      </c>
      <c r="T181" s="10">
        <v>2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171</v>
      </c>
      <c r="C183" s="12">
        <v>62</v>
      </c>
      <c r="D183" s="12">
        <v>52</v>
      </c>
      <c r="E183" s="12">
        <v>0</v>
      </c>
      <c r="F183" s="12">
        <v>57</v>
      </c>
      <c r="H183" s="11" t="s">
        <v>32</v>
      </c>
      <c r="I183" s="12">
        <v>137</v>
      </c>
      <c r="J183" s="12">
        <v>59</v>
      </c>
      <c r="K183" s="12">
        <v>39</v>
      </c>
      <c r="L183" s="12">
        <v>36</v>
      </c>
      <c r="M183" s="12">
        <v>3</v>
      </c>
      <c r="O183" s="11" t="s">
        <v>32</v>
      </c>
      <c r="P183" s="12">
        <v>130</v>
      </c>
      <c r="Q183" s="12">
        <v>42</v>
      </c>
      <c r="R183" s="12">
        <v>30</v>
      </c>
      <c r="S183" s="12">
        <v>32</v>
      </c>
      <c r="T183" s="12">
        <v>26</v>
      </c>
    </row>
    <row r="184" spans="1:20" x14ac:dyDescent="0.3">
      <c r="A184" s="13" t="s">
        <v>33</v>
      </c>
      <c r="B184" s="14">
        <v>4</v>
      </c>
      <c r="C184" s="14">
        <v>2</v>
      </c>
      <c r="D184" s="14">
        <v>2</v>
      </c>
      <c r="E184" s="14">
        <v>0</v>
      </c>
      <c r="F184" s="14">
        <v>0</v>
      </c>
      <c r="H184" s="13" t="s">
        <v>33</v>
      </c>
      <c r="I184" s="14">
        <v>3</v>
      </c>
      <c r="J184" s="14">
        <v>2</v>
      </c>
      <c r="K184" s="14">
        <v>0</v>
      </c>
      <c r="L184" s="14">
        <v>1</v>
      </c>
      <c r="M184" s="14">
        <v>0</v>
      </c>
      <c r="O184" s="13" t="s">
        <v>33</v>
      </c>
      <c r="P184" s="14">
        <v>2</v>
      </c>
      <c r="Q184" s="14">
        <v>1</v>
      </c>
      <c r="R184" s="14">
        <v>0</v>
      </c>
      <c r="S184" s="14">
        <v>0</v>
      </c>
      <c r="T184" s="14">
        <v>1</v>
      </c>
    </row>
    <row r="185" spans="1:20" x14ac:dyDescent="0.3">
      <c r="A185" s="13" t="s">
        <v>34</v>
      </c>
      <c r="B185" s="14">
        <v>167</v>
      </c>
      <c r="C185" s="14">
        <v>60</v>
      </c>
      <c r="D185" s="14">
        <v>50</v>
      </c>
      <c r="E185" s="14">
        <v>0</v>
      </c>
      <c r="F185" s="14">
        <v>57</v>
      </c>
      <c r="H185" s="13" t="s">
        <v>34</v>
      </c>
      <c r="I185" s="14">
        <v>134</v>
      </c>
      <c r="J185" s="14">
        <v>57</v>
      </c>
      <c r="K185" s="14">
        <v>39</v>
      </c>
      <c r="L185" s="14">
        <v>35</v>
      </c>
      <c r="M185" s="14">
        <v>3</v>
      </c>
      <c r="O185" s="13" t="s">
        <v>34</v>
      </c>
      <c r="P185" s="14">
        <v>128</v>
      </c>
      <c r="Q185" s="14">
        <v>41</v>
      </c>
      <c r="R185" s="14">
        <v>30</v>
      </c>
      <c r="S185" s="14">
        <v>32</v>
      </c>
      <c r="T185" s="14">
        <v>25</v>
      </c>
    </row>
    <row r="186" spans="1:20" x14ac:dyDescent="0.3">
      <c r="A186" s="15" t="s">
        <v>35</v>
      </c>
      <c r="B186" s="16">
        <v>78</v>
      </c>
      <c r="C186" s="16">
        <v>77</v>
      </c>
      <c r="D186" s="16">
        <v>0</v>
      </c>
      <c r="E186" s="16">
        <v>0</v>
      </c>
      <c r="F186" s="16">
        <v>1</v>
      </c>
      <c r="H186" s="15" t="s">
        <v>35</v>
      </c>
      <c r="I186" s="16">
        <v>29</v>
      </c>
      <c r="J186" s="16">
        <v>29</v>
      </c>
      <c r="K186" s="16">
        <v>0</v>
      </c>
      <c r="L186" s="16">
        <v>0</v>
      </c>
      <c r="M186" s="16">
        <v>0</v>
      </c>
      <c r="O186" s="15" t="s">
        <v>35</v>
      </c>
      <c r="P186" s="16">
        <v>2</v>
      </c>
      <c r="Q186" s="16">
        <v>1</v>
      </c>
      <c r="R186" s="16">
        <v>0</v>
      </c>
      <c r="S186" s="16">
        <v>0</v>
      </c>
      <c r="T186" s="16">
        <v>1</v>
      </c>
    </row>
    <row r="187" spans="1:20" x14ac:dyDescent="0.3">
      <c r="A187" s="17" t="s">
        <v>36</v>
      </c>
      <c r="B187" s="18">
        <v>1</v>
      </c>
      <c r="C187" s="18">
        <v>0</v>
      </c>
      <c r="D187" s="18">
        <v>0</v>
      </c>
      <c r="E187" s="18">
        <v>0</v>
      </c>
      <c r="F187" s="18">
        <v>1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77</v>
      </c>
      <c r="C188" s="18">
        <v>77</v>
      </c>
      <c r="D188" s="18">
        <v>0</v>
      </c>
      <c r="E188" s="18">
        <v>0</v>
      </c>
      <c r="F188" s="18">
        <v>0</v>
      </c>
      <c r="H188" s="17" t="s">
        <v>37</v>
      </c>
      <c r="I188" s="78">
        <v>29</v>
      </c>
      <c r="J188" s="78">
        <v>29</v>
      </c>
      <c r="K188" s="78">
        <v>0</v>
      </c>
      <c r="L188" s="78">
        <v>0</v>
      </c>
      <c r="M188" s="78">
        <v>0</v>
      </c>
      <c r="O188" s="17" t="s">
        <v>37</v>
      </c>
      <c r="P188" s="112">
        <v>2</v>
      </c>
      <c r="Q188" s="112">
        <v>1</v>
      </c>
      <c r="R188" s="112">
        <v>0</v>
      </c>
      <c r="S188" s="112">
        <v>0</v>
      </c>
      <c r="T188" s="112">
        <v>1</v>
      </c>
    </row>
    <row r="189" spans="1:20" x14ac:dyDescent="0.3">
      <c r="A189" s="17" t="s">
        <v>38</v>
      </c>
      <c r="B189" s="172" t="s">
        <v>574</v>
      </c>
      <c r="C189" s="173"/>
      <c r="D189" s="173"/>
      <c r="E189" s="173"/>
      <c r="F189" s="173"/>
      <c r="H189" s="17" t="s">
        <v>38</v>
      </c>
      <c r="I189" s="167" t="s">
        <v>1383</v>
      </c>
      <c r="J189" s="168"/>
      <c r="K189" s="168"/>
      <c r="L189" s="168"/>
      <c r="M189" s="168"/>
      <c r="O189" s="17" t="s">
        <v>38</v>
      </c>
      <c r="P189" s="167" t="s">
        <v>1876</v>
      </c>
      <c r="Q189" s="168"/>
      <c r="R189" s="168"/>
      <c r="S189" s="168"/>
      <c r="T189" s="168"/>
    </row>
    <row r="190" spans="1:20" ht="19.8" x14ac:dyDescent="0.3">
      <c r="A190" s="171">
        <v>46097</v>
      </c>
      <c r="B190" s="171"/>
      <c r="C190" s="171"/>
      <c r="D190" s="171"/>
      <c r="E190" s="171"/>
      <c r="F190" s="171"/>
      <c r="H190" s="170">
        <v>46123</v>
      </c>
      <c r="I190" s="168"/>
      <c r="J190" s="168"/>
      <c r="K190" s="168"/>
      <c r="L190" s="168"/>
      <c r="M190" s="168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642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2241</v>
      </c>
      <c r="C192" s="3">
        <v>1044</v>
      </c>
      <c r="D192" s="3">
        <v>535</v>
      </c>
      <c r="E192" s="3">
        <v>555</v>
      </c>
      <c r="F192" s="3">
        <v>1151</v>
      </c>
      <c r="H192" s="2" t="s">
        <v>5</v>
      </c>
      <c r="I192" s="3">
        <v>5361</v>
      </c>
      <c r="J192" s="3">
        <v>1462</v>
      </c>
      <c r="K192" s="3">
        <v>1559</v>
      </c>
      <c r="L192" s="3">
        <v>1293</v>
      </c>
      <c r="M192" s="3">
        <v>1047</v>
      </c>
      <c r="O192" s="2" t="s">
        <v>5</v>
      </c>
      <c r="P192" s="3">
        <v>6289</v>
      </c>
      <c r="Q192" s="3">
        <v>2192</v>
      </c>
      <c r="R192" s="3">
        <v>0</v>
      </c>
      <c r="S192" s="3">
        <v>2086</v>
      </c>
      <c r="T192" s="3">
        <v>2011</v>
      </c>
    </row>
    <row r="193" spans="1:20" x14ac:dyDescent="0.3">
      <c r="A193" s="2" t="s">
        <v>6</v>
      </c>
      <c r="B193" s="3">
        <v>433</v>
      </c>
      <c r="C193" s="5">
        <v>122</v>
      </c>
      <c r="D193" s="5">
        <v>172</v>
      </c>
      <c r="E193" s="4">
        <v>126</v>
      </c>
      <c r="F193" s="6">
        <v>135</v>
      </c>
      <c r="H193" s="2" t="s">
        <v>6</v>
      </c>
      <c r="I193" s="3">
        <v>518</v>
      </c>
      <c r="J193" s="4">
        <v>124</v>
      </c>
      <c r="K193" s="5">
        <v>147</v>
      </c>
      <c r="L193" s="6">
        <v>146</v>
      </c>
      <c r="M193" s="3">
        <v>101</v>
      </c>
      <c r="O193" s="2" t="s">
        <v>6</v>
      </c>
      <c r="P193" s="3">
        <v>728</v>
      </c>
      <c r="Q193" s="4">
        <v>212</v>
      </c>
      <c r="R193" s="3">
        <v>0</v>
      </c>
      <c r="S193" s="6">
        <v>221</v>
      </c>
      <c r="T193" s="5">
        <v>295</v>
      </c>
    </row>
    <row r="194" spans="1:20" x14ac:dyDescent="0.3">
      <c r="A194" s="2" t="s">
        <v>7</v>
      </c>
      <c r="B194" s="3" t="s">
        <v>613</v>
      </c>
      <c r="C194" s="5" t="s">
        <v>641</v>
      </c>
      <c r="D194" s="5" t="s">
        <v>614</v>
      </c>
      <c r="E194" s="6" t="s">
        <v>615</v>
      </c>
      <c r="F194" s="4" t="s">
        <v>616</v>
      </c>
      <c r="H194" s="2" t="s">
        <v>7</v>
      </c>
      <c r="I194" s="3" t="s">
        <v>1404</v>
      </c>
      <c r="J194" s="3" t="s">
        <v>217</v>
      </c>
      <c r="K194" s="4" t="s">
        <v>798</v>
      </c>
      <c r="L194" s="5" t="s">
        <v>567</v>
      </c>
      <c r="M194" s="6" t="s">
        <v>1405</v>
      </c>
      <c r="O194" s="2" t="s">
        <v>7</v>
      </c>
      <c r="P194" s="3" t="s">
        <v>1806</v>
      </c>
      <c r="Q194" s="4" t="s">
        <v>1212</v>
      </c>
      <c r="R194" s="3">
        <v>0</v>
      </c>
      <c r="S194" s="6" t="s">
        <v>985</v>
      </c>
      <c r="T194" s="5" t="s">
        <v>1891</v>
      </c>
    </row>
    <row r="195" spans="1:20" x14ac:dyDescent="0.3">
      <c r="A195" s="2" t="s">
        <v>12</v>
      </c>
      <c r="B195" s="3" t="s">
        <v>617</v>
      </c>
      <c r="C195" s="5" t="s">
        <v>399</v>
      </c>
      <c r="D195" s="6" t="s">
        <v>618</v>
      </c>
      <c r="E195" s="5" t="s">
        <v>619</v>
      </c>
      <c r="F195" s="4" t="s">
        <v>620</v>
      </c>
      <c r="H195" s="2" t="s">
        <v>12</v>
      </c>
      <c r="I195" s="3" t="s">
        <v>1305</v>
      </c>
      <c r="J195" s="3" t="s">
        <v>126</v>
      </c>
      <c r="K195" s="6" t="s">
        <v>916</v>
      </c>
      <c r="L195" s="5" t="s">
        <v>413</v>
      </c>
      <c r="M195" s="4" t="s">
        <v>1197</v>
      </c>
      <c r="O195" s="2" t="s">
        <v>12</v>
      </c>
      <c r="P195" s="3" t="s">
        <v>265</v>
      </c>
      <c r="Q195" s="4" t="s">
        <v>1892</v>
      </c>
      <c r="R195" s="3">
        <v>0</v>
      </c>
      <c r="S195" s="6" t="s">
        <v>664</v>
      </c>
      <c r="T195" s="5" t="s">
        <v>1893</v>
      </c>
    </row>
    <row r="196" spans="1:20" x14ac:dyDescent="0.3">
      <c r="A196" s="2" t="s">
        <v>17</v>
      </c>
      <c r="B196" s="3" t="s">
        <v>621</v>
      </c>
      <c r="C196" s="5" t="s">
        <v>301</v>
      </c>
      <c r="D196" s="5" t="s">
        <v>602</v>
      </c>
      <c r="E196" s="4" t="s">
        <v>156</v>
      </c>
      <c r="F196" s="6" t="s">
        <v>622</v>
      </c>
      <c r="H196" s="2" t="s">
        <v>17</v>
      </c>
      <c r="I196" s="3" t="s">
        <v>401</v>
      </c>
      <c r="J196" s="6" t="s">
        <v>572</v>
      </c>
      <c r="K196" s="3" t="s">
        <v>1406</v>
      </c>
      <c r="L196" s="5" t="s">
        <v>340</v>
      </c>
      <c r="M196" s="4" t="s">
        <v>261</v>
      </c>
      <c r="O196" s="2" t="s">
        <v>17</v>
      </c>
      <c r="P196" s="3" t="s">
        <v>542</v>
      </c>
      <c r="Q196" s="5" t="s">
        <v>1894</v>
      </c>
      <c r="R196" s="3" t="s">
        <v>25</v>
      </c>
      <c r="S196" s="6" t="s">
        <v>806</v>
      </c>
      <c r="T196" s="4" t="s">
        <v>506</v>
      </c>
    </row>
    <row r="197" spans="1:20" x14ac:dyDescent="0.3">
      <c r="A197" s="2" t="s">
        <v>22</v>
      </c>
      <c r="B197" s="3" t="s">
        <v>201</v>
      </c>
      <c r="C197" s="3" t="s">
        <v>25</v>
      </c>
      <c r="D197" s="5" t="s">
        <v>623</v>
      </c>
      <c r="E197" s="3" t="s">
        <v>25</v>
      </c>
      <c r="F197" s="3" t="s">
        <v>25</v>
      </c>
      <c r="H197" s="2" t="s">
        <v>22</v>
      </c>
      <c r="I197" s="3" t="s">
        <v>101</v>
      </c>
      <c r="J197" s="5" t="s">
        <v>869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552</v>
      </c>
      <c r="Q197" s="5" t="s">
        <v>84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312</v>
      </c>
      <c r="C198" s="8">
        <v>53</v>
      </c>
      <c r="D198" s="8">
        <v>106</v>
      </c>
      <c r="E198" s="8">
        <v>120</v>
      </c>
      <c r="F198" s="8">
        <v>86</v>
      </c>
      <c r="H198" s="7" t="s">
        <v>26</v>
      </c>
      <c r="I198" s="8">
        <v>211</v>
      </c>
      <c r="J198" s="8">
        <v>31</v>
      </c>
      <c r="K198" s="8">
        <v>70</v>
      </c>
      <c r="L198" s="8">
        <v>66</v>
      </c>
      <c r="M198" s="8">
        <v>44</v>
      </c>
      <c r="O198" s="7" t="s">
        <v>26</v>
      </c>
      <c r="P198" s="8">
        <v>657</v>
      </c>
      <c r="Q198" s="8">
        <v>185</v>
      </c>
      <c r="R198" s="8">
        <v>0</v>
      </c>
      <c r="S198" s="8">
        <v>198</v>
      </c>
      <c r="T198" s="8">
        <v>274</v>
      </c>
    </row>
    <row r="199" spans="1:20" x14ac:dyDescent="0.3">
      <c r="A199" s="9" t="s">
        <v>27</v>
      </c>
      <c r="B199" s="10">
        <v>55</v>
      </c>
      <c r="C199" s="10">
        <v>48</v>
      </c>
      <c r="D199" s="10">
        <v>21</v>
      </c>
      <c r="E199" s="10">
        <v>15</v>
      </c>
      <c r="F199" s="10">
        <v>19</v>
      </c>
      <c r="H199" s="9" t="s">
        <v>27</v>
      </c>
      <c r="I199" s="10">
        <v>207</v>
      </c>
      <c r="J199" s="10">
        <v>30</v>
      </c>
      <c r="K199" s="10">
        <v>68</v>
      </c>
      <c r="L199" s="10">
        <v>65</v>
      </c>
      <c r="M199" s="10">
        <v>44</v>
      </c>
      <c r="O199" s="9" t="s">
        <v>27</v>
      </c>
      <c r="P199" s="10">
        <v>615</v>
      </c>
      <c r="Q199" s="10">
        <v>157</v>
      </c>
      <c r="R199" s="10">
        <v>0</v>
      </c>
      <c r="S199" s="10">
        <v>192</v>
      </c>
      <c r="T199" s="10">
        <v>266</v>
      </c>
    </row>
    <row r="200" spans="1:20" x14ac:dyDescent="0.3">
      <c r="A200" s="9" t="s">
        <v>28</v>
      </c>
      <c r="B200" s="10">
        <v>138</v>
      </c>
      <c r="C200" s="10">
        <v>0</v>
      </c>
      <c r="D200" s="10">
        <v>3</v>
      </c>
      <c r="E200" s="10">
        <v>85</v>
      </c>
      <c r="F200" s="10">
        <v>50</v>
      </c>
      <c r="H200" s="9" t="s">
        <v>28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O200" s="9" t="s">
        <v>28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119</v>
      </c>
      <c r="C202" s="10">
        <v>5</v>
      </c>
      <c r="D202" s="10">
        <v>82</v>
      </c>
      <c r="E202" s="10">
        <v>20</v>
      </c>
      <c r="F202" s="10">
        <v>17</v>
      </c>
      <c r="H202" s="9" t="s">
        <v>30</v>
      </c>
      <c r="I202" s="10">
        <v>4</v>
      </c>
      <c r="J202" s="10">
        <v>1</v>
      </c>
      <c r="K202" s="10">
        <v>2</v>
      </c>
      <c r="L202" s="10">
        <v>1</v>
      </c>
      <c r="M202" s="10">
        <v>0</v>
      </c>
      <c r="O202" s="9" t="s">
        <v>30</v>
      </c>
      <c r="P202" s="10">
        <v>42</v>
      </c>
      <c r="Q202" s="10">
        <v>28</v>
      </c>
      <c r="R202" s="10">
        <v>0</v>
      </c>
      <c r="S202" s="10">
        <v>6</v>
      </c>
      <c r="T202" s="10">
        <v>8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121</v>
      </c>
      <c r="C204" s="12">
        <v>69</v>
      </c>
      <c r="D204" s="12">
        <v>66</v>
      </c>
      <c r="E204" s="12">
        <v>6</v>
      </c>
      <c r="F204" s="12">
        <v>49</v>
      </c>
      <c r="H204" s="11" t="s">
        <v>32</v>
      </c>
      <c r="I204" s="12">
        <v>283</v>
      </c>
      <c r="J204" s="12">
        <v>81</v>
      </c>
      <c r="K204" s="12">
        <v>76</v>
      </c>
      <c r="L204" s="12">
        <v>72</v>
      </c>
      <c r="M204" s="12">
        <v>54</v>
      </c>
      <c r="O204" s="11" t="s">
        <v>32</v>
      </c>
      <c r="P204" s="12">
        <v>70</v>
      </c>
      <c r="Q204" s="12">
        <v>27</v>
      </c>
      <c r="R204" s="12">
        <v>0</v>
      </c>
      <c r="S204" s="12">
        <v>22</v>
      </c>
      <c r="T204" s="12">
        <v>21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O205" s="13" t="s">
        <v>33</v>
      </c>
      <c r="P205" s="14">
        <v>8</v>
      </c>
      <c r="Q205" s="14">
        <v>4</v>
      </c>
      <c r="R205" s="14">
        <v>0</v>
      </c>
      <c r="S205" s="14">
        <v>2</v>
      </c>
      <c r="T205" s="14">
        <v>2</v>
      </c>
    </row>
    <row r="206" spans="1:20" x14ac:dyDescent="0.3">
      <c r="A206" s="13" t="s">
        <v>34</v>
      </c>
      <c r="B206" s="14">
        <v>121</v>
      </c>
      <c r="C206" s="14">
        <v>69</v>
      </c>
      <c r="D206" s="14">
        <v>66</v>
      </c>
      <c r="E206" s="14">
        <v>6</v>
      </c>
      <c r="F206" s="14">
        <v>49</v>
      </c>
      <c r="H206" s="13" t="s">
        <v>34</v>
      </c>
      <c r="I206" s="14">
        <v>283</v>
      </c>
      <c r="J206" s="14">
        <v>81</v>
      </c>
      <c r="K206" s="14">
        <v>76</v>
      </c>
      <c r="L206" s="14">
        <v>72</v>
      </c>
      <c r="M206" s="14">
        <v>54</v>
      </c>
      <c r="O206" s="13" t="s">
        <v>34</v>
      </c>
      <c r="P206" s="14">
        <v>62</v>
      </c>
      <c r="Q206" s="14">
        <v>23</v>
      </c>
      <c r="R206" s="14">
        <v>0</v>
      </c>
      <c r="S206" s="14">
        <v>20</v>
      </c>
      <c r="T206" s="14">
        <v>19</v>
      </c>
    </row>
    <row r="207" spans="1:20" x14ac:dyDescent="0.3">
      <c r="A207" s="15" t="s">
        <v>35</v>
      </c>
      <c r="B207" s="16">
        <v>51</v>
      </c>
      <c r="C207" s="16">
        <v>0</v>
      </c>
      <c r="D207" s="16">
        <v>51</v>
      </c>
      <c r="E207" s="16">
        <v>0</v>
      </c>
      <c r="F207" s="16">
        <v>0</v>
      </c>
      <c r="H207" s="15" t="s">
        <v>35</v>
      </c>
      <c r="I207" s="16">
        <v>14</v>
      </c>
      <c r="J207" s="16">
        <v>14</v>
      </c>
      <c r="K207" s="16">
        <v>0</v>
      </c>
      <c r="L207" s="16">
        <v>0</v>
      </c>
      <c r="M207" s="16">
        <v>0</v>
      </c>
      <c r="O207" s="15" t="s">
        <v>35</v>
      </c>
      <c r="P207" s="16">
        <v>2</v>
      </c>
      <c r="Q207" s="16">
        <v>2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51</v>
      </c>
      <c r="C209" s="18">
        <v>0</v>
      </c>
      <c r="D209" s="18">
        <v>51</v>
      </c>
      <c r="E209" s="18">
        <v>0</v>
      </c>
      <c r="F209" s="18">
        <v>0</v>
      </c>
      <c r="H209" s="17" t="s">
        <v>37</v>
      </c>
      <c r="I209" s="78">
        <v>14</v>
      </c>
      <c r="J209" s="78">
        <v>14</v>
      </c>
      <c r="K209" s="78">
        <v>0</v>
      </c>
      <c r="L209" s="78">
        <v>0</v>
      </c>
      <c r="M209" s="78">
        <v>0</v>
      </c>
      <c r="O209" s="17" t="s">
        <v>37</v>
      </c>
      <c r="P209" s="112">
        <v>2</v>
      </c>
      <c r="Q209" s="112">
        <v>2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72" t="s">
        <v>624</v>
      </c>
      <c r="C210" s="173"/>
      <c r="D210" s="173"/>
      <c r="E210" s="173"/>
      <c r="F210" s="173"/>
      <c r="H210" s="17" t="s">
        <v>38</v>
      </c>
      <c r="I210" s="167" t="s">
        <v>1407</v>
      </c>
      <c r="J210" s="168"/>
      <c r="K210" s="168"/>
      <c r="L210" s="168"/>
      <c r="M210" s="168"/>
      <c r="O210" s="17" t="s">
        <v>38</v>
      </c>
      <c r="P210" s="172" t="s">
        <v>1895</v>
      </c>
      <c r="Q210" s="173"/>
      <c r="R210" s="173"/>
      <c r="S210" s="173"/>
      <c r="T210" s="173"/>
    </row>
    <row r="211" spans="1:20" ht="19.8" x14ac:dyDescent="0.3">
      <c r="A211" s="170">
        <v>46098</v>
      </c>
      <c r="B211" s="168"/>
      <c r="C211" s="168"/>
      <c r="D211" s="168"/>
      <c r="E211" s="168"/>
      <c r="F211" s="168"/>
      <c r="H211" s="170">
        <v>46125</v>
      </c>
      <c r="I211" s="168"/>
      <c r="J211" s="168"/>
      <c r="K211" s="168"/>
      <c r="L211" s="168"/>
      <c r="M211" s="168"/>
      <c r="O211" s="170">
        <v>46156</v>
      </c>
      <c r="P211" s="168"/>
      <c r="Q211" s="168"/>
      <c r="R211" s="168"/>
      <c r="S211" s="168"/>
      <c r="T211" s="168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5452</v>
      </c>
      <c r="C213" s="3">
        <v>4</v>
      </c>
      <c r="D213" s="3">
        <v>2023</v>
      </c>
      <c r="E213" s="3">
        <v>1331</v>
      </c>
      <c r="F213" s="3">
        <v>2094</v>
      </c>
      <c r="H213" s="2" t="s">
        <v>5</v>
      </c>
      <c r="I213" s="3">
        <v>4545</v>
      </c>
      <c r="J213" s="3">
        <v>1490</v>
      </c>
      <c r="K213" s="3">
        <v>836</v>
      </c>
      <c r="L213" s="3">
        <v>1084</v>
      </c>
      <c r="M213" s="3">
        <v>1135</v>
      </c>
      <c r="O213" s="2" t="s">
        <v>5</v>
      </c>
      <c r="P213" s="3">
        <v>3182</v>
      </c>
      <c r="Q213" s="3">
        <v>826</v>
      </c>
      <c r="R213" s="3">
        <v>1035</v>
      </c>
      <c r="S213" s="3">
        <v>695</v>
      </c>
      <c r="T213" s="3">
        <v>626</v>
      </c>
    </row>
    <row r="214" spans="1:20" x14ac:dyDescent="0.3">
      <c r="A214" s="2" t="s">
        <v>6</v>
      </c>
      <c r="B214" s="3">
        <v>386</v>
      </c>
      <c r="C214" s="3">
        <v>4</v>
      </c>
      <c r="D214" s="5">
        <v>144</v>
      </c>
      <c r="E214" s="6">
        <v>123</v>
      </c>
      <c r="F214" s="4">
        <v>115</v>
      </c>
      <c r="H214" s="2" t="s">
        <v>6</v>
      </c>
      <c r="I214" s="3">
        <v>365</v>
      </c>
      <c r="J214" s="4">
        <v>74</v>
      </c>
      <c r="K214" s="3">
        <v>57</v>
      </c>
      <c r="L214" s="5">
        <v>129</v>
      </c>
      <c r="M214" s="6">
        <v>105</v>
      </c>
      <c r="O214" s="2" t="s">
        <v>6</v>
      </c>
      <c r="P214" s="3">
        <v>474</v>
      </c>
      <c r="Q214" s="6">
        <v>100</v>
      </c>
      <c r="R214" s="5">
        <v>199</v>
      </c>
      <c r="S214" s="4">
        <v>93</v>
      </c>
      <c r="T214" s="3">
        <v>82</v>
      </c>
    </row>
    <row r="215" spans="1:20" x14ac:dyDescent="0.3">
      <c r="A215" s="2" t="s">
        <v>7</v>
      </c>
      <c r="B215" s="3" t="s">
        <v>643</v>
      </c>
      <c r="C215" s="5" t="s">
        <v>48</v>
      </c>
      <c r="D215" s="4" t="s">
        <v>564</v>
      </c>
      <c r="E215" s="6" t="s">
        <v>543</v>
      </c>
      <c r="F215" s="3" t="s">
        <v>644</v>
      </c>
      <c r="H215" s="2" t="s">
        <v>7</v>
      </c>
      <c r="I215" s="3" t="s">
        <v>325</v>
      </c>
      <c r="J215" s="3" t="s">
        <v>179</v>
      </c>
      <c r="K215" s="4" t="s">
        <v>1442</v>
      </c>
      <c r="L215" s="5" t="s">
        <v>1443</v>
      </c>
      <c r="M215" s="6" t="s">
        <v>1444</v>
      </c>
      <c r="O215" s="2" t="s">
        <v>7</v>
      </c>
      <c r="P215" s="3" t="s">
        <v>1900</v>
      </c>
      <c r="Q215" s="3" t="s">
        <v>1570</v>
      </c>
      <c r="R215" s="5" t="s">
        <v>1183</v>
      </c>
      <c r="S215" s="6" t="s">
        <v>1901</v>
      </c>
      <c r="T215" s="4" t="s">
        <v>1902</v>
      </c>
    </row>
    <row r="216" spans="1:20" x14ac:dyDescent="0.3">
      <c r="A216" s="2" t="s">
        <v>12</v>
      </c>
      <c r="B216" s="3" t="s">
        <v>255</v>
      </c>
      <c r="C216" s="3" t="s">
        <v>25</v>
      </c>
      <c r="D216" s="6" t="s">
        <v>645</v>
      </c>
      <c r="E216" s="5" t="s">
        <v>646</v>
      </c>
      <c r="F216" s="4" t="s">
        <v>647</v>
      </c>
      <c r="H216" s="2" t="s">
        <v>12</v>
      </c>
      <c r="I216" s="3" t="s">
        <v>916</v>
      </c>
      <c r="J216" s="3" t="s">
        <v>363</v>
      </c>
      <c r="K216" s="4" t="s">
        <v>269</v>
      </c>
      <c r="L216" s="5" t="s">
        <v>682</v>
      </c>
      <c r="M216" s="6" t="s">
        <v>220</v>
      </c>
      <c r="O216" s="2" t="s">
        <v>12</v>
      </c>
      <c r="P216" s="3" t="s">
        <v>1078</v>
      </c>
      <c r="Q216" s="4" t="s">
        <v>176</v>
      </c>
      <c r="R216" s="3" t="s">
        <v>882</v>
      </c>
      <c r="S216" s="6" t="s">
        <v>1748</v>
      </c>
      <c r="T216" s="5" t="s">
        <v>673</v>
      </c>
    </row>
    <row r="217" spans="1:20" x14ac:dyDescent="0.3">
      <c r="A217" s="2" t="s">
        <v>17</v>
      </c>
      <c r="B217" s="3" t="s">
        <v>648</v>
      </c>
      <c r="C217" s="5" t="s">
        <v>48</v>
      </c>
      <c r="D217" s="4" t="s">
        <v>185</v>
      </c>
      <c r="E217" s="6" t="s">
        <v>557</v>
      </c>
      <c r="F217" s="3" t="s">
        <v>505</v>
      </c>
      <c r="H217" s="2" t="s">
        <v>17</v>
      </c>
      <c r="I217" s="3" t="s">
        <v>453</v>
      </c>
      <c r="J217" s="6" t="s">
        <v>852</v>
      </c>
      <c r="K217" s="3" t="s">
        <v>748</v>
      </c>
      <c r="L217" s="5" t="s">
        <v>191</v>
      </c>
      <c r="M217" s="4" t="s">
        <v>575</v>
      </c>
      <c r="O217" s="2" t="s">
        <v>17</v>
      </c>
      <c r="P217" s="3" t="s">
        <v>1903</v>
      </c>
      <c r="Q217" s="4" t="s">
        <v>925</v>
      </c>
      <c r="R217" s="5" t="s">
        <v>1904</v>
      </c>
      <c r="S217" s="6" t="s">
        <v>226</v>
      </c>
      <c r="T217" s="3" t="s">
        <v>1019</v>
      </c>
    </row>
    <row r="218" spans="1:20" x14ac:dyDescent="0.3">
      <c r="A218" s="2" t="s">
        <v>22</v>
      </c>
      <c r="B218" s="3" t="s">
        <v>138</v>
      </c>
      <c r="C218" s="5" t="s">
        <v>48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84</v>
      </c>
      <c r="J218" s="5" t="s">
        <v>88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552</v>
      </c>
      <c r="Q218" s="3" t="s">
        <v>25</v>
      </c>
      <c r="R218" s="3" t="s">
        <v>25</v>
      </c>
      <c r="S218" s="3" t="s">
        <v>25</v>
      </c>
      <c r="T218" s="5" t="s">
        <v>154</v>
      </c>
    </row>
    <row r="219" spans="1:20" x14ac:dyDescent="0.3">
      <c r="A219" s="7" t="s">
        <v>26</v>
      </c>
      <c r="B219" s="8">
        <v>295</v>
      </c>
      <c r="C219" s="8">
        <v>0</v>
      </c>
      <c r="D219" s="8">
        <v>116</v>
      </c>
      <c r="E219" s="8">
        <v>89</v>
      </c>
      <c r="F219" s="8">
        <v>90</v>
      </c>
      <c r="H219" s="7" t="s">
        <v>26</v>
      </c>
      <c r="I219" s="8">
        <v>204</v>
      </c>
      <c r="J219" s="8">
        <v>17</v>
      </c>
      <c r="K219" s="8">
        <v>43</v>
      </c>
      <c r="L219" s="8">
        <v>74</v>
      </c>
      <c r="M219" s="8">
        <v>70</v>
      </c>
      <c r="O219" s="7" t="s">
        <v>26</v>
      </c>
      <c r="P219" s="8">
        <v>266</v>
      </c>
      <c r="Q219" s="8">
        <v>75</v>
      </c>
      <c r="R219" s="8">
        <v>55</v>
      </c>
      <c r="S219" s="8">
        <v>68</v>
      </c>
      <c r="T219" s="8">
        <v>68</v>
      </c>
    </row>
    <row r="220" spans="1:20" x14ac:dyDescent="0.3">
      <c r="A220" s="9" t="s">
        <v>27</v>
      </c>
      <c r="B220" s="10">
        <v>184</v>
      </c>
      <c r="C220" s="10">
        <v>0</v>
      </c>
      <c r="D220" s="10">
        <v>82</v>
      </c>
      <c r="E220" s="10">
        <v>48</v>
      </c>
      <c r="F220" s="10">
        <v>54</v>
      </c>
      <c r="H220" s="9" t="s">
        <v>27</v>
      </c>
      <c r="I220" s="10">
        <v>201</v>
      </c>
      <c r="J220" s="10">
        <v>17</v>
      </c>
      <c r="K220" s="10">
        <v>42</v>
      </c>
      <c r="L220" s="10">
        <v>73</v>
      </c>
      <c r="M220" s="10">
        <v>69</v>
      </c>
      <c r="O220" s="9" t="s">
        <v>27</v>
      </c>
      <c r="P220" s="10">
        <v>117</v>
      </c>
      <c r="Q220" s="10">
        <v>29</v>
      </c>
      <c r="R220" s="10">
        <v>34</v>
      </c>
      <c r="S220" s="10">
        <v>28</v>
      </c>
      <c r="T220" s="10">
        <v>26</v>
      </c>
    </row>
    <row r="221" spans="1:20" x14ac:dyDescent="0.3">
      <c r="A221" s="9" t="s">
        <v>28</v>
      </c>
      <c r="B221" s="10">
        <v>33</v>
      </c>
      <c r="C221" s="10">
        <v>0</v>
      </c>
      <c r="D221" s="10">
        <v>0</v>
      </c>
      <c r="E221" s="10">
        <v>33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O221" s="9" t="s">
        <v>28</v>
      </c>
      <c r="P221" s="10">
        <v>6</v>
      </c>
      <c r="Q221" s="10">
        <v>0</v>
      </c>
      <c r="R221" s="10">
        <v>0</v>
      </c>
      <c r="S221" s="10">
        <v>1</v>
      </c>
      <c r="T221" s="10">
        <v>5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78</v>
      </c>
      <c r="C223" s="10">
        <v>0</v>
      </c>
      <c r="D223" s="10">
        <v>34</v>
      </c>
      <c r="E223" s="10">
        <v>8</v>
      </c>
      <c r="F223" s="10">
        <v>36</v>
      </c>
      <c r="H223" s="9" t="s">
        <v>30</v>
      </c>
      <c r="I223" s="10">
        <v>3</v>
      </c>
      <c r="J223" s="10">
        <v>0</v>
      </c>
      <c r="K223" s="10">
        <v>1</v>
      </c>
      <c r="L223" s="10">
        <v>1</v>
      </c>
      <c r="M223" s="10">
        <v>1</v>
      </c>
      <c r="O223" s="9" t="s">
        <v>30</v>
      </c>
      <c r="P223" s="10">
        <v>143</v>
      </c>
      <c r="Q223" s="10">
        <v>46</v>
      </c>
      <c r="R223" s="10">
        <v>21</v>
      </c>
      <c r="S223" s="10">
        <v>39</v>
      </c>
      <c r="T223" s="10">
        <v>37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92</v>
      </c>
      <c r="C225" s="12">
        <v>4</v>
      </c>
      <c r="D225" s="12">
        <v>28</v>
      </c>
      <c r="E225" s="12">
        <v>35</v>
      </c>
      <c r="F225" s="12">
        <v>25</v>
      </c>
      <c r="H225" s="11" t="s">
        <v>32</v>
      </c>
      <c r="I225" s="12">
        <v>145</v>
      </c>
      <c r="J225" s="12">
        <v>48</v>
      </c>
      <c r="K225" s="12">
        <v>14</v>
      </c>
      <c r="L225" s="12">
        <v>48</v>
      </c>
      <c r="M225" s="12">
        <v>35</v>
      </c>
      <c r="O225" s="11" t="s">
        <v>32</v>
      </c>
      <c r="P225" s="12">
        <v>207</v>
      </c>
      <c r="Q225" s="12">
        <v>25</v>
      </c>
      <c r="R225" s="12">
        <v>143</v>
      </c>
      <c r="S225" s="12">
        <v>25</v>
      </c>
      <c r="T225" s="12">
        <v>14</v>
      </c>
    </row>
    <row r="226" spans="1:20" x14ac:dyDescent="0.3">
      <c r="A226" s="13" t="s">
        <v>33</v>
      </c>
      <c r="B226" s="14">
        <v>3</v>
      </c>
      <c r="C226" s="14">
        <v>0</v>
      </c>
      <c r="D226" s="14">
        <v>1</v>
      </c>
      <c r="E226" s="14">
        <v>2</v>
      </c>
      <c r="F226" s="14">
        <v>0</v>
      </c>
      <c r="H226" s="13" t="s">
        <v>33</v>
      </c>
      <c r="I226" s="14">
        <v>5</v>
      </c>
      <c r="J226" s="14">
        <v>1</v>
      </c>
      <c r="K226" s="14">
        <v>0</v>
      </c>
      <c r="L226" s="14">
        <v>3</v>
      </c>
      <c r="M226" s="14">
        <v>1</v>
      </c>
      <c r="O226" s="13" t="s">
        <v>33</v>
      </c>
      <c r="P226" s="14">
        <v>22</v>
      </c>
      <c r="Q226" s="14">
        <v>0</v>
      </c>
      <c r="R226" s="14">
        <v>22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89</v>
      </c>
      <c r="C227" s="14">
        <v>4</v>
      </c>
      <c r="D227" s="14">
        <v>27</v>
      </c>
      <c r="E227" s="14">
        <v>33</v>
      </c>
      <c r="F227" s="14">
        <v>25</v>
      </c>
      <c r="H227" s="13" t="s">
        <v>34</v>
      </c>
      <c r="I227" s="14">
        <v>140</v>
      </c>
      <c r="J227" s="14">
        <v>47</v>
      </c>
      <c r="K227" s="14">
        <v>14</v>
      </c>
      <c r="L227" s="14">
        <v>45</v>
      </c>
      <c r="M227" s="14">
        <v>34</v>
      </c>
      <c r="O227" s="13" t="s">
        <v>34</v>
      </c>
      <c r="P227" s="14">
        <v>185</v>
      </c>
      <c r="Q227" s="14">
        <v>25</v>
      </c>
      <c r="R227" s="14">
        <v>121</v>
      </c>
      <c r="S227" s="14">
        <v>25</v>
      </c>
      <c r="T227" s="14">
        <v>14</v>
      </c>
    </row>
    <row r="228" spans="1:20" x14ac:dyDescent="0.3">
      <c r="A228" s="15" t="s">
        <v>35</v>
      </c>
      <c r="B228" s="16">
        <v>4</v>
      </c>
      <c r="C228" s="16">
        <v>4</v>
      </c>
      <c r="D228" s="16">
        <v>0</v>
      </c>
      <c r="E228" s="16">
        <v>0</v>
      </c>
      <c r="F228" s="16">
        <v>0</v>
      </c>
      <c r="H228" s="15" t="s">
        <v>35</v>
      </c>
      <c r="I228" s="16">
        <v>4</v>
      </c>
      <c r="J228" s="16">
        <v>4</v>
      </c>
      <c r="K228" s="16">
        <v>0</v>
      </c>
      <c r="L228" s="16">
        <v>0</v>
      </c>
      <c r="M228" s="16">
        <v>0</v>
      </c>
      <c r="O228" s="15" t="s">
        <v>35</v>
      </c>
      <c r="P228" s="16">
        <v>1</v>
      </c>
      <c r="Q228" s="16">
        <v>0</v>
      </c>
      <c r="R228" s="16">
        <v>0</v>
      </c>
      <c r="S228" s="16">
        <v>0</v>
      </c>
      <c r="T228" s="16">
        <v>1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4</v>
      </c>
      <c r="C230" s="18">
        <v>4</v>
      </c>
      <c r="D230" s="18">
        <v>0</v>
      </c>
      <c r="E230" s="18">
        <v>0</v>
      </c>
      <c r="F230" s="18">
        <v>0</v>
      </c>
      <c r="H230" s="17" t="s">
        <v>37</v>
      </c>
      <c r="I230" s="78">
        <v>4</v>
      </c>
      <c r="J230" s="78">
        <v>4</v>
      </c>
      <c r="K230" s="78">
        <v>0</v>
      </c>
      <c r="L230" s="78">
        <v>0</v>
      </c>
      <c r="M230" s="78">
        <v>0</v>
      </c>
      <c r="O230" s="17" t="s">
        <v>37</v>
      </c>
      <c r="P230" s="130">
        <v>1</v>
      </c>
      <c r="Q230" s="130">
        <v>0</v>
      </c>
      <c r="R230" s="130">
        <v>0</v>
      </c>
      <c r="S230" s="130">
        <v>0</v>
      </c>
      <c r="T230" s="130">
        <v>1</v>
      </c>
    </row>
    <row r="231" spans="1:20" x14ac:dyDescent="0.3">
      <c r="A231" s="17" t="s">
        <v>38</v>
      </c>
      <c r="B231" s="167" t="s">
        <v>649</v>
      </c>
      <c r="C231" s="168"/>
      <c r="D231" s="168"/>
      <c r="E231" s="168"/>
      <c r="F231" s="168"/>
      <c r="H231" s="17" t="s">
        <v>38</v>
      </c>
      <c r="I231" s="167" t="s">
        <v>716</v>
      </c>
      <c r="J231" s="168"/>
      <c r="K231" s="168"/>
      <c r="L231" s="168"/>
      <c r="M231" s="168"/>
      <c r="O231" s="17" t="s">
        <v>38</v>
      </c>
      <c r="P231" s="167" t="s">
        <v>1905</v>
      </c>
      <c r="Q231" s="168"/>
      <c r="R231" s="168"/>
      <c r="S231" s="168"/>
      <c r="T231" s="168"/>
    </row>
    <row r="232" spans="1:20" ht="19.8" x14ac:dyDescent="0.3">
      <c r="A232" s="171">
        <v>46099</v>
      </c>
      <c r="B232" s="171"/>
      <c r="C232" s="171"/>
      <c r="D232" s="171"/>
      <c r="E232" s="171"/>
      <c r="F232" s="171"/>
      <c r="H232" s="170">
        <v>46126</v>
      </c>
      <c r="I232" s="168"/>
      <c r="J232" s="168"/>
      <c r="K232" s="168"/>
      <c r="L232" s="168"/>
      <c r="M232" s="168"/>
      <c r="O232" s="170">
        <v>46157</v>
      </c>
      <c r="P232" s="168"/>
      <c r="Q232" s="168"/>
      <c r="R232" s="168"/>
      <c r="S232" s="168"/>
      <c r="T232" s="168"/>
    </row>
    <row r="233" spans="1:20" x14ac:dyDescent="0.3">
      <c r="A233" s="1" t="s">
        <v>0</v>
      </c>
      <c r="B233" s="1" t="s">
        <v>1</v>
      </c>
      <c r="C233" s="1" t="s">
        <v>642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5466</v>
      </c>
      <c r="C234" s="3">
        <v>0</v>
      </c>
      <c r="D234" s="3">
        <v>2175</v>
      </c>
      <c r="E234" s="3">
        <v>1130</v>
      </c>
      <c r="F234" s="3">
        <v>2161</v>
      </c>
      <c r="H234" s="2" t="s">
        <v>5</v>
      </c>
      <c r="I234" s="3">
        <v>6535</v>
      </c>
      <c r="J234" s="3">
        <v>1317</v>
      </c>
      <c r="K234" s="3">
        <v>2028</v>
      </c>
      <c r="L234" s="3">
        <v>1646</v>
      </c>
      <c r="M234" s="3">
        <v>1544</v>
      </c>
      <c r="O234" s="2" t="s">
        <v>5</v>
      </c>
      <c r="P234" s="3">
        <v>3334</v>
      </c>
      <c r="Q234" s="3">
        <v>1338</v>
      </c>
      <c r="R234" s="3">
        <v>1077</v>
      </c>
      <c r="S234" s="3">
        <v>752</v>
      </c>
      <c r="T234" s="3">
        <v>167</v>
      </c>
    </row>
    <row r="235" spans="1:20" x14ac:dyDescent="0.3">
      <c r="A235" s="2" t="s">
        <v>6</v>
      </c>
      <c r="B235" s="3">
        <v>717</v>
      </c>
      <c r="C235" s="3">
        <v>0</v>
      </c>
      <c r="D235" s="6">
        <v>204</v>
      </c>
      <c r="E235" s="4">
        <v>102</v>
      </c>
      <c r="F235" s="5">
        <v>411</v>
      </c>
      <c r="H235" s="2" t="s">
        <v>6</v>
      </c>
      <c r="I235" s="3">
        <v>373</v>
      </c>
      <c r="J235" s="3">
        <v>41</v>
      </c>
      <c r="K235" s="5">
        <v>133</v>
      </c>
      <c r="L235" s="6">
        <v>105</v>
      </c>
      <c r="M235" s="4">
        <v>94</v>
      </c>
      <c r="O235" s="2" t="s">
        <v>6</v>
      </c>
      <c r="P235" s="3">
        <v>254</v>
      </c>
      <c r="Q235" s="6">
        <v>72</v>
      </c>
      <c r="R235" s="5">
        <v>127</v>
      </c>
      <c r="S235" s="4">
        <v>42</v>
      </c>
      <c r="T235" s="3">
        <v>13</v>
      </c>
    </row>
    <row r="236" spans="1:20" x14ac:dyDescent="0.3">
      <c r="A236" s="2" t="s">
        <v>7</v>
      </c>
      <c r="B236" s="3" t="s">
        <v>708</v>
      </c>
      <c r="C236" s="3">
        <v>0</v>
      </c>
      <c r="D236" s="6" t="s">
        <v>709</v>
      </c>
      <c r="E236" s="4" t="s">
        <v>421</v>
      </c>
      <c r="F236" s="5" t="s">
        <v>710</v>
      </c>
      <c r="H236" s="2" t="s">
        <v>7</v>
      </c>
      <c r="I236" s="3" t="s">
        <v>316</v>
      </c>
      <c r="J236" s="3" t="s">
        <v>1467</v>
      </c>
      <c r="K236" s="5" t="s">
        <v>305</v>
      </c>
      <c r="L236" s="6" t="s">
        <v>1468</v>
      </c>
      <c r="M236" s="4" t="s">
        <v>1273</v>
      </c>
      <c r="O236" s="2" t="s">
        <v>7</v>
      </c>
      <c r="P236" s="3" t="s">
        <v>1012</v>
      </c>
      <c r="Q236" s="3" t="s">
        <v>409</v>
      </c>
      <c r="R236" s="5" t="s">
        <v>907</v>
      </c>
      <c r="S236" s="4" t="s">
        <v>118</v>
      </c>
      <c r="T236" s="6" t="s">
        <v>1813</v>
      </c>
    </row>
    <row r="237" spans="1:20" x14ac:dyDescent="0.3">
      <c r="A237" s="2" t="s">
        <v>12</v>
      </c>
      <c r="B237" s="3" t="s">
        <v>711</v>
      </c>
      <c r="C237" s="3">
        <v>0</v>
      </c>
      <c r="D237" s="6" t="s">
        <v>712</v>
      </c>
      <c r="E237" s="4" t="s">
        <v>140</v>
      </c>
      <c r="F237" s="5" t="s">
        <v>713</v>
      </c>
      <c r="H237" s="2" t="s">
        <v>12</v>
      </c>
      <c r="I237" s="3" t="s">
        <v>125</v>
      </c>
      <c r="J237" s="3" t="s">
        <v>25</v>
      </c>
      <c r="K237" s="6" t="s">
        <v>1469</v>
      </c>
      <c r="L237" s="4" t="s">
        <v>1388</v>
      </c>
      <c r="M237" s="5" t="s">
        <v>917</v>
      </c>
      <c r="O237" s="2" t="s">
        <v>12</v>
      </c>
      <c r="P237" s="3" t="s">
        <v>1622</v>
      </c>
      <c r="Q237" s="3" t="s">
        <v>389</v>
      </c>
      <c r="R237" s="5" t="s">
        <v>757</v>
      </c>
      <c r="S237" s="4" t="s">
        <v>1382</v>
      </c>
      <c r="T237" s="6" t="s">
        <v>651</v>
      </c>
    </row>
    <row r="238" spans="1:20" x14ac:dyDescent="0.3">
      <c r="A238" s="2" t="s">
        <v>17</v>
      </c>
      <c r="B238" s="3" t="s">
        <v>116</v>
      </c>
      <c r="C238" s="3" t="s">
        <v>25</v>
      </c>
      <c r="D238" s="4" t="s">
        <v>714</v>
      </c>
      <c r="E238" s="5" t="s">
        <v>140</v>
      </c>
      <c r="F238" s="6" t="s">
        <v>715</v>
      </c>
      <c r="H238" s="2" t="s">
        <v>17</v>
      </c>
      <c r="I238" s="3" t="s">
        <v>1072</v>
      </c>
      <c r="J238" s="5" t="s">
        <v>1203</v>
      </c>
      <c r="K238" s="4" t="s">
        <v>126</v>
      </c>
      <c r="L238" s="6" t="s">
        <v>1382</v>
      </c>
      <c r="M238" s="3" t="s">
        <v>717</v>
      </c>
      <c r="O238" s="2" t="s">
        <v>17</v>
      </c>
      <c r="P238" s="3" t="s">
        <v>622</v>
      </c>
      <c r="Q238" s="4" t="s">
        <v>343</v>
      </c>
      <c r="R238" s="5" t="s">
        <v>612</v>
      </c>
      <c r="S238" s="6" t="s">
        <v>973</v>
      </c>
      <c r="T238" s="3" t="s">
        <v>924</v>
      </c>
    </row>
    <row r="239" spans="1:20" x14ac:dyDescent="0.3">
      <c r="A239" s="2" t="s">
        <v>22</v>
      </c>
      <c r="B239" s="3" t="s">
        <v>257</v>
      </c>
      <c r="C239" s="3" t="s">
        <v>25</v>
      </c>
      <c r="D239" s="6" t="s">
        <v>158</v>
      </c>
      <c r="E239" s="5" t="s">
        <v>84</v>
      </c>
      <c r="F239" s="3" t="s">
        <v>25</v>
      </c>
      <c r="H239" s="2" t="s">
        <v>22</v>
      </c>
      <c r="I239" s="3" t="s">
        <v>267</v>
      </c>
      <c r="J239" s="3" t="s">
        <v>25</v>
      </c>
      <c r="K239" s="3" t="s">
        <v>25</v>
      </c>
      <c r="L239" s="3" t="s">
        <v>25</v>
      </c>
      <c r="M239" s="5" t="s">
        <v>268</v>
      </c>
      <c r="O239" s="2" t="s">
        <v>22</v>
      </c>
      <c r="P239" s="3" t="s">
        <v>552</v>
      </c>
      <c r="Q239" s="5" t="s">
        <v>138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581</v>
      </c>
      <c r="C240" s="8">
        <v>0</v>
      </c>
      <c r="D240" s="8">
        <v>167</v>
      </c>
      <c r="E240" s="8">
        <v>51</v>
      </c>
      <c r="F240" s="8">
        <v>363</v>
      </c>
      <c r="H240" s="7" t="s">
        <v>26</v>
      </c>
      <c r="I240" s="8">
        <v>240</v>
      </c>
      <c r="J240" s="8">
        <v>0</v>
      </c>
      <c r="K240" s="8">
        <v>90</v>
      </c>
      <c r="L240" s="8">
        <v>70</v>
      </c>
      <c r="M240" s="8">
        <v>80</v>
      </c>
      <c r="O240" s="7" t="s">
        <v>26</v>
      </c>
      <c r="P240" s="8">
        <v>133</v>
      </c>
      <c r="Q240" s="8">
        <v>25</v>
      </c>
      <c r="R240" s="8">
        <v>81</v>
      </c>
      <c r="S240" s="8">
        <v>16</v>
      </c>
      <c r="T240" s="8">
        <v>11</v>
      </c>
    </row>
    <row r="241" spans="1:20" x14ac:dyDescent="0.3">
      <c r="A241" s="9" t="s">
        <v>27</v>
      </c>
      <c r="B241" s="10">
        <v>356</v>
      </c>
      <c r="C241" s="10">
        <v>0</v>
      </c>
      <c r="D241" s="10">
        <v>120</v>
      </c>
      <c r="E241" s="10">
        <v>50</v>
      </c>
      <c r="F241" s="10">
        <v>186</v>
      </c>
      <c r="H241" s="9" t="s">
        <v>27</v>
      </c>
      <c r="I241" s="10">
        <v>232</v>
      </c>
      <c r="J241" s="10">
        <v>0</v>
      </c>
      <c r="K241" s="10">
        <v>87</v>
      </c>
      <c r="L241" s="10">
        <v>68</v>
      </c>
      <c r="M241" s="10">
        <v>77</v>
      </c>
      <c r="O241" s="9" t="s">
        <v>27</v>
      </c>
      <c r="P241" s="10">
        <v>58</v>
      </c>
      <c r="Q241" s="10">
        <v>23</v>
      </c>
      <c r="R241" s="10">
        <v>20</v>
      </c>
      <c r="S241" s="10">
        <v>11</v>
      </c>
      <c r="T241" s="10">
        <v>4</v>
      </c>
    </row>
    <row r="242" spans="1:20" x14ac:dyDescent="0.3">
      <c r="A242" s="9" t="s">
        <v>28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O242" s="9" t="s">
        <v>28</v>
      </c>
      <c r="P242" s="10">
        <v>48</v>
      </c>
      <c r="Q242" s="10">
        <v>0</v>
      </c>
      <c r="R242" s="10">
        <v>46</v>
      </c>
      <c r="S242" s="10">
        <v>1</v>
      </c>
      <c r="T242" s="10">
        <v>1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225</v>
      </c>
      <c r="C244" s="10">
        <v>0</v>
      </c>
      <c r="D244" s="10">
        <v>47</v>
      </c>
      <c r="E244" s="10">
        <v>1</v>
      </c>
      <c r="F244" s="10">
        <v>177</v>
      </c>
      <c r="H244" s="9" t="s">
        <v>30</v>
      </c>
      <c r="I244" s="10">
        <v>8</v>
      </c>
      <c r="J244" s="10">
        <v>0</v>
      </c>
      <c r="K244" s="10">
        <v>3</v>
      </c>
      <c r="L244" s="10">
        <v>2</v>
      </c>
      <c r="M244" s="10">
        <v>3</v>
      </c>
      <c r="O244" s="9" t="s">
        <v>30</v>
      </c>
      <c r="P244" s="10">
        <v>27</v>
      </c>
      <c r="Q244" s="10">
        <v>2</v>
      </c>
      <c r="R244" s="10">
        <v>15</v>
      </c>
      <c r="S244" s="10">
        <v>4</v>
      </c>
      <c r="T244" s="10">
        <v>6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135</v>
      </c>
      <c r="C246" s="12">
        <v>0</v>
      </c>
      <c r="D246" s="12">
        <v>37</v>
      </c>
      <c r="E246" s="12">
        <v>51</v>
      </c>
      <c r="F246" s="12">
        <v>47</v>
      </c>
      <c r="H246" s="11" t="s">
        <v>32</v>
      </c>
      <c r="I246" s="12">
        <v>128</v>
      </c>
      <c r="J246" s="12">
        <v>37</v>
      </c>
      <c r="K246" s="12">
        <v>43</v>
      </c>
      <c r="L246" s="12">
        <v>35</v>
      </c>
      <c r="M246" s="12">
        <v>13</v>
      </c>
      <c r="O246" s="11" t="s">
        <v>32</v>
      </c>
      <c r="P246" s="12">
        <v>142</v>
      </c>
      <c r="Q246" s="12">
        <v>52</v>
      </c>
      <c r="R246" s="12">
        <v>53</v>
      </c>
      <c r="S246" s="12">
        <v>33</v>
      </c>
      <c r="T246" s="12">
        <v>4</v>
      </c>
    </row>
    <row r="247" spans="1:20" x14ac:dyDescent="0.3">
      <c r="A247" s="13" t="s">
        <v>33</v>
      </c>
      <c r="B247" s="14">
        <v>1</v>
      </c>
      <c r="C247" s="14">
        <v>0</v>
      </c>
      <c r="D247" s="14">
        <v>0</v>
      </c>
      <c r="E247" s="14">
        <v>0</v>
      </c>
      <c r="F247" s="14">
        <v>1</v>
      </c>
      <c r="H247" s="13" t="s">
        <v>33</v>
      </c>
      <c r="I247" s="14">
        <v>26</v>
      </c>
      <c r="J247" s="14">
        <v>8</v>
      </c>
      <c r="K247" s="14">
        <v>8</v>
      </c>
      <c r="L247" s="14">
        <v>9</v>
      </c>
      <c r="M247" s="14">
        <v>1</v>
      </c>
      <c r="O247" s="13" t="s">
        <v>33</v>
      </c>
      <c r="P247" s="14">
        <v>24</v>
      </c>
      <c r="Q247" s="14">
        <v>10</v>
      </c>
      <c r="R247" s="14">
        <v>9</v>
      </c>
      <c r="S247" s="14">
        <v>5</v>
      </c>
      <c r="T247" s="14">
        <v>0</v>
      </c>
    </row>
    <row r="248" spans="1:20" x14ac:dyDescent="0.3">
      <c r="A248" s="13" t="s">
        <v>34</v>
      </c>
      <c r="B248" s="14">
        <v>134</v>
      </c>
      <c r="C248" s="14">
        <v>0</v>
      </c>
      <c r="D248" s="14">
        <v>37</v>
      </c>
      <c r="E248" s="14">
        <v>51</v>
      </c>
      <c r="F248" s="14">
        <v>46</v>
      </c>
      <c r="H248" s="13" t="s">
        <v>34</v>
      </c>
      <c r="I248" s="14">
        <v>102</v>
      </c>
      <c r="J248" s="14">
        <v>29</v>
      </c>
      <c r="K248" s="14">
        <v>35</v>
      </c>
      <c r="L248" s="14">
        <v>26</v>
      </c>
      <c r="M248" s="14">
        <v>12</v>
      </c>
      <c r="O248" s="13" t="s">
        <v>34</v>
      </c>
      <c r="P248" s="14">
        <v>118</v>
      </c>
      <c r="Q248" s="14">
        <v>42</v>
      </c>
      <c r="R248" s="14">
        <v>44</v>
      </c>
      <c r="S248" s="14">
        <v>28</v>
      </c>
      <c r="T248" s="14">
        <v>4</v>
      </c>
    </row>
    <row r="249" spans="1:20" x14ac:dyDescent="0.3">
      <c r="A249" s="15" t="s">
        <v>35</v>
      </c>
      <c r="B249" s="16">
        <v>2</v>
      </c>
      <c r="C249" s="16">
        <v>0</v>
      </c>
      <c r="D249" s="16">
        <v>1</v>
      </c>
      <c r="E249" s="16">
        <v>1</v>
      </c>
      <c r="F249" s="16">
        <v>0</v>
      </c>
      <c r="H249" s="15" t="s">
        <v>35</v>
      </c>
      <c r="I249" s="16">
        <v>1</v>
      </c>
      <c r="J249" s="16">
        <v>0</v>
      </c>
      <c r="K249" s="16">
        <v>0</v>
      </c>
      <c r="L249" s="16">
        <v>0</v>
      </c>
      <c r="M249" s="16">
        <v>1</v>
      </c>
      <c r="O249" s="15" t="s">
        <v>35</v>
      </c>
      <c r="P249" s="16">
        <v>1</v>
      </c>
      <c r="Q249" s="16">
        <v>1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1</v>
      </c>
      <c r="C250" s="18">
        <v>0</v>
      </c>
      <c r="D250" s="18">
        <v>0</v>
      </c>
      <c r="E250" s="18">
        <v>1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1</v>
      </c>
      <c r="C251" s="18">
        <v>0</v>
      </c>
      <c r="D251" s="18">
        <v>1</v>
      </c>
      <c r="E251" s="18">
        <v>0</v>
      </c>
      <c r="F251" s="18">
        <v>0</v>
      </c>
      <c r="H251" s="17" t="s">
        <v>37</v>
      </c>
      <c r="I251" s="78">
        <v>1</v>
      </c>
      <c r="J251" s="78">
        <v>0</v>
      </c>
      <c r="K251" s="78">
        <v>0</v>
      </c>
      <c r="L251" s="78">
        <v>0</v>
      </c>
      <c r="M251" s="78">
        <v>1</v>
      </c>
      <c r="O251" s="17" t="s">
        <v>37</v>
      </c>
      <c r="P251" s="130">
        <v>1</v>
      </c>
      <c r="Q251" s="130">
        <v>1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72" t="s">
        <v>716</v>
      </c>
      <c r="C252" s="173"/>
      <c r="D252" s="173"/>
      <c r="E252" s="173"/>
      <c r="F252" s="173"/>
      <c r="H252" s="17" t="s">
        <v>38</v>
      </c>
      <c r="I252" s="167" t="s">
        <v>716</v>
      </c>
      <c r="J252" s="168"/>
      <c r="K252" s="168"/>
      <c r="L252" s="168"/>
      <c r="M252" s="168"/>
      <c r="O252" s="17" t="s">
        <v>38</v>
      </c>
      <c r="P252" s="167" t="s">
        <v>1915</v>
      </c>
      <c r="Q252" s="168"/>
      <c r="R252" s="168"/>
      <c r="S252" s="168"/>
      <c r="T252" s="168"/>
    </row>
    <row r="253" spans="1:20" ht="19.8" x14ac:dyDescent="0.3">
      <c r="A253" s="171">
        <v>46100</v>
      </c>
      <c r="B253" s="171"/>
      <c r="C253" s="171"/>
      <c r="D253" s="171"/>
      <c r="E253" s="171"/>
      <c r="F253" s="171"/>
      <c r="H253" s="170">
        <v>46127</v>
      </c>
      <c r="I253" s="168"/>
      <c r="J253" s="168"/>
      <c r="K253" s="168"/>
      <c r="L253" s="168"/>
      <c r="M253" s="168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6102</v>
      </c>
      <c r="C255" s="3">
        <v>2267</v>
      </c>
      <c r="D255" s="3">
        <v>1</v>
      </c>
      <c r="E255" s="3">
        <v>1772</v>
      </c>
      <c r="F255" s="3">
        <v>2063</v>
      </c>
      <c r="H255" s="2" t="s">
        <v>5</v>
      </c>
      <c r="I255" s="3">
        <v>5279</v>
      </c>
      <c r="J255" s="3">
        <v>3</v>
      </c>
      <c r="K255" s="3">
        <v>1892</v>
      </c>
      <c r="L255" s="3">
        <v>1698</v>
      </c>
      <c r="M255" s="3">
        <v>1686</v>
      </c>
      <c r="O255" s="2" t="s">
        <v>5</v>
      </c>
      <c r="P255" s="3">
        <v>3930</v>
      </c>
      <c r="Q255" s="3">
        <v>1381</v>
      </c>
      <c r="R255" s="3">
        <v>1134</v>
      </c>
      <c r="S255" s="3">
        <v>792</v>
      </c>
      <c r="T255" s="3">
        <v>623</v>
      </c>
    </row>
    <row r="256" spans="1:20" x14ac:dyDescent="0.3">
      <c r="A256" s="2" t="s">
        <v>6</v>
      </c>
      <c r="B256" s="3">
        <v>469</v>
      </c>
      <c r="C256" s="4">
        <v>123</v>
      </c>
      <c r="D256" s="5">
        <v>1</v>
      </c>
      <c r="E256" s="5">
        <v>199</v>
      </c>
      <c r="F256" s="6">
        <v>147</v>
      </c>
      <c r="H256" s="2" t="s">
        <v>6</v>
      </c>
      <c r="I256" s="3">
        <v>463</v>
      </c>
      <c r="J256" s="3">
        <v>3</v>
      </c>
      <c r="K256" s="6">
        <v>154</v>
      </c>
      <c r="L256" s="5">
        <v>155</v>
      </c>
      <c r="M256" s="4">
        <v>151</v>
      </c>
      <c r="O256" s="2" t="s">
        <v>6</v>
      </c>
      <c r="P256" s="3">
        <v>407</v>
      </c>
      <c r="Q256" s="4">
        <v>38</v>
      </c>
      <c r="R256" s="5">
        <v>282</v>
      </c>
      <c r="S256" s="3">
        <v>34</v>
      </c>
      <c r="T256" s="6">
        <v>53</v>
      </c>
    </row>
    <row r="257" spans="1:20" x14ac:dyDescent="0.3">
      <c r="A257" s="2" t="s">
        <v>7</v>
      </c>
      <c r="B257" s="3" t="s">
        <v>178</v>
      </c>
      <c r="C257" s="4" t="s">
        <v>740</v>
      </c>
      <c r="D257" s="5" t="s">
        <v>48</v>
      </c>
      <c r="E257" s="5" t="s">
        <v>675</v>
      </c>
      <c r="F257" s="6" t="s">
        <v>311</v>
      </c>
      <c r="H257" s="2" t="s">
        <v>7</v>
      </c>
      <c r="I257" s="3" t="s">
        <v>1498</v>
      </c>
      <c r="J257" s="5" t="s">
        <v>48</v>
      </c>
      <c r="K257" s="3" t="s">
        <v>822</v>
      </c>
      <c r="L257" s="6" t="s">
        <v>1221</v>
      </c>
      <c r="M257" s="4" t="s">
        <v>1499</v>
      </c>
      <c r="O257" s="2" t="s">
        <v>7</v>
      </c>
      <c r="P257" s="3" t="s">
        <v>650</v>
      </c>
      <c r="Q257" s="3" t="s">
        <v>1083</v>
      </c>
      <c r="R257" s="5" t="s">
        <v>1918</v>
      </c>
      <c r="S257" s="4" t="s">
        <v>758</v>
      </c>
      <c r="T257" s="6" t="s">
        <v>242</v>
      </c>
    </row>
    <row r="258" spans="1:20" x14ac:dyDescent="0.3">
      <c r="A258" s="2" t="s">
        <v>12</v>
      </c>
      <c r="B258" s="3" t="s">
        <v>741</v>
      </c>
      <c r="C258" s="6" t="s">
        <v>742</v>
      </c>
      <c r="D258" s="3" t="s">
        <v>25</v>
      </c>
      <c r="E258" s="4" t="s">
        <v>511</v>
      </c>
      <c r="F258" s="5" t="s">
        <v>140</v>
      </c>
      <c r="H258" s="2" t="s">
        <v>12</v>
      </c>
      <c r="I258" s="3" t="s">
        <v>609</v>
      </c>
      <c r="J258" s="3" t="s">
        <v>25</v>
      </c>
      <c r="K258" s="4" t="s">
        <v>917</v>
      </c>
      <c r="L258" s="5" t="s">
        <v>118</v>
      </c>
      <c r="M258" s="6" t="s">
        <v>213</v>
      </c>
      <c r="O258" s="2" t="s">
        <v>12</v>
      </c>
      <c r="P258" s="3" t="s">
        <v>755</v>
      </c>
      <c r="Q258" s="3" t="s">
        <v>1083</v>
      </c>
      <c r="R258" s="5" t="s">
        <v>1919</v>
      </c>
      <c r="S258" s="4" t="s">
        <v>758</v>
      </c>
      <c r="T258" s="6" t="s">
        <v>325</v>
      </c>
    </row>
    <row r="259" spans="1:20" x14ac:dyDescent="0.3">
      <c r="A259" s="2" t="s">
        <v>17</v>
      </c>
      <c r="B259" s="3" t="s">
        <v>743</v>
      </c>
      <c r="C259" s="4" t="s">
        <v>744</v>
      </c>
      <c r="D259" s="5" t="s">
        <v>48</v>
      </c>
      <c r="E259" s="5" t="s">
        <v>745</v>
      </c>
      <c r="F259" s="6" t="s">
        <v>746</v>
      </c>
      <c r="H259" s="2" t="s">
        <v>17</v>
      </c>
      <c r="I259" s="3" t="s">
        <v>1500</v>
      </c>
      <c r="J259" s="5" t="s">
        <v>48</v>
      </c>
      <c r="K259" s="3" t="s">
        <v>695</v>
      </c>
      <c r="L259" s="6" t="s">
        <v>424</v>
      </c>
      <c r="M259" s="4" t="s">
        <v>69</v>
      </c>
      <c r="O259" s="2" t="s">
        <v>17</v>
      </c>
      <c r="P259" s="3" t="s">
        <v>86</v>
      </c>
      <c r="Q259" s="5" t="s">
        <v>1282</v>
      </c>
      <c r="R259" s="3" t="s">
        <v>62</v>
      </c>
      <c r="S259" s="4" t="s">
        <v>272</v>
      </c>
      <c r="T259" s="6" t="s">
        <v>869</v>
      </c>
    </row>
    <row r="260" spans="1:20" x14ac:dyDescent="0.3">
      <c r="A260" s="2" t="s">
        <v>22</v>
      </c>
      <c r="B260" s="3" t="s">
        <v>267</v>
      </c>
      <c r="C260" s="5" t="s">
        <v>257</v>
      </c>
      <c r="D260" s="5" t="s">
        <v>48</v>
      </c>
      <c r="E260" s="3" t="s">
        <v>25</v>
      </c>
      <c r="F260" s="3" t="s">
        <v>25</v>
      </c>
      <c r="H260" s="2" t="s">
        <v>22</v>
      </c>
      <c r="I260" s="3" t="s">
        <v>309</v>
      </c>
      <c r="J260" s="5" t="s">
        <v>48</v>
      </c>
      <c r="K260" s="3" t="s">
        <v>25</v>
      </c>
      <c r="L260" s="6" t="s">
        <v>268</v>
      </c>
      <c r="M260" s="3" t="s">
        <v>25</v>
      </c>
      <c r="O260" s="2" t="s">
        <v>22</v>
      </c>
      <c r="P260" s="3" t="s">
        <v>552</v>
      </c>
      <c r="Q260" s="5" t="s">
        <v>138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194</v>
      </c>
      <c r="C261" s="8">
        <v>64</v>
      </c>
      <c r="D261" s="8">
        <v>0</v>
      </c>
      <c r="E261" s="8">
        <v>37</v>
      </c>
      <c r="F261" s="8">
        <v>93</v>
      </c>
      <c r="H261" s="7" t="s">
        <v>26</v>
      </c>
      <c r="I261" s="8">
        <v>287</v>
      </c>
      <c r="J261" s="8">
        <v>0</v>
      </c>
      <c r="K261" s="8">
        <v>98</v>
      </c>
      <c r="L261" s="8">
        <v>95</v>
      </c>
      <c r="M261" s="8">
        <v>94</v>
      </c>
      <c r="O261" s="7" t="s">
        <v>26</v>
      </c>
      <c r="P261" s="8">
        <v>403</v>
      </c>
      <c r="Q261" s="8">
        <v>38</v>
      </c>
      <c r="R261" s="8">
        <v>281</v>
      </c>
      <c r="S261" s="8">
        <v>34</v>
      </c>
      <c r="T261" s="8">
        <v>50</v>
      </c>
    </row>
    <row r="262" spans="1:20" x14ac:dyDescent="0.3">
      <c r="A262" s="9" t="s">
        <v>27</v>
      </c>
      <c r="B262" s="10">
        <v>176</v>
      </c>
      <c r="C262" s="10">
        <v>54</v>
      </c>
      <c r="D262" s="10">
        <v>0</v>
      </c>
      <c r="E262" s="10">
        <v>34</v>
      </c>
      <c r="F262" s="10">
        <v>88</v>
      </c>
      <c r="H262" s="9" t="s">
        <v>27</v>
      </c>
      <c r="I262" s="10">
        <v>277</v>
      </c>
      <c r="J262" s="10">
        <v>0</v>
      </c>
      <c r="K262" s="10">
        <v>94</v>
      </c>
      <c r="L262" s="10">
        <v>89</v>
      </c>
      <c r="M262" s="10">
        <v>94</v>
      </c>
      <c r="O262" s="9" t="s">
        <v>27</v>
      </c>
      <c r="P262" s="10">
        <v>106</v>
      </c>
      <c r="Q262" s="10">
        <v>35</v>
      </c>
      <c r="R262" s="10">
        <v>24</v>
      </c>
      <c r="S262" s="10">
        <v>21</v>
      </c>
      <c r="T262" s="10">
        <v>26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1</v>
      </c>
      <c r="J263" s="10">
        <v>0</v>
      </c>
      <c r="K263" s="10">
        <v>1</v>
      </c>
      <c r="L263" s="10">
        <v>0</v>
      </c>
      <c r="M263" s="10">
        <v>0</v>
      </c>
      <c r="O263" s="9" t="s">
        <v>28</v>
      </c>
      <c r="P263" s="10">
        <v>258</v>
      </c>
      <c r="Q263" s="10">
        <v>0</v>
      </c>
      <c r="R263" s="10">
        <v>242</v>
      </c>
      <c r="S263" s="10">
        <v>6</v>
      </c>
      <c r="T263" s="10">
        <v>10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18</v>
      </c>
      <c r="C265" s="10">
        <v>10</v>
      </c>
      <c r="D265" s="10">
        <v>0</v>
      </c>
      <c r="E265" s="10">
        <v>3</v>
      </c>
      <c r="F265" s="10">
        <v>5</v>
      </c>
      <c r="H265" s="9" t="s">
        <v>30</v>
      </c>
      <c r="I265" s="10">
        <v>9</v>
      </c>
      <c r="J265" s="10">
        <v>0</v>
      </c>
      <c r="K265" s="10">
        <v>3</v>
      </c>
      <c r="L265" s="10">
        <v>6</v>
      </c>
      <c r="M265" s="10">
        <v>0</v>
      </c>
      <c r="O265" s="9" t="s">
        <v>30</v>
      </c>
      <c r="P265" s="10">
        <v>39</v>
      </c>
      <c r="Q265" s="10">
        <v>3</v>
      </c>
      <c r="R265" s="10">
        <v>15</v>
      </c>
      <c r="S265" s="10">
        <v>7</v>
      </c>
      <c r="T265" s="10">
        <v>14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226</v>
      </c>
      <c r="C267" s="12">
        <v>42</v>
      </c>
      <c r="D267" s="12">
        <v>1</v>
      </c>
      <c r="E267" s="12">
        <v>146</v>
      </c>
      <c r="F267" s="12">
        <v>37</v>
      </c>
      <c r="H267" s="11" t="s">
        <v>32</v>
      </c>
      <c r="I267" s="12">
        <v>176</v>
      </c>
      <c r="J267" s="12">
        <v>3</v>
      </c>
      <c r="K267" s="12">
        <v>56</v>
      </c>
      <c r="L267" s="12">
        <v>60</v>
      </c>
      <c r="M267" s="12">
        <v>57</v>
      </c>
      <c r="O267" s="11" t="s">
        <v>32</v>
      </c>
      <c r="P267" s="12">
        <v>35</v>
      </c>
      <c r="Q267" s="12">
        <v>14</v>
      </c>
      <c r="R267" s="12">
        <v>8</v>
      </c>
      <c r="S267" s="12">
        <v>7</v>
      </c>
      <c r="T267" s="12">
        <v>6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3</v>
      </c>
      <c r="J268" s="14">
        <v>0</v>
      </c>
      <c r="K268" s="14">
        <v>1</v>
      </c>
      <c r="L268" s="14">
        <v>2</v>
      </c>
      <c r="M268" s="14">
        <v>0</v>
      </c>
      <c r="O268" s="13" t="s">
        <v>33</v>
      </c>
      <c r="P268" s="14">
        <v>4</v>
      </c>
      <c r="Q268" s="14">
        <v>0</v>
      </c>
      <c r="R268" s="14">
        <v>1</v>
      </c>
      <c r="S268" s="14">
        <v>0</v>
      </c>
      <c r="T268" s="14">
        <v>3</v>
      </c>
    </row>
    <row r="269" spans="1:20" x14ac:dyDescent="0.3">
      <c r="A269" s="13" t="s">
        <v>34</v>
      </c>
      <c r="B269" s="14">
        <v>226</v>
      </c>
      <c r="C269" s="14">
        <v>42</v>
      </c>
      <c r="D269" s="14">
        <v>1</v>
      </c>
      <c r="E269" s="14">
        <v>146</v>
      </c>
      <c r="F269" s="14">
        <v>37</v>
      </c>
      <c r="H269" s="13" t="s">
        <v>34</v>
      </c>
      <c r="I269" s="14">
        <v>173</v>
      </c>
      <c r="J269" s="14">
        <v>3</v>
      </c>
      <c r="K269" s="14">
        <v>55</v>
      </c>
      <c r="L269" s="14">
        <v>58</v>
      </c>
      <c r="M269" s="14">
        <v>57</v>
      </c>
      <c r="O269" s="13" t="s">
        <v>34</v>
      </c>
      <c r="P269" s="14">
        <v>31</v>
      </c>
      <c r="Q269" s="14">
        <v>14</v>
      </c>
      <c r="R269" s="14">
        <v>7</v>
      </c>
      <c r="S269" s="14">
        <v>7</v>
      </c>
      <c r="T269" s="14">
        <v>3</v>
      </c>
    </row>
    <row r="270" spans="1:20" x14ac:dyDescent="0.3">
      <c r="A270" s="15" t="s">
        <v>35</v>
      </c>
      <c r="B270" s="16">
        <v>1</v>
      </c>
      <c r="C270" s="16">
        <v>1</v>
      </c>
      <c r="D270" s="16">
        <v>1</v>
      </c>
      <c r="E270" s="16">
        <v>0</v>
      </c>
      <c r="F270" s="16">
        <v>0</v>
      </c>
      <c r="H270" s="15" t="s">
        <v>35</v>
      </c>
      <c r="I270" s="16">
        <v>4</v>
      </c>
      <c r="J270" s="16">
        <v>3</v>
      </c>
      <c r="K270" s="16">
        <v>0</v>
      </c>
      <c r="L270" s="16">
        <v>1</v>
      </c>
      <c r="M270" s="16">
        <v>0</v>
      </c>
      <c r="O270" s="15" t="s">
        <v>35</v>
      </c>
      <c r="P270" s="16">
        <v>1</v>
      </c>
      <c r="Q270" s="16">
        <v>1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1</v>
      </c>
      <c r="C272" s="18">
        <v>1</v>
      </c>
      <c r="D272" s="18">
        <v>1</v>
      </c>
      <c r="E272" s="18">
        <v>0</v>
      </c>
      <c r="F272" s="18">
        <v>0</v>
      </c>
      <c r="H272" s="17" t="s">
        <v>37</v>
      </c>
      <c r="I272" s="78">
        <v>4</v>
      </c>
      <c r="J272" s="78">
        <v>3</v>
      </c>
      <c r="K272" s="78">
        <v>0</v>
      </c>
      <c r="L272" s="78">
        <v>1</v>
      </c>
      <c r="M272" s="78">
        <v>0</v>
      </c>
      <c r="O272" s="17" t="s">
        <v>37</v>
      </c>
      <c r="P272" s="130">
        <v>1</v>
      </c>
      <c r="Q272" s="130">
        <v>1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72" t="s">
        <v>747</v>
      </c>
      <c r="C273" s="173"/>
      <c r="D273" s="173"/>
      <c r="E273" s="173"/>
      <c r="F273" s="173"/>
      <c r="H273" s="17" t="s">
        <v>38</v>
      </c>
      <c r="I273" s="167" t="s">
        <v>1501</v>
      </c>
      <c r="J273" s="168"/>
      <c r="K273" s="168"/>
      <c r="L273" s="168"/>
      <c r="M273" s="168"/>
      <c r="O273" s="17" t="s">
        <v>38</v>
      </c>
      <c r="P273" s="167" t="s">
        <v>1920</v>
      </c>
      <c r="Q273" s="168"/>
      <c r="R273" s="168"/>
      <c r="S273" s="168"/>
      <c r="T273" s="168"/>
    </row>
    <row r="274" spans="1:20" ht="19.8" x14ac:dyDescent="0.3">
      <c r="A274" s="170">
        <v>46101</v>
      </c>
      <c r="B274" s="168"/>
      <c r="C274" s="168"/>
      <c r="D274" s="168"/>
      <c r="E274" s="168"/>
      <c r="F274" s="168"/>
      <c r="H274" s="171">
        <v>46128</v>
      </c>
      <c r="I274" s="171"/>
      <c r="J274" s="171"/>
      <c r="K274" s="171"/>
      <c r="L274" s="171"/>
      <c r="M274" s="171"/>
      <c r="O274" s="170">
        <v>46160</v>
      </c>
      <c r="P274" s="168"/>
      <c r="Q274" s="168"/>
      <c r="R274" s="168"/>
      <c r="S274" s="168"/>
      <c r="T274" s="168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642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6561</v>
      </c>
      <c r="C276" s="3">
        <v>2014</v>
      </c>
      <c r="D276" s="3">
        <v>2492</v>
      </c>
      <c r="E276" s="3">
        <v>53</v>
      </c>
      <c r="F276" s="3">
        <v>2002</v>
      </c>
      <c r="H276" s="2" t="s">
        <v>5</v>
      </c>
      <c r="I276" s="3">
        <v>6610</v>
      </c>
      <c r="J276" s="3">
        <v>0</v>
      </c>
      <c r="K276" s="3">
        <v>2282</v>
      </c>
      <c r="L276" s="3">
        <v>2249</v>
      </c>
      <c r="M276" s="3">
        <v>2079</v>
      </c>
      <c r="O276" s="2" t="s">
        <v>5</v>
      </c>
      <c r="P276" s="3">
        <v>3527</v>
      </c>
      <c r="Q276" s="3">
        <v>1226</v>
      </c>
      <c r="R276" s="3">
        <v>0</v>
      </c>
      <c r="S276" s="3">
        <v>1113</v>
      </c>
      <c r="T276" s="3">
        <v>1188</v>
      </c>
    </row>
    <row r="277" spans="1:20" x14ac:dyDescent="0.3">
      <c r="A277" s="2" t="s">
        <v>6</v>
      </c>
      <c r="B277" s="3">
        <v>1059</v>
      </c>
      <c r="C277" s="4">
        <v>185</v>
      </c>
      <c r="D277" s="5">
        <v>535</v>
      </c>
      <c r="E277" s="3">
        <v>43</v>
      </c>
      <c r="F277" s="6">
        <v>296</v>
      </c>
      <c r="H277" s="2" t="s">
        <v>6</v>
      </c>
      <c r="I277" s="3">
        <v>740</v>
      </c>
      <c r="J277" s="3">
        <v>0</v>
      </c>
      <c r="K277" s="6">
        <v>245</v>
      </c>
      <c r="L277" s="4">
        <v>238</v>
      </c>
      <c r="M277" s="5">
        <v>257</v>
      </c>
      <c r="O277" s="2" t="s">
        <v>6</v>
      </c>
      <c r="P277" s="3">
        <v>264</v>
      </c>
      <c r="Q277" s="4">
        <v>46</v>
      </c>
      <c r="R277" s="3">
        <v>0</v>
      </c>
      <c r="S277" s="6">
        <v>55</v>
      </c>
      <c r="T277" s="5">
        <v>163</v>
      </c>
    </row>
    <row r="278" spans="1:20" x14ac:dyDescent="0.3">
      <c r="A278" s="2" t="s">
        <v>7</v>
      </c>
      <c r="B278" s="3" t="s">
        <v>24</v>
      </c>
      <c r="C278" s="3" t="s">
        <v>781</v>
      </c>
      <c r="D278" s="6" t="s">
        <v>782</v>
      </c>
      <c r="E278" s="5" t="s">
        <v>783</v>
      </c>
      <c r="F278" s="4" t="s">
        <v>784</v>
      </c>
      <c r="H278" s="2" t="s">
        <v>7</v>
      </c>
      <c r="I278" s="3" t="s">
        <v>1514</v>
      </c>
      <c r="J278" s="3">
        <v>0</v>
      </c>
      <c r="K278" s="6" t="s">
        <v>1507</v>
      </c>
      <c r="L278" s="4" t="s">
        <v>1367</v>
      </c>
      <c r="M278" s="5" t="s">
        <v>1024</v>
      </c>
      <c r="O278" s="2" t="s">
        <v>7</v>
      </c>
      <c r="P278" s="3" t="s">
        <v>984</v>
      </c>
      <c r="Q278" s="4" t="s">
        <v>992</v>
      </c>
      <c r="R278" s="3">
        <v>0</v>
      </c>
      <c r="S278" s="6" t="s">
        <v>1569</v>
      </c>
      <c r="T278" s="5" t="s">
        <v>1815</v>
      </c>
    </row>
    <row r="279" spans="1:20" x14ac:dyDescent="0.3">
      <c r="A279" s="2" t="s">
        <v>12</v>
      </c>
      <c r="B279" s="3" t="s">
        <v>785</v>
      </c>
      <c r="C279" s="4" t="s">
        <v>786</v>
      </c>
      <c r="D279" s="5" t="s">
        <v>787</v>
      </c>
      <c r="E279" s="3" t="s">
        <v>25</v>
      </c>
      <c r="F279" s="6" t="s">
        <v>788</v>
      </c>
      <c r="H279" s="2" t="s">
        <v>12</v>
      </c>
      <c r="I279" s="3" t="s">
        <v>963</v>
      </c>
      <c r="J279" s="3">
        <v>0</v>
      </c>
      <c r="K279" s="6" t="s">
        <v>1515</v>
      </c>
      <c r="L279" s="4" t="s">
        <v>345</v>
      </c>
      <c r="M279" s="5" t="s">
        <v>218</v>
      </c>
      <c r="O279" s="2" t="s">
        <v>12</v>
      </c>
      <c r="P279" s="3" t="s">
        <v>448</v>
      </c>
      <c r="Q279" s="4" t="s">
        <v>539</v>
      </c>
      <c r="R279" s="3">
        <v>0</v>
      </c>
      <c r="S279" s="6" t="s">
        <v>1384</v>
      </c>
      <c r="T279" s="5" t="s">
        <v>1926</v>
      </c>
    </row>
    <row r="280" spans="1:20" x14ac:dyDescent="0.3">
      <c r="A280" s="2" t="s">
        <v>17</v>
      </c>
      <c r="B280" s="3" t="s">
        <v>462</v>
      </c>
      <c r="C280" s="4" t="s">
        <v>789</v>
      </c>
      <c r="D280" s="6" t="s">
        <v>8</v>
      </c>
      <c r="E280" s="5" t="s">
        <v>783</v>
      </c>
      <c r="F280" s="3" t="s">
        <v>790</v>
      </c>
      <c r="H280" s="2" t="s">
        <v>17</v>
      </c>
      <c r="I280" s="3" t="s">
        <v>1036</v>
      </c>
      <c r="J280" s="3" t="s">
        <v>25</v>
      </c>
      <c r="K280" s="4" t="s">
        <v>1240</v>
      </c>
      <c r="L280" s="5" t="s">
        <v>1126</v>
      </c>
      <c r="M280" s="6" t="s">
        <v>564</v>
      </c>
      <c r="O280" s="2" t="s">
        <v>17</v>
      </c>
      <c r="P280" s="3" t="s">
        <v>806</v>
      </c>
      <c r="Q280" s="6" t="s">
        <v>405</v>
      </c>
      <c r="R280" s="3" t="s">
        <v>25</v>
      </c>
      <c r="S280" s="4" t="s">
        <v>64</v>
      </c>
      <c r="T280" s="5" t="s">
        <v>277</v>
      </c>
    </row>
    <row r="281" spans="1:20" x14ac:dyDescent="0.3">
      <c r="A281" s="2" t="s">
        <v>22</v>
      </c>
      <c r="B281" s="3" t="s">
        <v>791</v>
      </c>
      <c r="C281" s="5" t="s">
        <v>792</v>
      </c>
      <c r="D281" s="3" t="s">
        <v>25</v>
      </c>
      <c r="E281" s="6" t="s">
        <v>190</v>
      </c>
      <c r="F281" s="3" t="s">
        <v>25</v>
      </c>
      <c r="H281" s="2" t="s">
        <v>22</v>
      </c>
      <c r="I281" s="3" t="s">
        <v>267</v>
      </c>
      <c r="J281" s="3" t="s">
        <v>25</v>
      </c>
      <c r="K281" s="3" t="s">
        <v>25</v>
      </c>
      <c r="L281" s="3" t="s">
        <v>25</v>
      </c>
      <c r="M281" s="5" t="s">
        <v>158</v>
      </c>
      <c r="O281" s="2" t="s">
        <v>22</v>
      </c>
      <c r="P281" s="3" t="s">
        <v>552</v>
      </c>
      <c r="Q281" s="5" t="s">
        <v>309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594</v>
      </c>
      <c r="C282" s="8">
        <v>69</v>
      </c>
      <c r="D282" s="8">
        <v>348</v>
      </c>
      <c r="E282" s="8">
        <v>0</v>
      </c>
      <c r="F282" s="8">
        <v>177</v>
      </c>
      <c r="H282" s="7" t="s">
        <v>26</v>
      </c>
      <c r="I282" s="8">
        <v>280</v>
      </c>
      <c r="J282" s="8">
        <v>0</v>
      </c>
      <c r="K282" s="8">
        <v>104</v>
      </c>
      <c r="L282" s="8">
        <v>66</v>
      </c>
      <c r="M282" s="8">
        <v>110</v>
      </c>
      <c r="O282" s="7" t="s">
        <v>26</v>
      </c>
      <c r="P282" s="8">
        <v>256</v>
      </c>
      <c r="Q282" s="8">
        <v>43</v>
      </c>
      <c r="R282" s="8">
        <v>0</v>
      </c>
      <c r="S282" s="8">
        <v>52</v>
      </c>
      <c r="T282" s="8">
        <v>161</v>
      </c>
    </row>
    <row r="283" spans="1:20" x14ac:dyDescent="0.3">
      <c r="A283" s="9" t="s">
        <v>27</v>
      </c>
      <c r="B283" s="10">
        <v>317</v>
      </c>
      <c r="C283" s="10">
        <v>63</v>
      </c>
      <c r="D283" s="10">
        <v>106</v>
      </c>
      <c r="E283" s="10">
        <v>0</v>
      </c>
      <c r="F283" s="10">
        <v>148</v>
      </c>
      <c r="H283" s="9" t="s">
        <v>27</v>
      </c>
      <c r="I283" s="10">
        <v>141</v>
      </c>
      <c r="J283" s="10">
        <v>0</v>
      </c>
      <c r="K283" s="10">
        <v>48</v>
      </c>
      <c r="L283" s="10">
        <v>51</v>
      </c>
      <c r="M283" s="10">
        <v>42</v>
      </c>
      <c r="O283" s="9" t="s">
        <v>27</v>
      </c>
      <c r="P283" s="10">
        <v>105</v>
      </c>
      <c r="Q283" s="10">
        <v>40</v>
      </c>
      <c r="R283" s="10">
        <v>0</v>
      </c>
      <c r="S283" s="10">
        <v>23</v>
      </c>
      <c r="T283" s="10">
        <v>42</v>
      </c>
    </row>
    <row r="284" spans="1:20" x14ac:dyDescent="0.3">
      <c r="A284" s="9" t="s">
        <v>28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H284" s="9" t="s">
        <v>28</v>
      </c>
      <c r="I284" s="10">
        <v>50</v>
      </c>
      <c r="J284" s="10">
        <v>0</v>
      </c>
      <c r="K284" s="10">
        <v>20</v>
      </c>
      <c r="L284" s="10">
        <v>4</v>
      </c>
      <c r="M284" s="10">
        <v>26</v>
      </c>
      <c r="O284" s="9" t="s">
        <v>28</v>
      </c>
      <c r="P284" s="10">
        <v>103</v>
      </c>
      <c r="Q284" s="10">
        <v>0</v>
      </c>
      <c r="R284" s="10">
        <v>0</v>
      </c>
      <c r="S284" s="10">
        <v>11</v>
      </c>
      <c r="T284" s="10">
        <v>92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277</v>
      </c>
      <c r="C286" s="10">
        <v>6</v>
      </c>
      <c r="D286" s="10">
        <v>242</v>
      </c>
      <c r="E286" s="10">
        <v>0</v>
      </c>
      <c r="F286" s="10">
        <v>29</v>
      </c>
      <c r="H286" s="9" t="s">
        <v>30</v>
      </c>
      <c r="I286" s="10">
        <v>89</v>
      </c>
      <c r="J286" s="10">
        <v>0</v>
      </c>
      <c r="K286" s="10">
        <v>36</v>
      </c>
      <c r="L286" s="10">
        <v>11</v>
      </c>
      <c r="M286" s="10">
        <v>42</v>
      </c>
      <c r="O286" s="9" t="s">
        <v>30</v>
      </c>
      <c r="P286" s="10">
        <v>48</v>
      </c>
      <c r="Q286" s="10">
        <v>3</v>
      </c>
      <c r="R286" s="10">
        <v>0</v>
      </c>
      <c r="S286" s="10">
        <v>18</v>
      </c>
      <c r="T286" s="10">
        <v>27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710</v>
      </c>
      <c r="C288" s="12">
        <v>105</v>
      </c>
      <c r="D288" s="12">
        <v>458</v>
      </c>
      <c r="E288" s="12">
        <v>43</v>
      </c>
      <c r="F288" s="12">
        <v>104</v>
      </c>
      <c r="H288" s="11" t="s">
        <v>32</v>
      </c>
      <c r="I288" s="12">
        <v>461</v>
      </c>
      <c r="J288" s="12">
        <v>0</v>
      </c>
      <c r="K288" s="12">
        <v>142</v>
      </c>
      <c r="L288" s="12">
        <v>171</v>
      </c>
      <c r="M288" s="12">
        <v>148</v>
      </c>
      <c r="O288" s="11" t="s">
        <v>32</v>
      </c>
      <c r="P288" s="12">
        <v>37</v>
      </c>
      <c r="Q288" s="12">
        <v>13</v>
      </c>
      <c r="R288" s="12">
        <v>0</v>
      </c>
      <c r="S288" s="12">
        <v>9</v>
      </c>
      <c r="T288" s="12">
        <v>15</v>
      </c>
    </row>
    <row r="289" spans="1:20" x14ac:dyDescent="0.3">
      <c r="A289" s="13" t="s">
        <v>33</v>
      </c>
      <c r="B289" s="14">
        <v>87</v>
      </c>
      <c r="C289" s="14">
        <v>28</v>
      </c>
      <c r="D289" s="14">
        <v>26</v>
      </c>
      <c r="E289" s="14">
        <v>2</v>
      </c>
      <c r="F289" s="14">
        <v>31</v>
      </c>
      <c r="H289" s="13" t="s">
        <v>33</v>
      </c>
      <c r="I289" s="14">
        <v>6</v>
      </c>
      <c r="J289" s="14">
        <v>0</v>
      </c>
      <c r="K289" s="14">
        <v>1</v>
      </c>
      <c r="L289" s="14">
        <v>3</v>
      </c>
      <c r="M289" s="14">
        <v>2</v>
      </c>
      <c r="O289" s="13" t="s">
        <v>33</v>
      </c>
      <c r="P289" s="14">
        <v>8</v>
      </c>
      <c r="Q289" s="14">
        <v>3</v>
      </c>
      <c r="R289" s="14">
        <v>0</v>
      </c>
      <c r="S289" s="14">
        <v>3</v>
      </c>
      <c r="T289" s="14">
        <v>2</v>
      </c>
    </row>
    <row r="290" spans="1:20" x14ac:dyDescent="0.3">
      <c r="A290" s="13" t="s">
        <v>34</v>
      </c>
      <c r="B290" s="14">
        <v>623</v>
      </c>
      <c r="C290" s="14">
        <v>77</v>
      </c>
      <c r="D290" s="14">
        <v>432</v>
      </c>
      <c r="E290" s="14">
        <v>41</v>
      </c>
      <c r="F290" s="14">
        <v>73</v>
      </c>
      <c r="H290" s="13" t="s">
        <v>34</v>
      </c>
      <c r="I290" s="14">
        <v>455</v>
      </c>
      <c r="J290" s="14">
        <v>0</v>
      </c>
      <c r="K290" s="14">
        <v>141</v>
      </c>
      <c r="L290" s="14">
        <v>168</v>
      </c>
      <c r="M290" s="14">
        <v>146</v>
      </c>
      <c r="O290" s="13" t="s">
        <v>34</v>
      </c>
      <c r="P290" s="14">
        <v>29</v>
      </c>
      <c r="Q290" s="14">
        <v>10</v>
      </c>
      <c r="R290" s="14">
        <v>0</v>
      </c>
      <c r="S290" s="14">
        <v>6</v>
      </c>
      <c r="T290" s="14">
        <v>13</v>
      </c>
    </row>
    <row r="291" spans="1:20" x14ac:dyDescent="0.3">
      <c r="A291" s="15" t="s">
        <v>35</v>
      </c>
      <c r="B291" s="16">
        <v>176</v>
      </c>
      <c r="C291" s="16">
        <v>174</v>
      </c>
      <c r="D291" s="16">
        <v>0</v>
      </c>
      <c r="E291" s="16">
        <v>2</v>
      </c>
      <c r="F291" s="16">
        <v>0</v>
      </c>
      <c r="H291" s="15" t="s">
        <v>35</v>
      </c>
      <c r="I291" s="16">
        <v>1</v>
      </c>
      <c r="J291" s="16">
        <v>0</v>
      </c>
      <c r="K291" s="16">
        <v>0</v>
      </c>
      <c r="L291" s="16">
        <v>0</v>
      </c>
      <c r="M291" s="16">
        <v>1</v>
      </c>
      <c r="O291" s="15" t="s">
        <v>35</v>
      </c>
      <c r="P291" s="16">
        <v>1</v>
      </c>
      <c r="Q291" s="16">
        <v>1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1</v>
      </c>
      <c r="J292" s="99">
        <v>0</v>
      </c>
      <c r="K292" s="88">
        <v>0</v>
      </c>
      <c r="L292" s="88">
        <v>0</v>
      </c>
      <c r="M292" s="88">
        <v>1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176</v>
      </c>
      <c r="C293" s="18">
        <v>174</v>
      </c>
      <c r="D293" s="18">
        <v>0</v>
      </c>
      <c r="E293" s="18">
        <v>2</v>
      </c>
      <c r="F293" s="18">
        <v>0</v>
      </c>
      <c r="H293" s="17" t="s">
        <v>37</v>
      </c>
      <c r="I293" s="88">
        <v>0</v>
      </c>
      <c r="J293" s="99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1</v>
      </c>
      <c r="Q293" s="130">
        <v>1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67" t="s">
        <v>793</v>
      </c>
      <c r="C294" s="168"/>
      <c r="D294" s="168"/>
      <c r="E294" s="168"/>
      <c r="F294" s="168"/>
      <c r="H294" s="17" t="s">
        <v>38</v>
      </c>
      <c r="I294" s="172" t="s">
        <v>1179</v>
      </c>
      <c r="J294" s="173"/>
      <c r="K294" s="173"/>
      <c r="L294" s="173"/>
      <c r="M294" s="173"/>
      <c r="O294" s="17" t="s">
        <v>38</v>
      </c>
      <c r="P294" s="172" t="s">
        <v>1920</v>
      </c>
      <c r="Q294" s="173"/>
      <c r="R294" s="173"/>
      <c r="S294" s="173"/>
      <c r="T294" s="173"/>
    </row>
    <row r="295" spans="1:20" ht="19.8" x14ac:dyDescent="0.3">
      <c r="A295" s="171">
        <v>46102</v>
      </c>
      <c r="B295" s="171"/>
      <c r="C295" s="171"/>
      <c r="D295" s="171"/>
      <c r="E295" s="171"/>
      <c r="F295" s="171"/>
      <c r="H295" s="171">
        <v>46129</v>
      </c>
      <c r="I295" s="171"/>
      <c r="J295" s="171"/>
      <c r="K295" s="171"/>
      <c r="L295" s="171"/>
      <c r="M295" s="171"/>
      <c r="O295" s="171">
        <v>46161</v>
      </c>
      <c r="P295" s="171"/>
      <c r="Q295" s="171"/>
      <c r="R295" s="171"/>
      <c r="S295" s="171"/>
      <c r="T295" s="171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870</v>
      </c>
      <c r="F296" s="1" t="s">
        <v>4</v>
      </c>
      <c r="H296" s="1" t="s">
        <v>0</v>
      </c>
      <c r="I296" s="1" t="s">
        <v>1</v>
      </c>
      <c r="J296" s="1" t="s">
        <v>642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6335</v>
      </c>
      <c r="C297" s="3">
        <v>2087</v>
      </c>
      <c r="D297" s="3">
        <v>2134</v>
      </c>
      <c r="E297" s="3">
        <v>0</v>
      </c>
      <c r="F297" s="3">
        <v>2114</v>
      </c>
      <c r="H297" s="2" t="s">
        <v>5</v>
      </c>
      <c r="I297" s="3">
        <v>5654</v>
      </c>
      <c r="J297" s="3">
        <v>0</v>
      </c>
      <c r="K297" s="3">
        <v>1913</v>
      </c>
      <c r="L297" s="3">
        <v>1972</v>
      </c>
      <c r="M297" s="3">
        <v>1769</v>
      </c>
      <c r="O297" s="2" t="s">
        <v>5</v>
      </c>
      <c r="P297" s="3">
        <v>4169</v>
      </c>
      <c r="Q297" s="3">
        <v>1526</v>
      </c>
      <c r="R297" s="3">
        <v>0</v>
      </c>
      <c r="S297" s="3">
        <v>1265</v>
      </c>
      <c r="T297" s="3">
        <v>1378</v>
      </c>
    </row>
    <row r="298" spans="1:20" x14ac:dyDescent="0.3">
      <c r="A298" s="2" t="s">
        <v>6</v>
      </c>
      <c r="B298" s="3">
        <v>673</v>
      </c>
      <c r="C298" s="6">
        <v>227</v>
      </c>
      <c r="D298" s="4">
        <v>218</v>
      </c>
      <c r="E298" s="3">
        <v>0</v>
      </c>
      <c r="F298" s="5">
        <v>228</v>
      </c>
      <c r="H298" s="2" t="s">
        <v>6</v>
      </c>
      <c r="I298" s="3">
        <v>437</v>
      </c>
      <c r="J298" s="3">
        <v>0</v>
      </c>
      <c r="K298" s="5">
        <v>208</v>
      </c>
      <c r="L298" s="4">
        <v>93</v>
      </c>
      <c r="M298" s="6">
        <v>136</v>
      </c>
      <c r="O298" s="2" t="s">
        <v>6</v>
      </c>
      <c r="P298" s="3">
        <v>267</v>
      </c>
      <c r="Q298" s="4">
        <v>57</v>
      </c>
      <c r="R298" s="3">
        <v>0</v>
      </c>
      <c r="S298" s="6">
        <v>58</v>
      </c>
      <c r="T298" s="5">
        <v>152</v>
      </c>
    </row>
    <row r="299" spans="1:20" x14ac:dyDescent="0.3">
      <c r="A299" s="2" t="s">
        <v>7</v>
      </c>
      <c r="B299" s="3" t="s">
        <v>825</v>
      </c>
      <c r="C299" s="5" t="s">
        <v>260</v>
      </c>
      <c r="D299" s="4" t="s">
        <v>826</v>
      </c>
      <c r="E299" s="3">
        <v>0</v>
      </c>
      <c r="F299" s="6" t="s">
        <v>827</v>
      </c>
      <c r="H299" s="2" t="s">
        <v>7</v>
      </c>
      <c r="I299" s="3" t="s">
        <v>1532</v>
      </c>
      <c r="J299" s="3">
        <v>0</v>
      </c>
      <c r="K299" s="5" t="s">
        <v>1162</v>
      </c>
      <c r="L299" s="4" t="s">
        <v>1366</v>
      </c>
      <c r="M299" s="6" t="s">
        <v>178</v>
      </c>
      <c r="O299" s="2" t="s">
        <v>7</v>
      </c>
      <c r="P299" s="3" t="s">
        <v>1280</v>
      </c>
      <c r="Q299" s="4" t="s">
        <v>1094</v>
      </c>
      <c r="R299" s="3">
        <v>0</v>
      </c>
      <c r="S299" s="6" t="s">
        <v>677</v>
      </c>
      <c r="T299" s="5" t="s">
        <v>1941</v>
      </c>
    </row>
    <row r="300" spans="1:20" x14ac:dyDescent="0.3">
      <c r="A300" s="2" t="s">
        <v>12</v>
      </c>
      <c r="B300" s="3" t="s">
        <v>21</v>
      </c>
      <c r="C300" s="5" t="s">
        <v>828</v>
      </c>
      <c r="D300" s="4" t="s">
        <v>705</v>
      </c>
      <c r="E300" s="3">
        <v>0</v>
      </c>
      <c r="F300" s="6" t="s">
        <v>829</v>
      </c>
      <c r="H300" s="2" t="s">
        <v>12</v>
      </c>
      <c r="I300" s="3" t="s">
        <v>307</v>
      </c>
      <c r="J300" s="3">
        <v>0</v>
      </c>
      <c r="K300" s="5" t="s">
        <v>312</v>
      </c>
      <c r="L300" s="4" t="s">
        <v>72</v>
      </c>
      <c r="M300" s="6" t="s">
        <v>1533</v>
      </c>
      <c r="O300" s="2" t="s">
        <v>12</v>
      </c>
      <c r="P300" s="3" t="s">
        <v>902</v>
      </c>
      <c r="Q300" s="4" t="s">
        <v>770</v>
      </c>
      <c r="R300" s="3">
        <v>0</v>
      </c>
      <c r="S300" s="6" t="s">
        <v>1224</v>
      </c>
      <c r="T300" s="5" t="s">
        <v>1942</v>
      </c>
    </row>
    <row r="301" spans="1:20" x14ac:dyDescent="0.3">
      <c r="A301" s="2" t="s">
        <v>17</v>
      </c>
      <c r="B301" s="3" t="s">
        <v>47</v>
      </c>
      <c r="C301" s="4" t="s">
        <v>81</v>
      </c>
      <c r="D301" s="5" t="s">
        <v>148</v>
      </c>
      <c r="E301" s="3" t="s">
        <v>25</v>
      </c>
      <c r="F301" s="6" t="s">
        <v>136</v>
      </c>
      <c r="H301" s="2" t="s">
        <v>17</v>
      </c>
      <c r="I301" s="3" t="s">
        <v>199</v>
      </c>
      <c r="J301" s="3" t="s">
        <v>25</v>
      </c>
      <c r="K301" s="5" t="s">
        <v>279</v>
      </c>
      <c r="L301" s="4" t="s">
        <v>236</v>
      </c>
      <c r="M301" s="6" t="s">
        <v>775</v>
      </c>
      <c r="O301" s="2" t="s">
        <v>17</v>
      </c>
      <c r="P301" s="3" t="s">
        <v>451</v>
      </c>
      <c r="Q301" s="4" t="s">
        <v>499</v>
      </c>
      <c r="R301" s="3" t="s">
        <v>25</v>
      </c>
      <c r="S301" s="5" t="s">
        <v>472</v>
      </c>
      <c r="T301" s="6" t="s">
        <v>185</v>
      </c>
    </row>
    <row r="302" spans="1:20" x14ac:dyDescent="0.3">
      <c r="A302" s="2" t="s">
        <v>22</v>
      </c>
      <c r="B302" s="3" t="s">
        <v>830</v>
      </c>
      <c r="C302" s="5" t="s">
        <v>106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651</v>
      </c>
      <c r="C303" s="8">
        <v>222</v>
      </c>
      <c r="D303" s="8">
        <v>207</v>
      </c>
      <c r="E303" s="8">
        <v>0</v>
      </c>
      <c r="F303" s="8">
        <v>222</v>
      </c>
      <c r="H303" s="7" t="s">
        <v>26</v>
      </c>
      <c r="I303" s="8">
        <v>337</v>
      </c>
      <c r="J303" s="8">
        <v>0</v>
      </c>
      <c r="K303" s="8">
        <v>169</v>
      </c>
      <c r="L303" s="8">
        <v>64</v>
      </c>
      <c r="M303" s="8">
        <v>104</v>
      </c>
      <c r="O303" s="7" t="s">
        <v>26</v>
      </c>
      <c r="P303" s="8">
        <v>253</v>
      </c>
      <c r="Q303" s="8">
        <v>53</v>
      </c>
      <c r="R303" s="8">
        <v>0</v>
      </c>
      <c r="S303" s="8">
        <v>50</v>
      </c>
      <c r="T303" s="8">
        <v>150</v>
      </c>
    </row>
    <row r="304" spans="1:20" x14ac:dyDescent="0.3">
      <c r="A304" s="9" t="s">
        <v>27</v>
      </c>
      <c r="B304" s="10">
        <v>445</v>
      </c>
      <c r="C304" s="10">
        <v>113</v>
      </c>
      <c r="D304" s="10">
        <v>142</v>
      </c>
      <c r="E304" s="10">
        <v>0</v>
      </c>
      <c r="F304" s="10">
        <v>190</v>
      </c>
      <c r="H304" s="9" t="s">
        <v>27</v>
      </c>
      <c r="I304" s="10">
        <v>161</v>
      </c>
      <c r="J304" s="10">
        <v>0</v>
      </c>
      <c r="K304" s="10">
        <v>57</v>
      </c>
      <c r="L304" s="10">
        <v>58</v>
      </c>
      <c r="M304" s="10">
        <v>46</v>
      </c>
      <c r="O304" s="9" t="s">
        <v>27</v>
      </c>
      <c r="P304" s="10">
        <v>121</v>
      </c>
      <c r="Q304" s="10">
        <v>52</v>
      </c>
      <c r="R304" s="10">
        <v>0</v>
      </c>
      <c r="S304" s="10">
        <v>29</v>
      </c>
      <c r="T304" s="10">
        <v>40</v>
      </c>
    </row>
    <row r="305" spans="1:20" x14ac:dyDescent="0.3">
      <c r="A305" s="9" t="s">
        <v>28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H305" s="9" t="s">
        <v>28</v>
      </c>
      <c r="I305" s="10">
        <v>46</v>
      </c>
      <c r="J305" s="10">
        <v>0</v>
      </c>
      <c r="K305" s="10">
        <v>17</v>
      </c>
      <c r="L305" s="10">
        <v>0</v>
      </c>
      <c r="M305" s="10">
        <v>29</v>
      </c>
      <c r="O305" s="9" t="s">
        <v>28</v>
      </c>
      <c r="P305" s="10">
        <v>83</v>
      </c>
      <c r="Q305" s="10">
        <v>0</v>
      </c>
      <c r="R305" s="10">
        <v>0</v>
      </c>
      <c r="S305" s="10">
        <v>8</v>
      </c>
      <c r="T305" s="10">
        <v>75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206</v>
      </c>
      <c r="C307" s="10">
        <v>109</v>
      </c>
      <c r="D307" s="10">
        <v>65</v>
      </c>
      <c r="E307" s="10">
        <v>0</v>
      </c>
      <c r="F307" s="10">
        <v>32</v>
      </c>
      <c r="H307" s="9" t="s">
        <v>30</v>
      </c>
      <c r="I307" s="10">
        <v>130</v>
      </c>
      <c r="J307" s="10">
        <v>0</v>
      </c>
      <c r="K307" s="10">
        <v>95</v>
      </c>
      <c r="L307" s="10">
        <v>6</v>
      </c>
      <c r="M307" s="10">
        <v>29</v>
      </c>
      <c r="O307" s="9" t="s">
        <v>30</v>
      </c>
      <c r="P307" s="10">
        <v>49</v>
      </c>
      <c r="Q307" s="10">
        <v>1</v>
      </c>
      <c r="R307" s="10">
        <v>0</v>
      </c>
      <c r="S307" s="10">
        <v>13</v>
      </c>
      <c r="T307" s="10">
        <v>35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16</v>
      </c>
      <c r="C309" s="12">
        <v>2</v>
      </c>
      <c r="D309" s="12">
        <v>10</v>
      </c>
      <c r="E309" s="12">
        <v>0</v>
      </c>
      <c r="F309" s="12">
        <v>4</v>
      </c>
      <c r="H309" s="11" t="s">
        <v>32</v>
      </c>
      <c r="I309" s="12">
        <v>100</v>
      </c>
      <c r="J309" s="12">
        <v>0</v>
      </c>
      <c r="K309" s="12">
        <v>39</v>
      </c>
      <c r="L309" s="12">
        <v>29</v>
      </c>
      <c r="M309" s="12">
        <v>32</v>
      </c>
      <c r="O309" s="11" t="s">
        <v>32</v>
      </c>
      <c r="P309" s="12">
        <v>58</v>
      </c>
      <c r="Q309" s="12">
        <v>18</v>
      </c>
      <c r="R309" s="12">
        <v>0</v>
      </c>
      <c r="S309" s="12">
        <v>21</v>
      </c>
      <c r="T309" s="12">
        <v>19</v>
      </c>
    </row>
    <row r="310" spans="1:20" x14ac:dyDescent="0.3">
      <c r="A310" s="13" t="s">
        <v>33</v>
      </c>
      <c r="B310" s="14">
        <v>5</v>
      </c>
      <c r="C310" s="14">
        <v>2</v>
      </c>
      <c r="D310" s="14">
        <v>3</v>
      </c>
      <c r="E310" s="14">
        <v>0</v>
      </c>
      <c r="F310" s="14">
        <v>0</v>
      </c>
      <c r="H310" s="13" t="s">
        <v>33</v>
      </c>
      <c r="I310" s="14">
        <v>1</v>
      </c>
      <c r="J310" s="14">
        <v>0</v>
      </c>
      <c r="K310" s="14">
        <v>0</v>
      </c>
      <c r="L310" s="14">
        <v>1</v>
      </c>
      <c r="M310" s="14">
        <v>0</v>
      </c>
      <c r="O310" s="13" t="s">
        <v>33</v>
      </c>
      <c r="P310" s="14">
        <v>13</v>
      </c>
      <c r="Q310" s="14">
        <v>4</v>
      </c>
      <c r="R310" s="14">
        <v>0</v>
      </c>
      <c r="S310" s="14">
        <v>7</v>
      </c>
      <c r="T310" s="14">
        <v>2</v>
      </c>
    </row>
    <row r="311" spans="1:20" x14ac:dyDescent="0.3">
      <c r="A311" s="13" t="s">
        <v>34</v>
      </c>
      <c r="B311" s="14">
        <v>11</v>
      </c>
      <c r="C311" s="14">
        <v>0</v>
      </c>
      <c r="D311" s="14">
        <v>7</v>
      </c>
      <c r="E311" s="14">
        <v>0</v>
      </c>
      <c r="F311" s="14">
        <v>4</v>
      </c>
      <c r="H311" s="13" t="s">
        <v>34</v>
      </c>
      <c r="I311" s="14">
        <v>99</v>
      </c>
      <c r="J311" s="14">
        <v>0</v>
      </c>
      <c r="K311" s="14">
        <v>39</v>
      </c>
      <c r="L311" s="14">
        <v>28</v>
      </c>
      <c r="M311" s="14">
        <v>32</v>
      </c>
      <c r="O311" s="13" t="s">
        <v>34</v>
      </c>
      <c r="P311" s="14">
        <v>45</v>
      </c>
      <c r="Q311" s="14">
        <v>14</v>
      </c>
      <c r="R311" s="14">
        <v>0</v>
      </c>
      <c r="S311" s="14">
        <v>14</v>
      </c>
      <c r="T311" s="14">
        <v>17</v>
      </c>
    </row>
    <row r="312" spans="1:20" x14ac:dyDescent="0.3">
      <c r="A312" s="15" t="s">
        <v>35</v>
      </c>
      <c r="B312" s="16">
        <v>91</v>
      </c>
      <c r="C312" s="16">
        <v>91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91</v>
      </c>
      <c r="C314" s="18">
        <v>91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72" t="s">
        <v>831</v>
      </c>
      <c r="C315" s="173"/>
      <c r="D315" s="173"/>
      <c r="E315" s="173"/>
      <c r="F315" s="173"/>
      <c r="H315" s="17" t="s">
        <v>38</v>
      </c>
      <c r="I315" s="172" t="s">
        <v>1534</v>
      </c>
      <c r="J315" s="173"/>
      <c r="K315" s="173"/>
      <c r="L315" s="173"/>
      <c r="M315" s="173"/>
      <c r="O315" s="17" t="s">
        <v>38</v>
      </c>
      <c r="P315" s="172" t="s">
        <v>1943</v>
      </c>
      <c r="Q315" s="173"/>
      <c r="R315" s="173"/>
      <c r="S315" s="173"/>
      <c r="T315" s="173"/>
    </row>
    <row r="316" spans="1:20" ht="19.8" x14ac:dyDescent="0.3">
      <c r="A316" s="170">
        <v>46104</v>
      </c>
      <c r="B316" s="168"/>
      <c r="C316" s="168"/>
      <c r="D316" s="168"/>
      <c r="E316" s="168"/>
      <c r="F316" s="168"/>
      <c r="H316" s="170">
        <v>46130</v>
      </c>
      <c r="I316" s="168"/>
      <c r="J316" s="168"/>
      <c r="K316" s="168"/>
      <c r="L316" s="168"/>
      <c r="M316" s="168"/>
      <c r="O316" s="170">
        <v>46162</v>
      </c>
      <c r="P316" s="168"/>
      <c r="Q316" s="168"/>
      <c r="R316" s="168"/>
      <c r="S316" s="168"/>
      <c r="T316" s="168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3</v>
      </c>
      <c r="S317" s="1" t="s">
        <v>40</v>
      </c>
      <c r="T317" s="1" t="s">
        <v>4</v>
      </c>
    </row>
    <row r="318" spans="1:20" x14ac:dyDescent="0.3">
      <c r="A318" s="2" t="s">
        <v>5</v>
      </c>
      <c r="B318" s="3">
        <v>3882</v>
      </c>
      <c r="C318" s="3">
        <v>1341</v>
      </c>
      <c r="D318" s="3">
        <v>1202</v>
      </c>
      <c r="E318" s="3">
        <v>1</v>
      </c>
      <c r="F318" s="3">
        <v>1338</v>
      </c>
      <c r="H318" s="2" t="s">
        <v>5</v>
      </c>
      <c r="I318" s="3">
        <v>5563</v>
      </c>
      <c r="J318" s="3">
        <v>783</v>
      </c>
      <c r="K318" s="3">
        <v>1652</v>
      </c>
      <c r="L318" s="3">
        <v>1690</v>
      </c>
      <c r="M318" s="3">
        <v>1438</v>
      </c>
      <c r="O318" s="2" t="s">
        <v>5</v>
      </c>
      <c r="P318" s="3">
        <v>5381</v>
      </c>
      <c r="Q318" s="3">
        <v>1865</v>
      </c>
      <c r="R318" s="3">
        <v>504</v>
      </c>
      <c r="S318" s="3">
        <v>1477</v>
      </c>
      <c r="T318" s="3">
        <v>1535</v>
      </c>
    </row>
    <row r="319" spans="1:20" x14ac:dyDescent="0.3">
      <c r="A319" s="2" t="s">
        <v>6</v>
      </c>
      <c r="B319" s="3">
        <v>607</v>
      </c>
      <c r="C319" s="5">
        <v>542</v>
      </c>
      <c r="D319" s="4">
        <v>15</v>
      </c>
      <c r="E319" s="3">
        <v>1</v>
      </c>
      <c r="F319" s="6">
        <v>49</v>
      </c>
      <c r="H319" s="2" t="s">
        <v>6</v>
      </c>
      <c r="I319" s="3">
        <v>399</v>
      </c>
      <c r="J319" s="3">
        <v>69</v>
      </c>
      <c r="K319" s="5">
        <v>141</v>
      </c>
      <c r="L319" s="6">
        <v>103</v>
      </c>
      <c r="M319" s="4">
        <v>86</v>
      </c>
      <c r="O319" s="2" t="s">
        <v>6</v>
      </c>
      <c r="P319" s="3">
        <v>197</v>
      </c>
      <c r="Q319" s="6">
        <v>53</v>
      </c>
      <c r="R319" s="3">
        <v>1</v>
      </c>
      <c r="S319" s="4">
        <v>45</v>
      </c>
      <c r="T319" s="5">
        <v>98</v>
      </c>
    </row>
    <row r="320" spans="1:20" x14ac:dyDescent="0.3">
      <c r="A320" s="2" t="s">
        <v>7</v>
      </c>
      <c r="B320" s="3" t="s">
        <v>857</v>
      </c>
      <c r="C320" s="6" t="s">
        <v>858</v>
      </c>
      <c r="D320" s="3" t="s">
        <v>476</v>
      </c>
      <c r="E320" s="5" t="s">
        <v>48</v>
      </c>
      <c r="F320" s="4" t="s">
        <v>859</v>
      </c>
      <c r="H320" s="2" t="s">
        <v>7</v>
      </c>
      <c r="I320" s="3" t="s">
        <v>597</v>
      </c>
      <c r="J320" s="5" t="s">
        <v>1551</v>
      </c>
      <c r="K320" s="6" t="s">
        <v>1552</v>
      </c>
      <c r="L320" s="4" t="s">
        <v>1273</v>
      </c>
      <c r="M320" s="3" t="s">
        <v>685</v>
      </c>
      <c r="O320" s="2" t="s">
        <v>7</v>
      </c>
      <c r="P320" s="3" t="s">
        <v>859</v>
      </c>
      <c r="Q320" s="4" t="s">
        <v>1235</v>
      </c>
      <c r="R320" s="3" t="s">
        <v>99</v>
      </c>
      <c r="S320" s="6" t="s">
        <v>1346</v>
      </c>
      <c r="T320" s="5" t="s">
        <v>1468</v>
      </c>
    </row>
    <row r="321" spans="1:20" x14ac:dyDescent="0.3">
      <c r="A321" s="2" t="s">
        <v>12</v>
      </c>
      <c r="B321" s="3" t="s">
        <v>860</v>
      </c>
      <c r="C321" s="5" t="s">
        <v>861</v>
      </c>
      <c r="D321" s="4" t="s">
        <v>337</v>
      </c>
      <c r="E321" s="3" t="s">
        <v>25</v>
      </c>
      <c r="F321" s="6" t="s">
        <v>225</v>
      </c>
      <c r="H321" s="2" t="s">
        <v>12</v>
      </c>
      <c r="I321" s="3" t="s">
        <v>207</v>
      </c>
      <c r="J321" s="3" t="s">
        <v>25</v>
      </c>
      <c r="K321" s="5" t="s">
        <v>969</v>
      </c>
      <c r="L321" s="4" t="s">
        <v>786</v>
      </c>
      <c r="M321" s="6" t="s">
        <v>904</v>
      </c>
      <c r="O321" s="2" t="s">
        <v>12</v>
      </c>
      <c r="P321" s="3" t="s">
        <v>800</v>
      </c>
      <c r="Q321" s="4" t="s">
        <v>557</v>
      </c>
      <c r="R321" s="3" t="s">
        <v>25</v>
      </c>
      <c r="S321" s="6" t="s">
        <v>1235</v>
      </c>
      <c r="T321" s="5" t="s">
        <v>1775</v>
      </c>
    </row>
    <row r="322" spans="1:20" x14ac:dyDescent="0.3">
      <c r="A322" s="2" t="s">
        <v>17</v>
      </c>
      <c r="B322" s="3" t="s">
        <v>87</v>
      </c>
      <c r="C322" s="6" t="s">
        <v>44</v>
      </c>
      <c r="D322" s="4" t="s">
        <v>137</v>
      </c>
      <c r="E322" s="5" t="s">
        <v>48</v>
      </c>
      <c r="F322" s="3" t="s">
        <v>241</v>
      </c>
      <c r="H322" s="2" t="s">
        <v>17</v>
      </c>
      <c r="I322" s="3" t="s">
        <v>1235</v>
      </c>
      <c r="J322" s="5" t="s">
        <v>367</v>
      </c>
      <c r="K322" s="6" t="s">
        <v>1518</v>
      </c>
      <c r="L322" s="4" t="s">
        <v>503</v>
      </c>
      <c r="M322" s="3" t="s">
        <v>607</v>
      </c>
      <c r="O322" s="2" t="s">
        <v>17</v>
      </c>
      <c r="P322" s="3" t="s">
        <v>187</v>
      </c>
      <c r="Q322" s="6" t="s">
        <v>472</v>
      </c>
      <c r="R322" s="3" t="s">
        <v>451</v>
      </c>
      <c r="S322" s="5" t="s">
        <v>648</v>
      </c>
      <c r="T322" s="4" t="s">
        <v>1075</v>
      </c>
    </row>
    <row r="323" spans="1:20" x14ac:dyDescent="0.3">
      <c r="A323" s="2" t="s">
        <v>22</v>
      </c>
      <c r="B323" s="3" t="s">
        <v>239</v>
      </c>
      <c r="C323" s="6" t="s">
        <v>809</v>
      </c>
      <c r="D323" s="3" t="s">
        <v>25</v>
      </c>
      <c r="E323" s="5" t="s">
        <v>48</v>
      </c>
      <c r="F323" s="3" t="s">
        <v>25</v>
      </c>
      <c r="H323" s="2" t="s">
        <v>22</v>
      </c>
      <c r="I323" s="3" t="s">
        <v>158</v>
      </c>
      <c r="J323" s="5" t="s">
        <v>75</v>
      </c>
      <c r="K323" s="6" t="s">
        <v>102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583</v>
      </c>
      <c r="C324" s="8">
        <v>532</v>
      </c>
      <c r="D324" s="8">
        <v>8</v>
      </c>
      <c r="E324" s="8">
        <v>0</v>
      </c>
      <c r="F324" s="8">
        <v>43</v>
      </c>
      <c r="H324" s="7" t="s">
        <v>26</v>
      </c>
      <c r="I324" s="8">
        <v>234</v>
      </c>
      <c r="J324" s="8">
        <v>0</v>
      </c>
      <c r="K324" s="8">
        <v>99</v>
      </c>
      <c r="L324" s="8">
        <v>58</v>
      </c>
      <c r="M324" s="8">
        <v>77</v>
      </c>
      <c r="O324" s="7" t="s">
        <v>26</v>
      </c>
      <c r="P324" s="8">
        <v>186</v>
      </c>
      <c r="Q324" s="8">
        <v>49</v>
      </c>
      <c r="R324" s="8">
        <v>0</v>
      </c>
      <c r="S324" s="8">
        <v>42</v>
      </c>
      <c r="T324" s="8">
        <v>95</v>
      </c>
    </row>
    <row r="325" spans="1:20" x14ac:dyDescent="0.3">
      <c r="A325" s="9" t="s">
        <v>27</v>
      </c>
      <c r="B325" s="10">
        <v>55</v>
      </c>
      <c r="C325" s="10">
        <v>20</v>
      </c>
      <c r="D325" s="10">
        <v>8</v>
      </c>
      <c r="E325" s="10">
        <v>0</v>
      </c>
      <c r="F325" s="10">
        <v>27</v>
      </c>
      <c r="H325" s="9" t="s">
        <v>27</v>
      </c>
      <c r="I325" s="10">
        <v>150</v>
      </c>
      <c r="J325" s="10">
        <v>0</v>
      </c>
      <c r="K325" s="10">
        <v>53</v>
      </c>
      <c r="L325" s="10">
        <v>56</v>
      </c>
      <c r="M325" s="10">
        <v>41</v>
      </c>
      <c r="O325" s="9" t="s">
        <v>27</v>
      </c>
      <c r="P325" s="10">
        <v>96</v>
      </c>
      <c r="Q325" s="10">
        <v>47</v>
      </c>
      <c r="R325" s="10">
        <v>0</v>
      </c>
      <c r="S325" s="10">
        <v>23</v>
      </c>
      <c r="T325" s="10">
        <v>26</v>
      </c>
    </row>
    <row r="326" spans="1:20" x14ac:dyDescent="0.3">
      <c r="A326" s="9" t="s">
        <v>28</v>
      </c>
      <c r="B326" s="10">
        <v>6</v>
      </c>
      <c r="C326" s="10">
        <v>1</v>
      </c>
      <c r="D326" s="10">
        <v>0</v>
      </c>
      <c r="E326" s="10">
        <v>0</v>
      </c>
      <c r="F326" s="10">
        <v>5</v>
      </c>
      <c r="H326" s="9" t="s">
        <v>28</v>
      </c>
      <c r="I326" s="10">
        <v>32</v>
      </c>
      <c r="J326" s="10">
        <v>0</v>
      </c>
      <c r="K326" s="10">
        <v>21</v>
      </c>
      <c r="L326" s="10">
        <v>0</v>
      </c>
      <c r="M326" s="10">
        <v>11</v>
      </c>
      <c r="O326" s="9" t="s">
        <v>28</v>
      </c>
      <c r="P326" s="10">
        <v>46</v>
      </c>
      <c r="Q326" s="10">
        <v>0</v>
      </c>
      <c r="R326" s="10">
        <v>0</v>
      </c>
      <c r="S326" s="10">
        <v>7</v>
      </c>
      <c r="T326" s="10">
        <v>39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522</v>
      </c>
      <c r="C328" s="10">
        <v>511</v>
      </c>
      <c r="D328" s="10">
        <v>0</v>
      </c>
      <c r="E328" s="10">
        <v>0</v>
      </c>
      <c r="F328" s="10">
        <v>11</v>
      </c>
      <c r="H328" s="9" t="s">
        <v>30</v>
      </c>
      <c r="I328" s="10">
        <v>52</v>
      </c>
      <c r="J328" s="10">
        <v>0</v>
      </c>
      <c r="K328" s="10">
        <v>25</v>
      </c>
      <c r="L328" s="10">
        <v>2</v>
      </c>
      <c r="M328" s="10">
        <v>25</v>
      </c>
      <c r="O328" s="9" t="s">
        <v>30</v>
      </c>
      <c r="P328" s="10">
        <v>44</v>
      </c>
      <c r="Q328" s="10">
        <v>2</v>
      </c>
      <c r="R328" s="10">
        <v>0</v>
      </c>
      <c r="S328" s="10">
        <v>12</v>
      </c>
      <c r="T328" s="10">
        <v>30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24</v>
      </c>
      <c r="C330" s="12">
        <v>10</v>
      </c>
      <c r="D330" s="12">
        <v>7</v>
      </c>
      <c r="E330" s="12">
        <v>1</v>
      </c>
      <c r="F330" s="12">
        <v>6</v>
      </c>
      <c r="H330" s="11" t="s">
        <v>32</v>
      </c>
      <c r="I330" s="12">
        <v>158</v>
      </c>
      <c r="J330" s="12">
        <v>63</v>
      </c>
      <c r="K330" s="12">
        <v>44</v>
      </c>
      <c r="L330" s="12">
        <v>40</v>
      </c>
      <c r="M330" s="12">
        <v>11</v>
      </c>
      <c r="O330" s="11" t="s">
        <v>32</v>
      </c>
      <c r="P330" s="12">
        <v>85</v>
      </c>
      <c r="Q330" s="12">
        <v>31</v>
      </c>
      <c r="R330" s="12">
        <v>7</v>
      </c>
      <c r="S330" s="12">
        <v>25</v>
      </c>
      <c r="T330" s="12">
        <v>22</v>
      </c>
    </row>
    <row r="331" spans="1:20" x14ac:dyDescent="0.3">
      <c r="A331" s="13" t="s">
        <v>33</v>
      </c>
      <c r="B331" s="14">
        <v>2</v>
      </c>
      <c r="C331" s="14">
        <v>1</v>
      </c>
      <c r="D331" s="14">
        <v>0</v>
      </c>
      <c r="E331" s="14">
        <v>0</v>
      </c>
      <c r="F331" s="14">
        <v>1</v>
      </c>
      <c r="H331" s="13" t="s">
        <v>33</v>
      </c>
      <c r="I331" s="14">
        <v>10</v>
      </c>
      <c r="J331" s="14">
        <v>1</v>
      </c>
      <c r="K331" s="14">
        <v>3</v>
      </c>
      <c r="L331" s="14">
        <v>3</v>
      </c>
      <c r="M331" s="14">
        <v>3</v>
      </c>
      <c r="O331" s="13" t="s">
        <v>33</v>
      </c>
      <c r="P331" s="14">
        <v>10</v>
      </c>
      <c r="Q331" s="14">
        <v>4</v>
      </c>
      <c r="R331" s="14">
        <v>0</v>
      </c>
      <c r="S331" s="14">
        <v>3</v>
      </c>
      <c r="T331" s="14">
        <v>3</v>
      </c>
    </row>
    <row r="332" spans="1:20" x14ac:dyDescent="0.3">
      <c r="A332" s="13" t="s">
        <v>34</v>
      </c>
      <c r="B332" s="14">
        <v>22</v>
      </c>
      <c r="C332" s="14">
        <v>9</v>
      </c>
      <c r="D332" s="14">
        <v>7</v>
      </c>
      <c r="E332" s="14">
        <v>1</v>
      </c>
      <c r="F332" s="14">
        <v>5</v>
      </c>
      <c r="H332" s="13" t="s">
        <v>34</v>
      </c>
      <c r="I332" s="14">
        <v>148</v>
      </c>
      <c r="J332" s="14">
        <v>62</v>
      </c>
      <c r="K332" s="14">
        <v>41</v>
      </c>
      <c r="L332" s="14">
        <v>37</v>
      </c>
      <c r="M332" s="14">
        <v>8</v>
      </c>
      <c r="O332" s="13" t="s">
        <v>34</v>
      </c>
      <c r="P332" s="14">
        <v>75</v>
      </c>
      <c r="Q332" s="14">
        <v>27</v>
      </c>
      <c r="R332" s="14">
        <v>7</v>
      </c>
      <c r="S332" s="14">
        <v>22</v>
      </c>
      <c r="T332" s="14">
        <v>19</v>
      </c>
    </row>
    <row r="333" spans="1:20" x14ac:dyDescent="0.3">
      <c r="A333" s="15" t="s">
        <v>35</v>
      </c>
      <c r="B333" s="16">
        <v>52</v>
      </c>
      <c r="C333" s="16">
        <v>51</v>
      </c>
      <c r="D333" s="16">
        <v>0</v>
      </c>
      <c r="E333" s="16">
        <v>1</v>
      </c>
      <c r="F333" s="16">
        <v>0</v>
      </c>
      <c r="H333" s="15" t="s">
        <v>35</v>
      </c>
      <c r="I333" s="16">
        <v>3</v>
      </c>
      <c r="J333" s="16">
        <v>1</v>
      </c>
      <c r="K333" s="16">
        <v>2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8">
        <v>0</v>
      </c>
      <c r="C334" s="18">
        <v>0</v>
      </c>
      <c r="D334" s="18">
        <v>0</v>
      </c>
      <c r="E334" s="18">
        <v>0</v>
      </c>
      <c r="F334" s="18">
        <v>0</v>
      </c>
      <c r="H334" s="17" t="s">
        <v>36</v>
      </c>
      <c r="I334" s="99">
        <v>1</v>
      </c>
      <c r="J334" s="99">
        <v>0</v>
      </c>
      <c r="K334" s="99">
        <v>1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0">
        <v>0</v>
      </c>
      <c r="T334" s="130">
        <v>0</v>
      </c>
    </row>
    <row r="335" spans="1:20" x14ac:dyDescent="0.3">
      <c r="A335" s="17" t="s">
        <v>37</v>
      </c>
      <c r="B335" s="18">
        <v>52</v>
      </c>
      <c r="C335" s="18">
        <v>51</v>
      </c>
      <c r="D335" s="18">
        <v>0</v>
      </c>
      <c r="E335" s="18">
        <v>1</v>
      </c>
      <c r="F335" s="18">
        <v>0</v>
      </c>
      <c r="H335" s="17" t="s">
        <v>37</v>
      </c>
      <c r="I335" s="99">
        <v>2</v>
      </c>
      <c r="J335" s="99">
        <v>1</v>
      </c>
      <c r="K335" s="99">
        <v>1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  <c r="S335" s="130">
        <v>0</v>
      </c>
      <c r="T335" s="130">
        <v>0</v>
      </c>
    </row>
    <row r="336" spans="1:20" x14ac:dyDescent="0.3">
      <c r="A336" s="17" t="s">
        <v>38</v>
      </c>
      <c r="B336" s="167" t="s">
        <v>831</v>
      </c>
      <c r="C336" s="168"/>
      <c r="D336" s="168"/>
      <c r="E336" s="168"/>
      <c r="F336" s="168"/>
      <c r="H336" s="17" t="s">
        <v>38</v>
      </c>
      <c r="I336" s="167" t="s">
        <v>1553</v>
      </c>
      <c r="J336" s="168"/>
      <c r="K336" s="168"/>
      <c r="L336" s="168"/>
      <c r="M336" s="168"/>
      <c r="O336" s="17" t="s">
        <v>38</v>
      </c>
      <c r="P336" s="167" t="s">
        <v>1956</v>
      </c>
      <c r="Q336" s="168"/>
      <c r="R336" s="168"/>
      <c r="S336" s="168"/>
      <c r="T336" s="168"/>
    </row>
    <row r="337" spans="1:20" ht="19.8" x14ac:dyDescent="0.3">
      <c r="A337" s="171">
        <v>46105</v>
      </c>
      <c r="B337" s="171"/>
      <c r="C337" s="171"/>
      <c r="D337" s="171"/>
      <c r="E337" s="171"/>
      <c r="F337" s="171"/>
      <c r="H337" s="170">
        <v>46132</v>
      </c>
      <c r="I337" s="168"/>
      <c r="J337" s="168"/>
      <c r="K337" s="168"/>
      <c r="L337" s="168"/>
      <c r="M337" s="168"/>
      <c r="O337" s="170">
        <v>46163</v>
      </c>
      <c r="P337" s="168"/>
      <c r="Q337" s="168"/>
      <c r="R337" s="168"/>
      <c r="S337" s="168"/>
      <c r="T337" s="168"/>
    </row>
    <row r="338" spans="1:20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870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2</v>
      </c>
      <c r="R338" s="1" t="s">
        <v>3</v>
      </c>
      <c r="S338" s="1" t="s">
        <v>40</v>
      </c>
      <c r="T338" s="1" t="s">
        <v>4</v>
      </c>
    </row>
    <row r="339" spans="1:20" x14ac:dyDescent="0.3">
      <c r="A339" s="2" t="s">
        <v>5</v>
      </c>
      <c r="B339" s="3">
        <v>6660</v>
      </c>
      <c r="C339" s="3">
        <v>2229</v>
      </c>
      <c r="D339" s="3">
        <v>2163</v>
      </c>
      <c r="E339" s="3">
        <v>0</v>
      </c>
      <c r="F339" s="3">
        <v>2268</v>
      </c>
      <c r="H339" s="2" t="s">
        <v>5</v>
      </c>
      <c r="I339" s="3">
        <v>3484</v>
      </c>
      <c r="J339" s="3">
        <v>1286</v>
      </c>
      <c r="K339" s="3">
        <v>1007</v>
      </c>
      <c r="L339" s="3">
        <v>793</v>
      </c>
      <c r="M339" s="3">
        <v>398</v>
      </c>
      <c r="O339" s="2" t="s">
        <v>5</v>
      </c>
      <c r="P339" s="3">
        <v>5473</v>
      </c>
      <c r="Q339" s="3">
        <v>1805</v>
      </c>
      <c r="R339" s="3">
        <v>1338</v>
      </c>
      <c r="S339" s="3">
        <v>1029</v>
      </c>
      <c r="T339" s="3">
        <v>1301</v>
      </c>
    </row>
    <row r="340" spans="1:20" x14ac:dyDescent="0.3">
      <c r="A340" s="2" t="s">
        <v>6</v>
      </c>
      <c r="B340" s="3">
        <v>476</v>
      </c>
      <c r="C340" s="6">
        <v>188</v>
      </c>
      <c r="D340" s="4">
        <v>63</v>
      </c>
      <c r="E340" s="3">
        <v>0</v>
      </c>
      <c r="F340" s="5">
        <v>225</v>
      </c>
      <c r="H340" s="2" t="s">
        <v>6</v>
      </c>
      <c r="I340" s="3">
        <v>422</v>
      </c>
      <c r="J340" s="6">
        <v>131</v>
      </c>
      <c r="K340" s="5">
        <v>145</v>
      </c>
      <c r="L340" s="4">
        <v>113</v>
      </c>
      <c r="M340" s="3">
        <v>33</v>
      </c>
      <c r="O340" s="2" t="s">
        <v>6</v>
      </c>
      <c r="P340" s="3">
        <v>198</v>
      </c>
      <c r="Q340" s="6">
        <v>49</v>
      </c>
      <c r="R340" s="3">
        <v>3</v>
      </c>
      <c r="S340" s="4">
        <v>32</v>
      </c>
      <c r="T340" s="5">
        <v>114</v>
      </c>
    </row>
    <row r="341" spans="1:20" x14ac:dyDescent="0.3">
      <c r="A341" s="2" t="s">
        <v>7</v>
      </c>
      <c r="B341" s="3" t="s">
        <v>327</v>
      </c>
      <c r="C341" s="6" t="s">
        <v>922</v>
      </c>
      <c r="D341" s="4" t="s">
        <v>71</v>
      </c>
      <c r="E341" s="3">
        <v>0</v>
      </c>
      <c r="F341" s="5" t="s">
        <v>457</v>
      </c>
      <c r="H341" s="2" t="s">
        <v>7</v>
      </c>
      <c r="I341" s="3" t="s">
        <v>1570</v>
      </c>
      <c r="J341" s="4" t="s">
        <v>1571</v>
      </c>
      <c r="K341" s="5" t="s">
        <v>1572</v>
      </c>
      <c r="L341" s="6" t="s">
        <v>1573</v>
      </c>
      <c r="M341" s="3" t="s">
        <v>1125</v>
      </c>
      <c r="O341" s="2" t="s">
        <v>7</v>
      </c>
      <c r="P341" s="3" t="s">
        <v>819</v>
      </c>
      <c r="Q341" s="4" t="s">
        <v>23</v>
      </c>
      <c r="R341" s="3" t="s">
        <v>122</v>
      </c>
      <c r="S341" s="6" t="s">
        <v>1467</v>
      </c>
      <c r="T341" s="5" t="s">
        <v>1354</v>
      </c>
    </row>
    <row r="342" spans="1:20" x14ac:dyDescent="0.3">
      <c r="A342" s="2" t="s">
        <v>12</v>
      </c>
      <c r="B342" s="3" t="s">
        <v>923</v>
      </c>
      <c r="C342" s="6" t="s">
        <v>94</v>
      </c>
      <c r="D342" s="4" t="s">
        <v>924</v>
      </c>
      <c r="E342" s="3">
        <v>0</v>
      </c>
      <c r="F342" s="5" t="s">
        <v>91</v>
      </c>
      <c r="H342" s="2" t="s">
        <v>12</v>
      </c>
      <c r="I342" s="3" t="s">
        <v>447</v>
      </c>
      <c r="J342" s="3" t="s">
        <v>25</v>
      </c>
      <c r="K342" s="4" t="s">
        <v>741</v>
      </c>
      <c r="L342" s="6" t="s">
        <v>670</v>
      </c>
      <c r="M342" s="5" t="s">
        <v>921</v>
      </c>
      <c r="O342" s="2" t="s">
        <v>12</v>
      </c>
      <c r="P342" s="3" t="s">
        <v>539</v>
      </c>
      <c r="Q342" s="4" t="s">
        <v>23</v>
      </c>
      <c r="R342" s="3" t="s">
        <v>25</v>
      </c>
      <c r="S342" s="6" t="s">
        <v>205</v>
      </c>
      <c r="T342" s="5" t="s">
        <v>387</v>
      </c>
    </row>
    <row r="343" spans="1:20" x14ac:dyDescent="0.3">
      <c r="A343" s="2" t="s">
        <v>17</v>
      </c>
      <c r="B343" s="3" t="s">
        <v>507</v>
      </c>
      <c r="C343" s="4" t="s">
        <v>88</v>
      </c>
      <c r="D343" s="5" t="s">
        <v>654</v>
      </c>
      <c r="E343" s="3" t="s">
        <v>25</v>
      </c>
      <c r="F343" s="6" t="s">
        <v>119</v>
      </c>
      <c r="H343" s="2" t="s">
        <v>17</v>
      </c>
      <c r="I343" s="3" t="s">
        <v>1489</v>
      </c>
      <c r="J343" s="6" t="s">
        <v>1289</v>
      </c>
      <c r="K343" s="5" t="s">
        <v>246</v>
      </c>
      <c r="L343" s="4" t="s">
        <v>1574</v>
      </c>
      <c r="M343" s="3" t="s">
        <v>862</v>
      </c>
      <c r="O343" s="2" t="s">
        <v>17</v>
      </c>
      <c r="P343" s="3" t="s">
        <v>596</v>
      </c>
      <c r="Q343" s="3" t="s">
        <v>119</v>
      </c>
      <c r="R343" s="5" t="s">
        <v>371</v>
      </c>
      <c r="S343" s="4" t="s">
        <v>76</v>
      </c>
      <c r="T343" s="6" t="s">
        <v>354</v>
      </c>
    </row>
    <row r="344" spans="1:20" x14ac:dyDescent="0.3">
      <c r="A344" s="2" t="s">
        <v>22</v>
      </c>
      <c r="B344" s="3" t="s">
        <v>560</v>
      </c>
      <c r="C344" s="5" t="s">
        <v>625</v>
      </c>
      <c r="D344" s="3" t="s">
        <v>25</v>
      </c>
      <c r="E344" s="3" t="s">
        <v>25</v>
      </c>
      <c r="F344" s="6" t="s">
        <v>257</v>
      </c>
      <c r="H344" s="2" t="s">
        <v>22</v>
      </c>
      <c r="I344" s="3" t="s">
        <v>552</v>
      </c>
      <c r="J344" s="5" t="s">
        <v>309</v>
      </c>
      <c r="K344" s="3" t="s">
        <v>25</v>
      </c>
      <c r="L344" s="3" t="s">
        <v>25</v>
      </c>
      <c r="M344" s="3" t="s">
        <v>25</v>
      </c>
      <c r="O344" s="2" t="s">
        <v>22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 x14ac:dyDescent="0.3">
      <c r="A345" s="7" t="s">
        <v>26</v>
      </c>
      <c r="B345" s="8">
        <v>448</v>
      </c>
      <c r="C345" s="8">
        <v>182</v>
      </c>
      <c r="D345" s="8">
        <v>52</v>
      </c>
      <c r="E345" s="8">
        <v>0</v>
      </c>
      <c r="F345" s="8">
        <v>214</v>
      </c>
      <c r="H345" s="7" t="s">
        <v>26</v>
      </c>
      <c r="I345" s="8">
        <v>84</v>
      </c>
      <c r="J345" s="8">
        <v>0</v>
      </c>
      <c r="K345" s="8">
        <v>32</v>
      </c>
      <c r="L345" s="8">
        <v>32</v>
      </c>
      <c r="M345" s="8">
        <v>20</v>
      </c>
      <c r="O345" s="7" t="s">
        <v>26</v>
      </c>
      <c r="P345" s="8">
        <v>192</v>
      </c>
      <c r="Q345" s="8">
        <v>49</v>
      </c>
      <c r="R345" s="8">
        <v>0</v>
      </c>
      <c r="S345" s="8">
        <v>31</v>
      </c>
      <c r="T345" s="8">
        <v>112</v>
      </c>
    </row>
    <row r="346" spans="1:20" x14ac:dyDescent="0.3">
      <c r="A346" s="9" t="s">
        <v>27</v>
      </c>
      <c r="B346" s="10">
        <v>267</v>
      </c>
      <c r="C346" s="10">
        <v>103</v>
      </c>
      <c r="D346" s="10">
        <v>47</v>
      </c>
      <c r="E346" s="10">
        <v>0</v>
      </c>
      <c r="F346" s="10">
        <v>117</v>
      </c>
      <c r="H346" s="9" t="s">
        <v>27</v>
      </c>
      <c r="I346" s="10">
        <v>81</v>
      </c>
      <c r="J346" s="10">
        <v>0</v>
      </c>
      <c r="K346" s="10">
        <v>31</v>
      </c>
      <c r="L346" s="10">
        <v>31</v>
      </c>
      <c r="M346" s="10">
        <v>19</v>
      </c>
      <c r="O346" s="9" t="s">
        <v>27</v>
      </c>
      <c r="P346" s="10">
        <v>93</v>
      </c>
      <c r="Q346" s="10">
        <v>47</v>
      </c>
      <c r="R346" s="10">
        <v>0</v>
      </c>
      <c r="S346" s="10">
        <v>21</v>
      </c>
      <c r="T346" s="10">
        <v>25</v>
      </c>
    </row>
    <row r="347" spans="1:20" x14ac:dyDescent="0.3">
      <c r="A347" s="9" t="s">
        <v>28</v>
      </c>
      <c r="B347" s="10">
        <v>18</v>
      </c>
      <c r="C347" s="10">
        <v>6</v>
      </c>
      <c r="D347" s="10">
        <v>0</v>
      </c>
      <c r="E347" s="10">
        <v>0</v>
      </c>
      <c r="F347" s="10">
        <v>12</v>
      </c>
      <c r="H347" s="9" t="s">
        <v>28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O347" s="9" t="s">
        <v>28</v>
      </c>
      <c r="P347" s="10">
        <v>56</v>
      </c>
      <c r="Q347" s="10">
        <v>0</v>
      </c>
      <c r="R347" s="10">
        <v>0</v>
      </c>
      <c r="S347" s="10">
        <v>5</v>
      </c>
      <c r="T347" s="10">
        <v>51</v>
      </c>
    </row>
    <row r="348" spans="1:20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O348" s="9" t="s">
        <v>29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s="9" t="s">
        <v>30</v>
      </c>
      <c r="B349" s="10">
        <v>163</v>
      </c>
      <c r="C349" s="10">
        <v>73</v>
      </c>
      <c r="D349" s="10">
        <v>5</v>
      </c>
      <c r="E349" s="10">
        <v>0</v>
      </c>
      <c r="F349" s="10">
        <v>85</v>
      </c>
      <c r="H349" s="9" t="s">
        <v>30</v>
      </c>
      <c r="I349" s="10">
        <v>3</v>
      </c>
      <c r="J349" s="10">
        <v>0</v>
      </c>
      <c r="K349" s="10">
        <v>1</v>
      </c>
      <c r="L349" s="10">
        <v>1</v>
      </c>
      <c r="M349" s="10">
        <v>1</v>
      </c>
      <c r="O349" s="9" t="s">
        <v>30</v>
      </c>
      <c r="P349" s="10">
        <v>43</v>
      </c>
      <c r="Q349" s="10">
        <v>2</v>
      </c>
      <c r="R349" s="10">
        <v>0</v>
      </c>
      <c r="S349" s="10">
        <v>5</v>
      </c>
      <c r="T349" s="10">
        <v>36</v>
      </c>
    </row>
    <row r="350" spans="1:20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O350" s="9" t="s">
        <v>31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A351" s="11" t="s">
        <v>32</v>
      </c>
      <c r="B351" s="12">
        <v>27</v>
      </c>
      <c r="C351" s="12">
        <v>6</v>
      </c>
      <c r="D351" s="12">
        <v>11</v>
      </c>
      <c r="E351" s="12">
        <v>0</v>
      </c>
      <c r="F351" s="12">
        <v>10</v>
      </c>
      <c r="H351" s="11" t="s">
        <v>32</v>
      </c>
      <c r="I351" s="12">
        <v>309</v>
      </c>
      <c r="J351" s="12">
        <v>115</v>
      </c>
      <c r="K351" s="12">
        <v>112</v>
      </c>
      <c r="L351" s="12">
        <v>69</v>
      </c>
      <c r="M351" s="12">
        <v>13</v>
      </c>
      <c r="O351" s="11" t="s">
        <v>32</v>
      </c>
      <c r="P351" s="12">
        <v>31</v>
      </c>
      <c r="Q351" s="12">
        <v>8</v>
      </c>
      <c r="R351" s="12">
        <v>11</v>
      </c>
      <c r="S351" s="12">
        <v>5</v>
      </c>
      <c r="T351" s="12">
        <v>7</v>
      </c>
    </row>
    <row r="352" spans="1:20" x14ac:dyDescent="0.3">
      <c r="A352" s="13" t="s">
        <v>33</v>
      </c>
      <c r="B352" s="14">
        <v>4</v>
      </c>
      <c r="C352" s="14">
        <v>1</v>
      </c>
      <c r="D352" s="14">
        <v>2</v>
      </c>
      <c r="E352" s="14">
        <v>0</v>
      </c>
      <c r="F352" s="14">
        <v>1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O352" s="13" t="s">
        <v>33</v>
      </c>
      <c r="P352" s="14">
        <v>6</v>
      </c>
      <c r="Q352" s="14">
        <v>0</v>
      </c>
      <c r="R352" s="14">
        <v>3</v>
      </c>
      <c r="S352" s="14">
        <v>1</v>
      </c>
      <c r="T352" s="14">
        <v>2</v>
      </c>
    </row>
    <row r="353" spans="1:20" x14ac:dyDescent="0.3">
      <c r="A353" s="13" t="s">
        <v>34</v>
      </c>
      <c r="B353" s="14">
        <v>23</v>
      </c>
      <c r="C353" s="14">
        <v>5</v>
      </c>
      <c r="D353" s="14">
        <v>9</v>
      </c>
      <c r="E353" s="14">
        <v>0</v>
      </c>
      <c r="F353" s="14">
        <v>9</v>
      </c>
      <c r="H353" s="13" t="s">
        <v>34</v>
      </c>
      <c r="I353" s="14">
        <v>309</v>
      </c>
      <c r="J353" s="14">
        <v>115</v>
      </c>
      <c r="K353" s="14">
        <v>112</v>
      </c>
      <c r="L353" s="14">
        <v>69</v>
      </c>
      <c r="M353" s="14">
        <v>13</v>
      </c>
      <c r="O353" s="13" t="s">
        <v>34</v>
      </c>
      <c r="P353" s="14">
        <v>25</v>
      </c>
      <c r="Q353" s="14">
        <v>8</v>
      </c>
      <c r="R353" s="14">
        <v>8</v>
      </c>
      <c r="S353" s="14">
        <v>4</v>
      </c>
      <c r="T353" s="14">
        <v>5</v>
      </c>
    </row>
    <row r="354" spans="1:20" x14ac:dyDescent="0.3">
      <c r="A354" s="15" t="s">
        <v>35</v>
      </c>
      <c r="B354" s="16">
        <v>86</v>
      </c>
      <c r="C354" s="16">
        <v>85</v>
      </c>
      <c r="D354" s="16">
        <v>0</v>
      </c>
      <c r="E354" s="16">
        <v>0</v>
      </c>
      <c r="F354" s="16">
        <v>1</v>
      </c>
      <c r="H354" s="15" t="s">
        <v>35</v>
      </c>
      <c r="I354" s="16">
        <v>1</v>
      </c>
      <c r="J354" s="16">
        <v>1</v>
      </c>
      <c r="K354" s="16">
        <v>0</v>
      </c>
      <c r="L354" s="16">
        <v>0</v>
      </c>
      <c r="M354" s="16">
        <v>0</v>
      </c>
      <c r="O354" s="15" t="s">
        <v>35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</row>
    <row r="355" spans="1:20" x14ac:dyDescent="0.3">
      <c r="A355" s="17" t="s">
        <v>36</v>
      </c>
      <c r="B355" s="18">
        <v>0</v>
      </c>
      <c r="C355" s="18">
        <v>0</v>
      </c>
      <c r="D355" s="18">
        <v>0</v>
      </c>
      <c r="E355" s="19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O355" s="17" t="s">
        <v>36</v>
      </c>
      <c r="P355" s="138">
        <v>0</v>
      </c>
      <c r="Q355" s="138">
        <v>0</v>
      </c>
      <c r="R355" s="138">
        <v>0</v>
      </c>
      <c r="S355" s="138">
        <v>0</v>
      </c>
      <c r="T355" s="138">
        <v>0</v>
      </c>
    </row>
    <row r="356" spans="1:20" x14ac:dyDescent="0.3">
      <c r="A356" s="17" t="s">
        <v>37</v>
      </c>
      <c r="B356" s="18">
        <v>86</v>
      </c>
      <c r="C356" s="18">
        <v>85</v>
      </c>
      <c r="D356" s="18">
        <v>0</v>
      </c>
      <c r="E356" s="19">
        <v>0</v>
      </c>
      <c r="F356" s="18">
        <v>1</v>
      </c>
      <c r="H356" s="17" t="s">
        <v>37</v>
      </c>
      <c r="I356" s="99">
        <v>1</v>
      </c>
      <c r="J356" s="99">
        <v>1</v>
      </c>
      <c r="K356" s="99">
        <v>0</v>
      </c>
      <c r="L356" s="99">
        <v>0</v>
      </c>
      <c r="M356" s="99">
        <v>0</v>
      </c>
      <c r="O356" s="17" t="s">
        <v>37</v>
      </c>
      <c r="P356" s="138">
        <v>0</v>
      </c>
      <c r="Q356" s="138">
        <v>0</v>
      </c>
      <c r="R356" s="138">
        <v>0</v>
      </c>
      <c r="S356" s="138">
        <v>0</v>
      </c>
      <c r="T356" s="138">
        <v>0</v>
      </c>
    </row>
    <row r="357" spans="1:20" x14ac:dyDescent="0.3">
      <c r="A357" s="17" t="s">
        <v>38</v>
      </c>
      <c r="B357" s="172" t="s">
        <v>831</v>
      </c>
      <c r="C357" s="173"/>
      <c r="D357" s="173"/>
      <c r="E357" s="173"/>
      <c r="F357" s="173"/>
      <c r="H357" s="17" t="s">
        <v>38</v>
      </c>
      <c r="I357" s="167" t="s">
        <v>1575</v>
      </c>
      <c r="J357" s="168"/>
      <c r="K357" s="168"/>
      <c r="L357" s="168"/>
      <c r="M357" s="168"/>
      <c r="O357" s="17" t="s">
        <v>38</v>
      </c>
      <c r="P357" s="167" t="s">
        <v>1956</v>
      </c>
      <c r="Q357" s="168"/>
      <c r="R357" s="168"/>
      <c r="S357" s="168"/>
      <c r="T357" s="168"/>
    </row>
    <row r="358" spans="1:20" ht="19.8" x14ac:dyDescent="0.3">
      <c r="A358" s="171">
        <v>46106</v>
      </c>
      <c r="B358" s="171"/>
      <c r="C358" s="171"/>
      <c r="D358" s="171"/>
      <c r="E358" s="171"/>
      <c r="F358" s="171"/>
      <c r="H358" s="170">
        <v>46133</v>
      </c>
      <c r="I358" s="168"/>
      <c r="J358" s="168"/>
      <c r="K358" s="168"/>
      <c r="L358" s="168"/>
      <c r="M358" s="168"/>
      <c r="O358" s="170">
        <v>46164</v>
      </c>
      <c r="P358" s="168"/>
      <c r="Q358" s="168"/>
      <c r="R358" s="168"/>
      <c r="S358" s="168"/>
      <c r="T358" s="168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870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  <c r="O359" s="1" t="s">
        <v>0</v>
      </c>
      <c r="P359" s="1" t="s">
        <v>1</v>
      </c>
      <c r="Q359" s="1" t="s">
        <v>2</v>
      </c>
      <c r="R359" s="1" t="s">
        <v>3</v>
      </c>
      <c r="S359" s="1" t="s">
        <v>40</v>
      </c>
      <c r="T359" s="1" t="s">
        <v>4</v>
      </c>
    </row>
    <row r="360" spans="1:20" x14ac:dyDescent="0.3">
      <c r="A360" s="2" t="s">
        <v>5</v>
      </c>
      <c r="B360" s="3">
        <v>5600</v>
      </c>
      <c r="C360" s="3">
        <v>1850</v>
      </c>
      <c r="D360" s="3">
        <v>1835</v>
      </c>
      <c r="E360" s="3">
        <v>0</v>
      </c>
      <c r="F360" s="3">
        <v>1915</v>
      </c>
      <c r="H360" s="2" t="s">
        <v>5</v>
      </c>
      <c r="I360" s="3">
        <v>4881</v>
      </c>
      <c r="J360" s="3">
        <v>761</v>
      </c>
      <c r="K360" s="3">
        <v>591</v>
      </c>
      <c r="L360" s="3">
        <v>1856</v>
      </c>
      <c r="M360" s="3">
        <v>1673</v>
      </c>
      <c r="O360" s="2" t="s">
        <v>5</v>
      </c>
      <c r="P360" s="3">
        <v>5391</v>
      </c>
      <c r="Q360" s="3">
        <v>1739</v>
      </c>
      <c r="R360" s="3">
        <v>1311</v>
      </c>
      <c r="S360" s="3">
        <v>1065</v>
      </c>
      <c r="T360" s="3">
        <v>1276</v>
      </c>
    </row>
    <row r="361" spans="1:20" x14ac:dyDescent="0.3">
      <c r="A361" s="2" t="s">
        <v>6</v>
      </c>
      <c r="B361" s="3">
        <v>407</v>
      </c>
      <c r="C361" s="4">
        <v>103</v>
      </c>
      <c r="D361" s="6">
        <v>110</v>
      </c>
      <c r="E361" s="3">
        <v>0</v>
      </c>
      <c r="F361" s="5">
        <v>194</v>
      </c>
      <c r="H361" s="2" t="s">
        <v>6</v>
      </c>
      <c r="I361" s="3">
        <v>326</v>
      </c>
      <c r="J361" s="3">
        <v>28</v>
      </c>
      <c r="K361" s="4">
        <v>50</v>
      </c>
      <c r="L361" s="5">
        <v>139</v>
      </c>
      <c r="M361" s="6">
        <v>109</v>
      </c>
      <c r="O361" s="2" t="s">
        <v>6</v>
      </c>
      <c r="P361" s="3">
        <v>185</v>
      </c>
      <c r="Q361" s="4">
        <v>30</v>
      </c>
      <c r="R361" s="3">
        <v>2</v>
      </c>
      <c r="S361" s="6">
        <v>32</v>
      </c>
      <c r="T361" s="5">
        <v>121</v>
      </c>
    </row>
    <row r="362" spans="1:20" x14ac:dyDescent="0.3">
      <c r="A362" s="2" t="s">
        <v>7</v>
      </c>
      <c r="B362" s="3" t="s">
        <v>55</v>
      </c>
      <c r="C362" s="4" t="s">
        <v>340</v>
      </c>
      <c r="D362" s="6" t="s">
        <v>969</v>
      </c>
      <c r="E362" s="3">
        <v>0</v>
      </c>
      <c r="F362" s="5" t="s">
        <v>970</v>
      </c>
      <c r="H362" s="2" t="s">
        <v>7</v>
      </c>
      <c r="I362" s="3" t="s">
        <v>111</v>
      </c>
      <c r="J362" s="3" t="s">
        <v>502</v>
      </c>
      <c r="K362" s="5" t="s">
        <v>1308</v>
      </c>
      <c r="L362" s="6" t="s">
        <v>984</v>
      </c>
      <c r="M362" s="4" t="s">
        <v>771</v>
      </c>
      <c r="O362" s="2" t="s">
        <v>7</v>
      </c>
      <c r="P362" s="3" t="s">
        <v>786</v>
      </c>
      <c r="Q362" s="4" t="s">
        <v>774</v>
      </c>
      <c r="R362" s="3" t="s">
        <v>121</v>
      </c>
      <c r="S362" s="6" t="s">
        <v>1248</v>
      </c>
      <c r="T362" s="5" t="s">
        <v>813</v>
      </c>
    </row>
    <row r="363" spans="1:20" x14ac:dyDescent="0.3">
      <c r="A363" s="2" t="s">
        <v>12</v>
      </c>
      <c r="B363" s="3" t="s">
        <v>923</v>
      </c>
      <c r="C363" s="4" t="s">
        <v>399</v>
      </c>
      <c r="D363" s="6" t="s">
        <v>194</v>
      </c>
      <c r="E363" s="3">
        <v>0</v>
      </c>
      <c r="F363" s="5" t="s">
        <v>222</v>
      </c>
      <c r="H363" s="2" t="s">
        <v>12</v>
      </c>
      <c r="I363" s="3" t="s">
        <v>142</v>
      </c>
      <c r="J363" s="3" t="s">
        <v>25</v>
      </c>
      <c r="K363" s="4" t="s">
        <v>69</v>
      </c>
      <c r="L363" s="5" t="s">
        <v>679</v>
      </c>
      <c r="M363" s="6" t="s">
        <v>106</v>
      </c>
      <c r="O363" s="2" t="s">
        <v>12</v>
      </c>
      <c r="P363" s="3" t="s">
        <v>225</v>
      </c>
      <c r="Q363" s="4" t="s">
        <v>281</v>
      </c>
      <c r="R363" s="3" t="s">
        <v>25</v>
      </c>
      <c r="S363" s="6" t="s">
        <v>557</v>
      </c>
      <c r="T363" s="5" t="s">
        <v>1440</v>
      </c>
    </row>
    <row r="364" spans="1:20" x14ac:dyDescent="0.3">
      <c r="A364" s="2" t="s">
        <v>17</v>
      </c>
      <c r="B364" s="3" t="s">
        <v>354</v>
      </c>
      <c r="C364" s="6" t="s">
        <v>76</v>
      </c>
      <c r="D364" s="4" t="s">
        <v>150</v>
      </c>
      <c r="E364" s="3" t="s">
        <v>25</v>
      </c>
      <c r="F364" s="5" t="s">
        <v>300</v>
      </c>
      <c r="H364" s="2" t="s">
        <v>17</v>
      </c>
      <c r="I364" s="3" t="s">
        <v>590</v>
      </c>
      <c r="J364" s="6" t="s">
        <v>502</v>
      </c>
      <c r="K364" s="5" t="s">
        <v>399</v>
      </c>
      <c r="L364" s="4" t="s">
        <v>403</v>
      </c>
      <c r="M364" s="3" t="s">
        <v>352</v>
      </c>
      <c r="O364" s="2" t="s">
        <v>17</v>
      </c>
      <c r="P364" s="3" t="s">
        <v>580</v>
      </c>
      <c r="Q364" s="4" t="s">
        <v>580</v>
      </c>
      <c r="R364" s="3" t="s">
        <v>551</v>
      </c>
      <c r="S364" s="5" t="s">
        <v>44</v>
      </c>
      <c r="T364" s="6" t="s">
        <v>62</v>
      </c>
    </row>
    <row r="365" spans="1:20" x14ac:dyDescent="0.3">
      <c r="A365" s="2" t="s">
        <v>22</v>
      </c>
      <c r="B365" s="3" t="s">
        <v>971</v>
      </c>
      <c r="C365" s="5" t="s">
        <v>972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  <c r="O365" s="2" t="s">
        <v>22</v>
      </c>
      <c r="P365" s="3" t="s">
        <v>267</v>
      </c>
      <c r="Q365" s="5" t="s">
        <v>268</v>
      </c>
      <c r="R365" s="3" t="s">
        <v>25</v>
      </c>
      <c r="S365" s="3" t="s">
        <v>25</v>
      </c>
      <c r="T365" s="3" t="s">
        <v>25</v>
      </c>
    </row>
    <row r="366" spans="1:20" x14ac:dyDescent="0.3">
      <c r="A366" s="7" t="s">
        <v>26</v>
      </c>
      <c r="B366" s="8">
        <v>377</v>
      </c>
      <c r="C366" s="8">
        <v>94</v>
      </c>
      <c r="D366" s="8">
        <v>103</v>
      </c>
      <c r="E366" s="8">
        <v>0</v>
      </c>
      <c r="F366" s="8">
        <v>180</v>
      </c>
      <c r="H366" s="7" t="s">
        <v>26</v>
      </c>
      <c r="I366" s="8">
        <v>189</v>
      </c>
      <c r="J366" s="8">
        <v>0</v>
      </c>
      <c r="K366" s="8">
        <v>20</v>
      </c>
      <c r="L366" s="8">
        <v>96</v>
      </c>
      <c r="M366" s="8">
        <v>73</v>
      </c>
      <c r="O366" s="7" t="s">
        <v>26</v>
      </c>
      <c r="P366" s="8">
        <v>173</v>
      </c>
      <c r="Q366" s="8">
        <v>26</v>
      </c>
      <c r="R366" s="8">
        <v>0</v>
      </c>
      <c r="S366" s="8">
        <v>28</v>
      </c>
      <c r="T366" s="8">
        <v>119</v>
      </c>
    </row>
    <row r="367" spans="1:20" x14ac:dyDescent="0.3">
      <c r="A367" s="9" t="s">
        <v>27</v>
      </c>
      <c r="B367" s="10">
        <v>236</v>
      </c>
      <c r="C367" s="10">
        <v>68</v>
      </c>
      <c r="D367" s="10">
        <v>62</v>
      </c>
      <c r="E367" s="10">
        <v>0</v>
      </c>
      <c r="F367" s="10">
        <v>106</v>
      </c>
      <c r="H367" s="9" t="s">
        <v>27</v>
      </c>
      <c r="I367" s="10">
        <v>177</v>
      </c>
      <c r="J367" s="10">
        <v>0</v>
      </c>
      <c r="K367" s="10">
        <v>19</v>
      </c>
      <c r="L367" s="10">
        <v>89</v>
      </c>
      <c r="M367" s="10">
        <v>69</v>
      </c>
      <c r="O367" s="9" t="s">
        <v>27</v>
      </c>
      <c r="P367" s="10">
        <v>79</v>
      </c>
      <c r="Q367" s="10">
        <v>25</v>
      </c>
      <c r="R367" s="10">
        <v>0</v>
      </c>
      <c r="S367" s="10">
        <v>16</v>
      </c>
      <c r="T367" s="10">
        <v>38</v>
      </c>
    </row>
    <row r="368" spans="1:20" x14ac:dyDescent="0.3">
      <c r="A368" s="9" t="s">
        <v>28</v>
      </c>
      <c r="B368" s="10">
        <v>7</v>
      </c>
      <c r="C368" s="10">
        <v>2</v>
      </c>
      <c r="D368" s="10">
        <v>1</v>
      </c>
      <c r="E368" s="10">
        <v>0</v>
      </c>
      <c r="F368" s="10">
        <v>4</v>
      </c>
      <c r="H368" s="9" t="s">
        <v>28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O368" s="9" t="s">
        <v>28</v>
      </c>
      <c r="P368" s="10">
        <v>55</v>
      </c>
      <c r="Q368" s="10">
        <v>0</v>
      </c>
      <c r="R368" s="10">
        <v>0</v>
      </c>
      <c r="S368" s="10">
        <v>4</v>
      </c>
      <c r="T368" s="10">
        <v>51</v>
      </c>
    </row>
    <row r="369" spans="1:20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O369" s="9" t="s">
        <v>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3">
      <c r="A370" s="9" t="s">
        <v>30</v>
      </c>
      <c r="B370" s="10">
        <v>134</v>
      </c>
      <c r="C370" s="10">
        <v>24</v>
      </c>
      <c r="D370" s="10">
        <v>40</v>
      </c>
      <c r="E370" s="10">
        <v>0</v>
      </c>
      <c r="F370" s="10">
        <v>70</v>
      </c>
      <c r="H370" s="9" t="s">
        <v>30</v>
      </c>
      <c r="I370" s="10">
        <v>12</v>
      </c>
      <c r="J370" s="10">
        <v>0</v>
      </c>
      <c r="K370" s="10">
        <v>1</v>
      </c>
      <c r="L370" s="10">
        <v>7</v>
      </c>
      <c r="M370" s="10">
        <v>4</v>
      </c>
      <c r="O370" s="9" t="s">
        <v>30</v>
      </c>
      <c r="P370" s="10">
        <v>39</v>
      </c>
      <c r="Q370" s="10">
        <v>1</v>
      </c>
      <c r="R370" s="10">
        <v>0</v>
      </c>
      <c r="S370" s="10">
        <v>8</v>
      </c>
      <c r="T370" s="10">
        <v>30</v>
      </c>
    </row>
    <row r="371" spans="1:20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O371" s="9" t="s">
        <v>31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s="11" t="s">
        <v>32</v>
      </c>
      <c r="B372" s="12">
        <v>30</v>
      </c>
      <c r="C372" s="12">
        <v>9</v>
      </c>
      <c r="D372" s="12">
        <v>7</v>
      </c>
      <c r="E372" s="12">
        <v>0</v>
      </c>
      <c r="F372" s="12">
        <v>14</v>
      </c>
      <c r="H372" s="11" t="s">
        <v>32</v>
      </c>
      <c r="I372" s="12">
        <v>136</v>
      </c>
      <c r="J372" s="12">
        <v>28</v>
      </c>
      <c r="K372" s="12">
        <v>30</v>
      </c>
      <c r="L372" s="12">
        <v>42</v>
      </c>
      <c r="M372" s="12">
        <v>36</v>
      </c>
      <c r="O372" s="11" t="s">
        <v>32</v>
      </c>
      <c r="P372" s="12">
        <v>37</v>
      </c>
      <c r="Q372" s="12">
        <v>12</v>
      </c>
      <c r="R372" s="12">
        <v>8</v>
      </c>
      <c r="S372" s="12">
        <v>8</v>
      </c>
      <c r="T372" s="12">
        <v>9</v>
      </c>
    </row>
    <row r="373" spans="1:20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2</v>
      </c>
      <c r="J373" s="14">
        <v>0</v>
      </c>
      <c r="K373" s="14">
        <v>1</v>
      </c>
      <c r="L373" s="14">
        <v>1</v>
      </c>
      <c r="M373" s="14">
        <v>0</v>
      </c>
      <c r="O373" s="13" t="s">
        <v>33</v>
      </c>
      <c r="P373" s="14">
        <v>12</v>
      </c>
      <c r="Q373" s="14">
        <v>4</v>
      </c>
      <c r="R373" s="14">
        <v>2</v>
      </c>
      <c r="S373" s="14">
        <v>4</v>
      </c>
      <c r="T373" s="14">
        <v>2</v>
      </c>
    </row>
    <row r="374" spans="1:20" x14ac:dyDescent="0.3">
      <c r="A374" s="13" t="s">
        <v>34</v>
      </c>
      <c r="B374" s="14">
        <v>30</v>
      </c>
      <c r="C374" s="14">
        <v>9</v>
      </c>
      <c r="D374" s="14">
        <v>7</v>
      </c>
      <c r="E374" s="14">
        <v>0</v>
      </c>
      <c r="F374" s="14">
        <v>14</v>
      </c>
      <c r="H374" s="13" t="s">
        <v>34</v>
      </c>
      <c r="I374" s="14">
        <v>134</v>
      </c>
      <c r="J374" s="14">
        <v>28</v>
      </c>
      <c r="K374" s="14">
        <v>29</v>
      </c>
      <c r="L374" s="14">
        <v>41</v>
      </c>
      <c r="M374" s="14">
        <v>36</v>
      </c>
      <c r="O374" s="13" t="s">
        <v>34</v>
      </c>
      <c r="P374" s="14">
        <v>25</v>
      </c>
      <c r="Q374" s="14">
        <v>8</v>
      </c>
      <c r="R374" s="14">
        <v>6</v>
      </c>
      <c r="S374" s="14">
        <v>4</v>
      </c>
      <c r="T374" s="14">
        <v>7</v>
      </c>
    </row>
    <row r="375" spans="1:20" x14ac:dyDescent="0.3">
      <c r="A375" s="15" t="s">
        <v>35</v>
      </c>
      <c r="B375" s="16">
        <v>133</v>
      </c>
      <c r="C375" s="16">
        <v>133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O375" s="15" t="s">
        <v>35</v>
      </c>
      <c r="P375" s="16">
        <v>1</v>
      </c>
      <c r="Q375" s="16">
        <v>1</v>
      </c>
      <c r="R375" s="16">
        <v>0</v>
      </c>
      <c r="S375" s="16">
        <v>0</v>
      </c>
      <c r="T375" s="16">
        <v>0</v>
      </c>
    </row>
    <row r="376" spans="1:20" x14ac:dyDescent="0.3">
      <c r="A376" s="17" t="s">
        <v>36</v>
      </c>
      <c r="B376" s="19">
        <v>0</v>
      </c>
      <c r="C376" s="19">
        <v>0</v>
      </c>
      <c r="D376" s="19">
        <v>0</v>
      </c>
      <c r="E376" s="19">
        <v>0</v>
      </c>
      <c r="F376" s="19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  <c r="O376" s="17" t="s">
        <v>36</v>
      </c>
      <c r="P376" s="138">
        <v>0</v>
      </c>
      <c r="Q376" s="138">
        <v>0</v>
      </c>
      <c r="R376" s="138">
        <v>0</v>
      </c>
      <c r="S376" s="138">
        <v>0</v>
      </c>
      <c r="T376" s="138">
        <v>0</v>
      </c>
    </row>
    <row r="377" spans="1:20" x14ac:dyDescent="0.3">
      <c r="A377" s="17" t="s">
        <v>37</v>
      </c>
      <c r="B377" s="19">
        <v>133</v>
      </c>
      <c r="C377" s="19">
        <v>133</v>
      </c>
      <c r="D377" s="19">
        <v>0</v>
      </c>
      <c r="E377" s="19">
        <v>0</v>
      </c>
      <c r="F377" s="19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  <c r="O377" s="17" t="s">
        <v>37</v>
      </c>
      <c r="P377" s="138">
        <v>1</v>
      </c>
      <c r="Q377" s="138">
        <v>1</v>
      </c>
      <c r="R377" s="138">
        <v>0</v>
      </c>
      <c r="S377" s="138">
        <v>0</v>
      </c>
      <c r="T377" s="138">
        <v>0</v>
      </c>
    </row>
    <row r="378" spans="1:20" x14ac:dyDescent="0.3">
      <c r="A378" s="17" t="s">
        <v>38</v>
      </c>
      <c r="B378" s="172" t="s">
        <v>831</v>
      </c>
      <c r="C378" s="173"/>
      <c r="D378" s="173"/>
      <c r="E378" s="173"/>
      <c r="F378" s="173"/>
      <c r="H378" s="17" t="s">
        <v>38</v>
      </c>
      <c r="I378" s="167" t="s">
        <v>1597</v>
      </c>
      <c r="J378" s="168"/>
      <c r="K378" s="168"/>
      <c r="L378" s="168"/>
      <c r="M378" s="168"/>
      <c r="O378" s="17" t="s">
        <v>38</v>
      </c>
      <c r="P378" s="167" t="s">
        <v>1981</v>
      </c>
      <c r="Q378" s="168"/>
      <c r="R378" s="168"/>
      <c r="S378" s="168"/>
      <c r="T378" s="168"/>
    </row>
    <row r="379" spans="1:20" ht="19.8" x14ac:dyDescent="0.3">
      <c r="A379" s="171">
        <v>46107</v>
      </c>
      <c r="B379" s="171"/>
      <c r="C379" s="171"/>
      <c r="D379" s="171"/>
      <c r="E379" s="171"/>
      <c r="F379" s="171"/>
      <c r="H379" s="170">
        <v>46134</v>
      </c>
      <c r="I379" s="168"/>
      <c r="J379" s="168"/>
      <c r="K379" s="168"/>
      <c r="L379" s="168"/>
      <c r="M379" s="168"/>
      <c r="O379" s="171">
        <v>46165</v>
      </c>
      <c r="P379" s="171"/>
      <c r="Q379" s="171"/>
      <c r="R379" s="171"/>
      <c r="S379" s="171"/>
      <c r="T379" s="171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870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  <c r="O380" s="1" t="s">
        <v>0</v>
      </c>
      <c r="P380" s="1" t="s">
        <v>1</v>
      </c>
      <c r="Q380" s="1" t="s">
        <v>642</v>
      </c>
      <c r="R380" s="1" t="s">
        <v>3</v>
      </c>
      <c r="S380" s="1" t="s">
        <v>40</v>
      </c>
      <c r="T380" s="1" t="s">
        <v>4</v>
      </c>
    </row>
    <row r="381" spans="1:20" x14ac:dyDescent="0.3">
      <c r="A381" s="2" t="s">
        <v>5</v>
      </c>
      <c r="B381" s="3">
        <v>4950</v>
      </c>
      <c r="C381" s="3">
        <v>1444</v>
      </c>
      <c r="D381" s="3">
        <v>1826</v>
      </c>
      <c r="E381" s="3">
        <v>0</v>
      </c>
      <c r="F381" s="3">
        <v>1680</v>
      </c>
      <c r="H381" s="2" t="s">
        <v>5</v>
      </c>
      <c r="I381" s="3">
        <v>6383</v>
      </c>
      <c r="J381" s="3">
        <v>997</v>
      </c>
      <c r="K381" s="3">
        <v>2023</v>
      </c>
      <c r="L381" s="3">
        <v>1781</v>
      </c>
      <c r="M381" s="3">
        <v>1582</v>
      </c>
      <c r="O381" s="2" t="s">
        <v>5</v>
      </c>
      <c r="P381" s="3">
        <v>4603</v>
      </c>
      <c r="Q381" s="3">
        <v>0</v>
      </c>
      <c r="R381" s="3">
        <v>1734</v>
      </c>
      <c r="S381" s="3">
        <v>1450</v>
      </c>
      <c r="T381" s="3">
        <v>1419</v>
      </c>
    </row>
    <row r="382" spans="1:20" x14ac:dyDescent="0.3">
      <c r="A382" s="2" t="s">
        <v>6</v>
      </c>
      <c r="B382" s="3">
        <v>553</v>
      </c>
      <c r="C382" s="4">
        <v>126</v>
      </c>
      <c r="D382" s="6">
        <v>188</v>
      </c>
      <c r="E382" s="3">
        <v>0</v>
      </c>
      <c r="F382" s="5">
        <v>239</v>
      </c>
      <c r="H382" s="2" t="s">
        <v>6</v>
      </c>
      <c r="I382" s="3">
        <v>424</v>
      </c>
      <c r="J382" s="3">
        <v>34</v>
      </c>
      <c r="K382" s="5">
        <v>164</v>
      </c>
      <c r="L382" s="6">
        <v>119</v>
      </c>
      <c r="M382" s="4">
        <v>107</v>
      </c>
      <c r="O382" s="2" t="s">
        <v>6</v>
      </c>
      <c r="P382" s="3">
        <v>219</v>
      </c>
      <c r="Q382" s="3">
        <v>0</v>
      </c>
      <c r="R382" s="4">
        <v>10</v>
      </c>
      <c r="S382" s="6">
        <v>67</v>
      </c>
      <c r="T382" s="5">
        <v>142</v>
      </c>
    </row>
    <row r="383" spans="1:20" x14ac:dyDescent="0.3">
      <c r="A383" s="2" t="s">
        <v>7</v>
      </c>
      <c r="B383" s="3" t="s">
        <v>1008</v>
      </c>
      <c r="C383" s="4" t="s">
        <v>1009</v>
      </c>
      <c r="D383" s="6" t="s">
        <v>1010</v>
      </c>
      <c r="E383" s="3">
        <v>0</v>
      </c>
      <c r="F383" s="5" t="s">
        <v>1011</v>
      </c>
      <c r="H383" s="2" t="s">
        <v>7</v>
      </c>
      <c r="I383" s="3" t="s">
        <v>1615</v>
      </c>
      <c r="J383" s="3" t="s">
        <v>1616</v>
      </c>
      <c r="K383" s="5" t="s">
        <v>893</v>
      </c>
      <c r="L383" s="4" t="s">
        <v>111</v>
      </c>
      <c r="M383" s="6" t="s">
        <v>1617</v>
      </c>
      <c r="O383" s="2" t="s">
        <v>7</v>
      </c>
      <c r="P383" s="3" t="s">
        <v>848</v>
      </c>
      <c r="Q383" s="3">
        <v>0</v>
      </c>
      <c r="R383" s="4" t="s">
        <v>137</v>
      </c>
      <c r="S383" s="6" t="s">
        <v>1990</v>
      </c>
      <c r="T383" s="5" t="s">
        <v>1991</v>
      </c>
    </row>
    <row r="384" spans="1:20" x14ac:dyDescent="0.3">
      <c r="A384" s="2" t="s">
        <v>12</v>
      </c>
      <c r="B384" s="3" t="s">
        <v>921</v>
      </c>
      <c r="C384" s="6" t="s">
        <v>621</v>
      </c>
      <c r="D384" s="4" t="s">
        <v>323</v>
      </c>
      <c r="E384" s="3">
        <v>0</v>
      </c>
      <c r="F384" s="5" t="s">
        <v>1012</v>
      </c>
      <c r="H384" s="2" t="s">
        <v>12</v>
      </c>
      <c r="I384" s="3" t="s">
        <v>666</v>
      </c>
      <c r="J384" s="3" t="s">
        <v>25</v>
      </c>
      <c r="K384" s="5" t="s">
        <v>766</v>
      </c>
      <c r="L384" s="6" t="s">
        <v>749</v>
      </c>
      <c r="M384" s="4" t="s">
        <v>71</v>
      </c>
      <c r="O384" s="2" t="s">
        <v>12</v>
      </c>
      <c r="P384" s="3" t="s">
        <v>622</v>
      </c>
      <c r="Q384" s="3">
        <v>0</v>
      </c>
      <c r="R384" s="3" t="s">
        <v>25</v>
      </c>
      <c r="S384" s="6" t="s">
        <v>1519</v>
      </c>
      <c r="T384" s="5" t="s">
        <v>990</v>
      </c>
    </row>
    <row r="385" spans="1:20" x14ac:dyDescent="0.3">
      <c r="A385" s="2" t="s">
        <v>17</v>
      </c>
      <c r="B385" s="3" t="s">
        <v>1013</v>
      </c>
      <c r="C385" s="4" t="s">
        <v>453</v>
      </c>
      <c r="D385" s="5" t="s">
        <v>1014</v>
      </c>
      <c r="E385" s="3" t="s">
        <v>25</v>
      </c>
      <c r="F385" s="6" t="s">
        <v>301</v>
      </c>
      <c r="H385" s="2" t="s">
        <v>17</v>
      </c>
      <c r="I385" s="3" t="s">
        <v>16</v>
      </c>
      <c r="J385" s="6" t="s">
        <v>250</v>
      </c>
      <c r="K385" s="3" t="s">
        <v>479</v>
      </c>
      <c r="L385" s="4" t="s">
        <v>1618</v>
      </c>
      <c r="M385" s="5" t="s">
        <v>139</v>
      </c>
      <c r="O385" s="2" t="s">
        <v>17</v>
      </c>
      <c r="P385" s="3" t="s">
        <v>452</v>
      </c>
      <c r="Q385" s="3" t="s">
        <v>25</v>
      </c>
      <c r="R385" s="6" t="s">
        <v>452</v>
      </c>
      <c r="S385" s="5" t="s">
        <v>346</v>
      </c>
      <c r="T385" s="4" t="s">
        <v>1087</v>
      </c>
    </row>
    <row r="386" spans="1:20" x14ac:dyDescent="0.3">
      <c r="A386" s="2" t="s">
        <v>22</v>
      </c>
      <c r="B386" s="3" t="s">
        <v>431</v>
      </c>
      <c r="C386" s="5" t="s">
        <v>1015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  <c r="O386" s="2" t="s">
        <v>22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 x14ac:dyDescent="0.3">
      <c r="A387" s="7" t="s">
        <v>26</v>
      </c>
      <c r="B387" s="8">
        <v>249</v>
      </c>
      <c r="C387" s="8">
        <v>78</v>
      </c>
      <c r="D387" s="8">
        <v>43</v>
      </c>
      <c r="E387" s="8">
        <v>0</v>
      </c>
      <c r="F387" s="8">
        <v>128</v>
      </c>
      <c r="H387" s="7" t="s">
        <v>26</v>
      </c>
      <c r="I387" s="8">
        <v>212</v>
      </c>
      <c r="J387" s="8">
        <v>0</v>
      </c>
      <c r="K387" s="8">
        <v>103</v>
      </c>
      <c r="L387" s="8">
        <v>63</v>
      </c>
      <c r="M387" s="8">
        <v>46</v>
      </c>
      <c r="O387" s="7" t="s">
        <v>26</v>
      </c>
      <c r="P387" s="8">
        <v>196</v>
      </c>
      <c r="Q387" s="8">
        <v>0</v>
      </c>
      <c r="R387" s="8">
        <v>0</v>
      </c>
      <c r="S387" s="8">
        <v>60</v>
      </c>
      <c r="T387" s="8">
        <v>136</v>
      </c>
    </row>
    <row r="388" spans="1:20" x14ac:dyDescent="0.3">
      <c r="A388" s="9" t="s">
        <v>27</v>
      </c>
      <c r="B388" s="10">
        <v>174</v>
      </c>
      <c r="C388" s="10">
        <v>61</v>
      </c>
      <c r="D388" s="10">
        <v>36</v>
      </c>
      <c r="E388" s="10">
        <v>0</v>
      </c>
      <c r="F388" s="10">
        <v>77</v>
      </c>
      <c r="H388" s="9" t="s">
        <v>27</v>
      </c>
      <c r="I388" s="10">
        <v>195</v>
      </c>
      <c r="J388" s="10">
        <v>0</v>
      </c>
      <c r="K388" s="10">
        <v>95</v>
      </c>
      <c r="L388" s="10">
        <v>57</v>
      </c>
      <c r="M388" s="10">
        <v>43</v>
      </c>
      <c r="O388" s="9" t="s">
        <v>27</v>
      </c>
      <c r="P388" s="10">
        <v>50</v>
      </c>
      <c r="Q388" s="10">
        <v>0</v>
      </c>
      <c r="R388" s="10">
        <v>0</v>
      </c>
      <c r="S388" s="10">
        <v>27</v>
      </c>
      <c r="T388" s="10">
        <v>23</v>
      </c>
    </row>
    <row r="389" spans="1:20" x14ac:dyDescent="0.3">
      <c r="A389" s="9" t="s">
        <v>28</v>
      </c>
      <c r="B389" s="10">
        <v>13</v>
      </c>
      <c r="C389" s="10">
        <v>2</v>
      </c>
      <c r="D389" s="10">
        <v>0</v>
      </c>
      <c r="E389" s="10">
        <v>0</v>
      </c>
      <c r="F389" s="10">
        <v>11</v>
      </c>
      <c r="H389" s="9" t="s">
        <v>28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O389" s="9" t="s">
        <v>28</v>
      </c>
      <c r="P389" s="10">
        <v>95</v>
      </c>
      <c r="Q389" s="10">
        <v>0</v>
      </c>
      <c r="R389" s="10">
        <v>0</v>
      </c>
      <c r="S389" s="10">
        <v>18</v>
      </c>
      <c r="T389" s="10">
        <v>77</v>
      </c>
    </row>
    <row r="390" spans="1:20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O390" s="9" t="s">
        <v>29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s="9" t="s">
        <v>30</v>
      </c>
      <c r="B391" s="10">
        <v>62</v>
      </c>
      <c r="C391" s="10">
        <v>15</v>
      </c>
      <c r="D391" s="10">
        <v>7</v>
      </c>
      <c r="E391" s="10">
        <v>0</v>
      </c>
      <c r="F391" s="10">
        <v>40</v>
      </c>
      <c r="H391" s="9" t="s">
        <v>30</v>
      </c>
      <c r="I391" s="10">
        <v>17</v>
      </c>
      <c r="J391" s="10">
        <v>0</v>
      </c>
      <c r="K391" s="10">
        <v>8</v>
      </c>
      <c r="L391" s="10">
        <v>6</v>
      </c>
      <c r="M391" s="10">
        <v>3</v>
      </c>
      <c r="O391" s="9" t="s">
        <v>30</v>
      </c>
      <c r="P391" s="10">
        <v>51</v>
      </c>
      <c r="Q391" s="10">
        <v>0</v>
      </c>
      <c r="R391" s="10">
        <v>0</v>
      </c>
      <c r="S391" s="10">
        <v>15</v>
      </c>
      <c r="T391" s="10">
        <v>36</v>
      </c>
    </row>
    <row r="392" spans="1:20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O392" s="9" t="s">
        <v>31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s="11" t="s">
        <v>32</v>
      </c>
      <c r="B393" s="12">
        <v>301</v>
      </c>
      <c r="C393" s="12">
        <v>46</v>
      </c>
      <c r="D393" s="12">
        <v>144</v>
      </c>
      <c r="E393" s="12">
        <v>0</v>
      </c>
      <c r="F393" s="12">
        <v>111</v>
      </c>
      <c r="H393" s="11" t="s">
        <v>32</v>
      </c>
      <c r="I393" s="12">
        <v>208</v>
      </c>
      <c r="J393" s="12">
        <v>33</v>
      </c>
      <c r="K393" s="12">
        <v>59</v>
      </c>
      <c r="L393" s="12">
        <v>56</v>
      </c>
      <c r="M393" s="12">
        <v>60</v>
      </c>
      <c r="O393" s="11" t="s">
        <v>32</v>
      </c>
      <c r="P393" s="12">
        <v>45</v>
      </c>
      <c r="Q393" s="12">
        <v>0</v>
      </c>
      <c r="R393" s="12">
        <v>17</v>
      </c>
      <c r="S393" s="12">
        <v>17</v>
      </c>
      <c r="T393" s="12">
        <v>11</v>
      </c>
    </row>
    <row r="394" spans="1:20" x14ac:dyDescent="0.3">
      <c r="A394" s="13" t="s">
        <v>33</v>
      </c>
      <c r="B394" s="14">
        <v>32</v>
      </c>
      <c r="C394" s="14">
        <v>2</v>
      </c>
      <c r="D394" s="14">
        <v>11</v>
      </c>
      <c r="E394" s="14">
        <v>0</v>
      </c>
      <c r="F394" s="14">
        <v>19</v>
      </c>
      <c r="H394" s="13" t="s">
        <v>33</v>
      </c>
      <c r="I394" s="14">
        <v>3</v>
      </c>
      <c r="J394" s="14">
        <v>0</v>
      </c>
      <c r="K394" s="14">
        <v>1</v>
      </c>
      <c r="L394" s="14">
        <v>1</v>
      </c>
      <c r="M394" s="14">
        <v>1</v>
      </c>
      <c r="O394" s="13" t="s">
        <v>33</v>
      </c>
      <c r="P394" s="14">
        <v>22</v>
      </c>
      <c r="Q394" s="14">
        <v>0</v>
      </c>
      <c r="R394" s="14">
        <v>9</v>
      </c>
      <c r="S394" s="14">
        <v>7</v>
      </c>
      <c r="T394" s="14">
        <v>6</v>
      </c>
    </row>
    <row r="395" spans="1:20" x14ac:dyDescent="0.3">
      <c r="A395" s="13" t="s">
        <v>34</v>
      </c>
      <c r="B395" s="14">
        <v>269</v>
      </c>
      <c r="C395" s="14">
        <v>44</v>
      </c>
      <c r="D395" s="14">
        <v>133</v>
      </c>
      <c r="E395" s="14">
        <v>0</v>
      </c>
      <c r="F395" s="14">
        <v>92</v>
      </c>
      <c r="H395" s="13" t="s">
        <v>34</v>
      </c>
      <c r="I395" s="14">
        <v>205</v>
      </c>
      <c r="J395" s="14">
        <v>33</v>
      </c>
      <c r="K395" s="14">
        <v>58</v>
      </c>
      <c r="L395" s="14">
        <v>55</v>
      </c>
      <c r="M395" s="14">
        <v>59</v>
      </c>
      <c r="O395" s="13" t="s">
        <v>34</v>
      </c>
      <c r="P395" s="14">
        <v>23</v>
      </c>
      <c r="Q395" s="14">
        <v>0</v>
      </c>
      <c r="R395" s="14">
        <v>8</v>
      </c>
      <c r="S395" s="14">
        <v>10</v>
      </c>
      <c r="T395" s="14">
        <v>5</v>
      </c>
    </row>
    <row r="396" spans="1:20" x14ac:dyDescent="0.3">
      <c r="A396" s="15" t="s">
        <v>35</v>
      </c>
      <c r="B396" s="16">
        <v>70</v>
      </c>
      <c r="C396" s="16">
        <v>70</v>
      </c>
      <c r="D396" s="16">
        <v>0</v>
      </c>
      <c r="E396" s="16">
        <v>0</v>
      </c>
      <c r="F396" s="16">
        <v>0</v>
      </c>
      <c r="H396" s="15" t="s">
        <v>35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O396" s="15" t="s">
        <v>35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</row>
    <row r="397" spans="1:20" x14ac:dyDescent="0.3">
      <c r="A397" s="17" t="s">
        <v>36</v>
      </c>
      <c r="B397" s="34">
        <v>0</v>
      </c>
      <c r="C397" s="34">
        <v>0</v>
      </c>
      <c r="D397" s="34">
        <v>0</v>
      </c>
      <c r="E397" s="34">
        <v>0</v>
      </c>
      <c r="F397" s="34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O397" s="17" t="s">
        <v>36</v>
      </c>
      <c r="P397" s="138">
        <v>0</v>
      </c>
      <c r="Q397" s="138">
        <v>0</v>
      </c>
      <c r="R397" s="138">
        <v>0</v>
      </c>
      <c r="S397" s="138">
        <v>0</v>
      </c>
      <c r="T397" s="138">
        <v>0</v>
      </c>
    </row>
    <row r="398" spans="1:20" x14ac:dyDescent="0.3">
      <c r="A398" s="17" t="s">
        <v>37</v>
      </c>
      <c r="B398" s="34">
        <v>70</v>
      </c>
      <c r="C398" s="34">
        <v>70</v>
      </c>
      <c r="D398" s="34">
        <v>0</v>
      </c>
      <c r="E398" s="34">
        <v>0</v>
      </c>
      <c r="F398" s="34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  <c r="O398" s="17" t="s">
        <v>37</v>
      </c>
      <c r="P398" s="138">
        <v>0</v>
      </c>
      <c r="Q398" s="138">
        <v>0</v>
      </c>
      <c r="R398" s="138">
        <v>0</v>
      </c>
      <c r="S398" s="138">
        <v>0</v>
      </c>
      <c r="T398" s="138">
        <v>0</v>
      </c>
    </row>
    <row r="399" spans="1:20" x14ac:dyDescent="0.3">
      <c r="A399" s="17" t="s">
        <v>38</v>
      </c>
      <c r="B399" s="172" t="s">
        <v>1016</v>
      </c>
      <c r="C399" s="173"/>
      <c r="D399" s="173"/>
      <c r="E399" s="173"/>
      <c r="F399" s="173"/>
      <c r="H399" s="17" t="s">
        <v>38</v>
      </c>
      <c r="I399" s="167" t="s">
        <v>1619</v>
      </c>
      <c r="J399" s="168"/>
      <c r="K399" s="168"/>
      <c r="L399" s="168"/>
      <c r="M399" s="168"/>
      <c r="O399" s="17" t="s">
        <v>38</v>
      </c>
      <c r="P399" s="172" t="s">
        <v>1956</v>
      </c>
      <c r="Q399" s="173"/>
      <c r="R399" s="173"/>
      <c r="S399" s="173"/>
      <c r="T399" s="173"/>
    </row>
    <row r="400" spans="1:20" ht="19.8" x14ac:dyDescent="0.3">
      <c r="A400" s="171">
        <v>46108</v>
      </c>
      <c r="B400" s="171"/>
      <c r="C400" s="171"/>
      <c r="D400" s="171"/>
      <c r="E400" s="171"/>
      <c r="F400" s="171"/>
      <c r="H400" s="171">
        <v>46135</v>
      </c>
      <c r="I400" s="174"/>
      <c r="J400" s="174"/>
      <c r="K400" s="174"/>
      <c r="L400" s="174"/>
      <c r="M400" s="174"/>
      <c r="O400" s="170">
        <v>46167</v>
      </c>
      <c r="P400" s="168"/>
      <c r="Q400" s="168"/>
      <c r="R400" s="168"/>
      <c r="S400" s="168"/>
      <c r="T400" s="168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870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1638</v>
      </c>
      <c r="L401" s="1" t="s">
        <v>40</v>
      </c>
      <c r="M401" s="1" t="s">
        <v>4</v>
      </c>
      <c r="O401" s="1" t="s">
        <v>0</v>
      </c>
      <c r="P401" s="1" t="s">
        <v>1</v>
      </c>
      <c r="Q401" s="1" t="s">
        <v>2</v>
      </c>
      <c r="R401" s="1" t="s">
        <v>3</v>
      </c>
      <c r="S401" s="1" t="s">
        <v>40</v>
      </c>
      <c r="T401" s="1" t="s">
        <v>4</v>
      </c>
    </row>
    <row r="402" spans="1:20" x14ac:dyDescent="0.3">
      <c r="A402" s="2" t="s">
        <v>5</v>
      </c>
      <c r="B402" s="3">
        <v>4909</v>
      </c>
      <c r="C402" s="3">
        <v>625</v>
      </c>
      <c r="D402" s="3">
        <v>2160</v>
      </c>
      <c r="E402" s="3">
        <v>0</v>
      </c>
      <c r="F402" s="3">
        <v>2124</v>
      </c>
      <c r="H402" s="2" t="s">
        <v>5</v>
      </c>
      <c r="I402" s="3">
        <f>J402+K402+L402+M402</f>
        <v>6550</v>
      </c>
      <c r="J402" s="3">
        <v>2172</v>
      </c>
      <c r="K402" s="3">
        <v>1408</v>
      </c>
      <c r="L402" s="3">
        <v>1431</v>
      </c>
      <c r="M402" s="3">
        <v>1539</v>
      </c>
      <c r="O402" s="2" t="s">
        <v>5</v>
      </c>
      <c r="P402" s="3">
        <v>3725</v>
      </c>
      <c r="Q402" s="3">
        <v>1216</v>
      </c>
      <c r="R402" s="3">
        <v>837</v>
      </c>
      <c r="S402" s="3">
        <v>728</v>
      </c>
      <c r="T402" s="3">
        <v>944</v>
      </c>
    </row>
    <row r="403" spans="1:20" x14ac:dyDescent="0.3">
      <c r="A403" s="2" t="s">
        <v>6</v>
      </c>
      <c r="B403" s="3">
        <v>2040</v>
      </c>
      <c r="C403" s="4">
        <v>232</v>
      </c>
      <c r="D403" s="5">
        <v>906</v>
      </c>
      <c r="E403" s="3">
        <v>0</v>
      </c>
      <c r="F403" s="6">
        <v>902</v>
      </c>
      <c r="H403" s="2" t="s">
        <v>6</v>
      </c>
      <c r="I403" s="3">
        <f>J403+K403+L403+M403</f>
        <v>589</v>
      </c>
      <c r="J403" s="4">
        <v>112</v>
      </c>
      <c r="K403" s="5">
        <v>161</v>
      </c>
      <c r="L403" s="6">
        <v>153</v>
      </c>
      <c r="M403" s="5">
        <v>163</v>
      </c>
      <c r="O403" s="2" t="s">
        <v>6</v>
      </c>
      <c r="P403" s="3">
        <v>135</v>
      </c>
      <c r="Q403" s="4">
        <v>2</v>
      </c>
      <c r="R403" s="3">
        <v>0</v>
      </c>
      <c r="S403" s="6">
        <v>35</v>
      </c>
      <c r="T403" s="5">
        <v>98</v>
      </c>
    </row>
    <row r="404" spans="1:20" x14ac:dyDescent="0.3">
      <c r="A404" s="2" t="s">
        <v>7</v>
      </c>
      <c r="B404" s="3" t="s">
        <v>1039</v>
      </c>
      <c r="C404" s="4" t="s">
        <v>1040</v>
      </c>
      <c r="D404" s="6" t="s">
        <v>1041</v>
      </c>
      <c r="E404" s="3">
        <v>0</v>
      </c>
      <c r="F404" s="5" t="s">
        <v>1042</v>
      </c>
      <c r="H404" s="2" t="s">
        <v>7</v>
      </c>
      <c r="I404" s="48">
        <f>I403/I402</f>
        <v>8.9923664122137398E-2</v>
      </c>
      <c r="J404" s="4" t="s">
        <v>261</v>
      </c>
      <c r="K404" s="6" t="s">
        <v>1639</v>
      </c>
      <c r="L404" s="5" t="s">
        <v>313</v>
      </c>
      <c r="M404" s="6" t="s">
        <v>985</v>
      </c>
      <c r="O404" s="2" t="s">
        <v>7</v>
      </c>
      <c r="P404" s="3" t="s">
        <v>819</v>
      </c>
      <c r="Q404" s="4" t="s">
        <v>154</v>
      </c>
      <c r="R404" s="3" t="s">
        <v>25</v>
      </c>
      <c r="S404" s="6" t="s">
        <v>810</v>
      </c>
      <c r="T404" s="5" t="s">
        <v>1697</v>
      </c>
    </row>
    <row r="405" spans="1:20" x14ac:dyDescent="0.3">
      <c r="A405" s="2" t="s">
        <v>12</v>
      </c>
      <c r="B405" s="3" t="s">
        <v>196</v>
      </c>
      <c r="C405" s="4" t="s">
        <v>1043</v>
      </c>
      <c r="D405" s="6" t="s">
        <v>1044</v>
      </c>
      <c r="E405" s="3">
        <v>0</v>
      </c>
      <c r="F405" s="5" t="s">
        <v>1045</v>
      </c>
      <c r="H405" s="2" t="s">
        <v>12</v>
      </c>
      <c r="I405" s="48">
        <f>I408/I402</f>
        <v>3.2213740458015269E-2</v>
      </c>
      <c r="J405" s="3" t="s">
        <v>25</v>
      </c>
      <c r="K405" s="6" t="s">
        <v>1245</v>
      </c>
      <c r="L405" s="5" t="s">
        <v>254</v>
      </c>
      <c r="M405" s="6" t="s">
        <v>486</v>
      </c>
      <c r="O405" s="2" t="s">
        <v>12</v>
      </c>
      <c r="P405" s="3" t="s">
        <v>1254</v>
      </c>
      <c r="Q405" s="3" t="s">
        <v>25</v>
      </c>
      <c r="R405" s="3" t="s">
        <v>25</v>
      </c>
      <c r="S405" s="6" t="s">
        <v>638</v>
      </c>
      <c r="T405" s="5" t="s">
        <v>21</v>
      </c>
    </row>
    <row r="406" spans="1:20" x14ac:dyDescent="0.3">
      <c r="A406" s="2" t="s">
        <v>17</v>
      </c>
      <c r="B406" s="3" t="s">
        <v>1046</v>
      </c>
      <c r="C406" s="4" t="s">
        <v>1047</v>
      </c>
      <c r="D406" s="6" t="s">
        <v>1048</v>
      </c>
      <c r="E406" s="3" t="s">
        <v>25</v>
      </c>
      <c r="F406" s="5" t="s">
        <v>1049</v>
      </c>
      <c r="H406" s="2" t="s">
        <v>17</v>
      </c>
      <c r="I406" s="48">
        <f>I414/I402</f>
        <v>5.7557251908396945E-2</v>
      </c>
      <c r="J406" s="4" t="s">
        <v>261</v>
      </c>
      <c r="K406" s="5" t="s">
        <v>380</v>
      </c>
      <c r="L406" s="6" t="s">
        <v>645</v>
      </c>
      <c r="M406" s="5" t="s">
        <v>220</v>
      </c>
      <c r="O406" s="2" t="s">
        <v>17</v>
      </c>
      <c r="P406" s="3" t="s">
        <v>317</v>
      </c>
      <c r="Q406" s="6" t="s">
        <v>76</v>
      </c>
      <c r="R406" s="3" t="s">
        <v>134</v>
      </c>
      <c r="S406" s="5" t="s">
        <v>863</v>
      </c>
      <c r="T406" s="4" t="s">
        <v>78</v>
      </c>
    </row>
    <row r="407" spans="1:20" x14ac:dyDescent="0.3">
      <c r="A407" s="2" t="s">
        <v>22</v>
      </c>
      <c r="B407" s="3" t="s">
        <v>431</v>
      </c>
      <c r="C407" s="5" t="s">
        <v>1050</v>
      </c>
      <c r="D407" s="3" t="s">
        <v>25</v>
      </c>
      <c r="E407" s="3" t="s">
        <v>25</v>
      </c>
      <c r="F407" s="3" t="s">
        <v>25</v>
      </c>
      <c r="H407" s="2" t="s">
        <v>22</v>
      </c>
      <c r="I407" s="48">
        <f>I417/I402</f>
        <v>6.1068702290076337E-4</v>
      </c>
      <c r="J407" s="6" t="s">
        <v>84</v>
      </c>
      <c r="K407" s="3" t="s">
        <v>25</v>
      </c>
      <c r="L407" s="5" t="s">
        <v>310</v>
      </c>
      <c r="M407" s="3" t="s">
        <v>25</v>
      </c>
      <c r="O407" s="2" t="s">
        <v>22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 x14ac:dyDescent="0.3">
      <c r="A408" s="7" t="s">
        <v>26</v>
      </c>
      <c r="B408" s="8">
        <v>98</v>
      </c>
      <c r="C408" s="8">
        <v>11</v>
      </c>
      <c r="D408" s="8">
        <v>40</v>
      </c>
      <c r="E408" s="8">
        <v>0</v>
      </c>
      <c r="F408" s="8">
        <v>47</v>
      </c>
      <c r="H408" s="7" t="s">
        <v>26</v>
      </c>
      <c r="I408" s="8">
        <f>J408+K408+L408+M408</f>
        <v>211</v>
      </c>
      <c r="J408" s="8">
        <v>0</v>
      </c>
      <c r="K408" s="8">
        <v>72</v>
      </c>
      <c r="L408" s="8">
        <v>71</v>
      </c>
      <c r="M408" s="8">
        <v>68</v>
      </c>
      <c r="O408" s="7" t="s">
        <v>26</v>
      </c>
      <c r="P408" s="8">
        <v>130</v>
      </c>
      <c r="Q408" s="8">
        <v>0</v>
      </c>
      <c r="R408" s="8">
        <v>0</v>
      </c>
      <c r="S408" s="8">
        <v>33</v>
      </c>
      <c r="T408" s="8">
        <v>97</v>
      </c>
    </row>
    <row r="409" spans="1:20" x14ac:dyDescent="0.3">
      <c r="A409" s="9" t="s">
        <v>27</v>
      </c>
      <c r="B409" s="10">
        <v>97</v>
      </c>
      <c r="C409" s="10">
        <v>11</v>
      </c>
      <c r="D409" s="10">
        <v>40</v>
      </c>
      <c r="E409" s="10">
        <v>0</v>
      </c>
      <c r="F409" s="10">
        <v>46</v>
      </c>
      <c r="H409" s="9" t="s">
        <v>27</v>
      </c>
      <c r="I409" s="10">
        <v>121</v>
      </c>
      <c r="J409" s="10">
        <v>0</v>
      </c>
      <c r="K409" s="10">
        <v>64</v>
      </c>
      <c r="L409" s="10">
        <v>64</v>
      </c>
      <c r="M409" s="10">
        <v>57</v>
      </c>
      <c r="O409" s="9" t="s">
        <v>27</v>
      </c>
      <c r="P409" s="10">
        <v>36</v>
      </c>
      <c r="Q409" s="10">
        <v>0</v>
      </c>
      <c r="R409" s="10">
        <v>0</v>
      </c>
      <c r="S409" s="10">
        <v>19</v>
      </c>
      <c r="T409" s="10">
        <v>17</v>
      </c>
    </row>
    <row r="410" spans="1:20" x14ac:dyDescent="0.3">
      <c r="A410" s="9" t="s">
        <v>28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H410" s="9" t="s">
        <v>28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O410" s="9" t="s">
        <v>28</v>
      </c>
      <c r="P410" s="10">
        <v>61</v>
      </c>
      <c r="Q410" s="10">
        <v>0</v>
      </c>
      <c r="R410" s="10">
        <v>0</v>
      </c>
      <c r="S410" s="10">
        <v>8</v>
      </c>
      <c r="T410" s="10">
        <v>53</v>
      </c>
    </row>
    <row r="411" spans="1:20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O411" s="9" t="s">
        <v>29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s="9" t="s">
        <v>30</v>
      </c>
      <c r="B412" s="10">
        <v>1</v>
      </c>
      <c r="C412" s="10">
        <v>0</v>
      </c>
      <c r="D412" s="10">
        <v>0</v>
      </c>
      <c r="E412" s="10">
        <v>0</v>
      </c>
      <c r="F412" s="10">
        <v>1</v>
      </c>
      <c r="H412" s="9" t="s">
        <v>30</v>
      </c>
      <c r="I412" s="10">
        <v>18</v>
      </c>
      <c r="J412" s="10">
        <v>0</v>
      </c>
      <c r="K412" s="10">
        <v>8</v>
      </c>
      <c r="L412" s="10">
        <v>7</v>
      </c>
      <c r="M412" s="10">
        <v>11</v>
      </c>
      <c r="O412" s="9" t="s">
        <v>30</v>
      </c>
      <c r="P412" s="10">
        <v>33</v>
      </c>
      <c r="Q412" s="10">
        <v>0</v>
      </c>
      <c r="R412" s="10">
        <v>0</v>
      </c>
      <c r="S412" s="10">
        <v>6</v>
      </c>
      <c r="T412" s="10">
        <v>27</v>
      </c>
    </row>
    <row r="413" spans="1:20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O413" s="9" t="s">
        <v>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A414" s="11" t="s">
        <v>32</v>
      </c>
      <c r="B414" s="12">
        <v>1923</v>
      </c>
      <c r="C414" s="12">
        <v>202</v>
      </c>
      <c r="D414" s="12">
        <v>866</v>
      </c>
      <c r="E414" s="12">
        <v>0</v>
      </c>
      <c r="F414" s="12">
        <v>855</v>
      </c>
      <c r="H414" s="11" t="s">
        <v>32</v>
      </c>
      <c r="I414" s="12">
        <f>K414+J414+L414+M414</f>
        <v>377</v>
      </c>
      <c r="J414" s="12">
        <v>112</v>
      </c>
      <c r="K414" s="12">
        <v>88</v>
      </c>
      <c r="L414" s="12">
        <v>82</v>
      </c>
      <c r="M414" s="12">
        <v>95</v>
      </c>
      <c r="O414" s="11" t="s">
        <v>32</v>
      </c>
      <c r="P414" s="12">
        <v>17</v>
      </c>
      <c r="Q414" s="12">
        <v>6</v>
      </c>
      <c r="R414" s="12">
        <v>3</v>
      </c>
      <c r="S414" s="12">
        <v>4</v>
      </c>
      <c r="T414" s="12">
        <v>4</v>
      </c>
    </row>
    <row r="415" spans="1:20" x14ac:dyDescent="0.3">
      <c r="A415" s="13" t="s">
        <v>33</v>
      </c>
      <c r="B415" s="14">
        <v>68</v>
      </c>
      <c r="C415" s="14">
        <v>27</v>
      </c>
      <c r="D415" s="14">
        <v>25</v>
      </c>
      <c r="E415" s="14">
        <v>0</v>
      </c>
      <c r="F415" s="14">
        <v>16</v>
      </c>
      <c r="H415" s="13" t="s">
        <v>33</v>
      </c>
      <c r="I415" s="14">
        <v>17</v>
      </c>
      <c r="J415" s="14">
        <v>5</v>
      </c>
      <c r="K415" s="14">
        <v>7</v>
      </c>
      <c r="L415" s="14">
        <v>8</v>
      </c>
      <c r="M415" s="14">
        <v>4</v>
      </c>
      <c r="O415" s="13" t="s">
        <v>33</v>
      </c>
      <c r="P415" s="14">
        <v>4</v>
      </c>
      <c r="Q415" s="14">
        <v>1</v>
      </c>
      <c r="R415" s="14">
        <v>0</v>
      </c>
      <c r="S415" s="14">
        <v>2</v>
      </c>
      <c r="T415" s="14">
        <v>1</v>
      </c>
    </row>
    <row r="416" spans="1:20" x14ac:dyDescent="0.3">
      <c r="A416" s="13" t="s">
        <v>34</v>
      </c>
      <c r="B416" s="14">
        <v>1855</v>
      </c>
      <c r="C416" s="14">
        <v>175</v>
      </c>
      <c r="D416" s="14">
        <v>841</v>
      </c>
      <c r="E416" s="14">
        <v>0</v>
      </c>
      <c r="F416" s="14">
        <v>839</v>
      </c>
      <c r="H416" s="13" t="s">
        <v>34</v>
      </c>
      <c r="I416" s="14">
        <v>272</v>
      </c>
      <c r="J416" s="14">
        <v>107</v>
      </c>
      <c r="K416" s="14">
        <v>81</v>
      </c>
      <c r="L416" s="14">
        <v>74</v>
      </c>
      <c r="M416" s="14">
        <v>91</v>
      </c>
      <c r="O416" s="13" t="s">
        <v>34</v>
      </c>
      <c r="P416" s="14">
        <v>13</v>
      </c>
      <c r="Q416" s="14">
        <v>5</v>
      </c>
      <c r="R416" s="14">
        <v>3</v>
      </c>
      <c r="S416" s="14">
        <v>2</v>
      </c>
      <c r="T416" s="14">
        <v>3</v>
      </c>
    </row>
    <row r="417" spans="1:20" x14ac:dyDescent="0.3">
      <c r="A417" s="15" t="s">
        <v>35</v>
      </c>
      <c r="B417" s="16">
        <v>69</v>
      </c>
      <c r="C417" s="16">
        <v>69</v>
      </c>
      <c r="D417" s="16">
        <v>0</v>
      </c>
      <c r="E417" s="16">
        <v>0</v>
      </c>
      <c r="F417" s="16">
        <v>0</v>
      </c>
      <c r="H417" s="15" t="s">
        <v>35</v>
      </c>
      <c r="I417" s="16">
        <f>J417+L417+M417</f>
        <v>4</v>
      </c>
      <c r="J417" s="16">
        <v>2</v>
      </c>
      <c r="K417" s="16">
        <v>0</v>
      </c>
      <c r="L417" s="16">
        <v>2</v>
      </c>
      <c r="M417" s="16">
        <v>0</v>
      </c>
      <c r="O417" s="15" t="s">
        <v>35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</row>
    <row r="418" spans="1:20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F418" s="55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  <c r="O418" s="17" t="s">
        <v>36</v>
      </c>
      <c r="P418" s="138">
        <v>0</v>
      </c>
      <c r="Q418" s="138">
        <v>0</v>
      </c>
      <c r="R418" s="138">
        <v>0</v>
      </c>
      <c r="S418" s="138">
        <v>0</v>
      </c>
      <c r="T418" s="138">
        <v>0</v>
      </c>
    </row>
    <row r="419" spans="1:20" x14ac:dyDescent="0.3">
      <c r="A419" s="17" t="s">
        <v>37</v>
      </c>
      <c r="B419" s="55">
        <v>69</v>
      </c>
      <c r="C419" s="55">
        <v>69</v>
      </c>
      <c r="D419" s="55">
        <v>0</v>
      </c>
      <c r="E419" s="55">
        <v>0</v>
      </c>
      <c r="F419" s="55">
        <v>0</v>
      </c>
      <c r="H419" s="17" t="s">
        <v>37</v>
      </c>
      <c r="I419" s="103">
        <v>4</v>
      </c>
      <c r="J419" s="103">
        <v>2</v>
      </c>
      <c r="K419" s="103">
        <v>0</v>
      </c>
      <c r="L419" s="103">
        <v>2</v>
      </c>
      <c r="M419" s="103">
        <v>0</v>
      </c>
      <c r="O419" s="17" t="s">
        <v>37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x14ac:dyDescent="0.3">
      <c r="A420" s="17" t="s">
        <v>38</v>
      </c>
      <c r="B420" s="172" t="s">
        <v>39</v>
      </c>
      <c r="C420" s="173"/>
      <c r="D420" s="173"/>
      <c r="E420" s="173"/>
      <c r="F420" s="173"/>
      <c r="H420" s="17" t="s">
        <v>38</v>
      </c>
      <c r="I420" s="172" t="s">
        <v>831</v>
      </c>
      <c r="J420" s="173"/>
      <c r="K420" s="173"/>
      <c r="L420" s="173"/>
      <c r="M420" s="173"/>
      <c r="O420" s="17" t="s">
        <v>38</v>
      </c>
      <c r="P420" s="167" t="s">
        <v>1956</v>
      </c>
      <c r="Q420" s="168"/>
      <c r="R420" s="168"/>
      <c r="S420" s="168"/>
      <c r="T420" s="168"/>
    </row>
    <row r="421" spans="1:20" ht="19.8" x14ac:dyDescent="0.3">
      <c r="A421" s="171">
        <v>46109</v>
      </c>
      <c r="B421" s="174"/>
      <c r="C421" s="174"/>
      <c r="D421" s="174"/>
      <c r="E421" s="174"/>
      <c r="F421" s="174"/>
      <c r="H421" s="171">
        <v>46136</v>
      </c>
      <c r="I421" s="174"/>
      <c r="J421" s="174"/>
      <c r="K421" s="174"/>
      <c r="L421" s="174"/>
      <c r="M421" s="174"/>
      <c r="O421" s="170">
        <v>46168</v>
      </c>
      <c r="P421" s="168"/>
      <c r="Q421" s="168"/>
      <c r="R421" s="168"/>
      <c r="S421" s="168"/>
      <c r="T421" s="168"/>
    </row>
    <row r="422" spans="1:20" x14ac:dyDescent="0.3">
      <c r="A422" s="1" t="s">
        <v>0</v>
      </c>
      <c r="B422" s="1" t="s">
        <v>1</v>
      </c>
      <c r="C422" s="1" t="s">
        <v>642</v>
      </c>
      <c r="D422" s="1" t="s">
        <v>3</v>
      </c>
      <c r="E422" s="1" t="s">
        <v>870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  <c r="O422" s="1" t="s">
        <v>0</v>
      </c>
      <c r="P422" s="1" t="s">
        <v>1</v>
      </c>
      <c r="Q422" s="1" t="s">
        <v>2</v>
      </c>
      <c r="R422" s="1" t="s">
        <v>3</v>
      </c>
      <c r="S422" s="1" t="s">
        <v>40</v>
      </c>
      <c r="T422" s="1" t="s">
        <v>4</v>
      </c>
    </row>
    <row r="423" spans="1:20" x14ac:dyDescent="0.3">
      <c r="A423" s="2" t="s">
        <v>5</v>
      </c>
      <c r="B423" s="3">
        <v>4390</v>
      </c>
      <c r="C423" s="3">
        <v>0</v>
      </c>
      <c r="D423" s="3">
        <v>2170</v>
      </c>
      <c r="E423" s="3">
        <v>0</v>
      </c>
      <c r="F423" s="3">
        <v>2220</v>
      </c>
      <c r="H423" s="2" t="s">
        <v>5</v>
      </c>
      <c r="I423" s="3">
        <f>J423+K423+L423+M423</f>
        <v>7317</v>
      </c>
      <c r="J423" s="3">
        <v>2339</v>
      </c>
      <c r="K423" s="3">
        <v>1454</v>
      </c>
      <c r="L423" s="3">
        <v>1656</v>
      </c>
      <c r="M423" s="3">
        <v>1868</v>
      </c>
      <c r="O423" s="2" t="s">
        <v>5</v>
      </c>
      <c r="P423" s="3">
        <v>5830</v>
      </c>
      <c r="Q423" s="3">
        <v>1859</v>
      </c>
      <c r="R423" s="3">
        <v>1413</v>
      </c>
      <c r="S423" s="3">
        <v>1135</v>
      </c>
      <c r="T423" s="3">
        <v>1423</v>
      </c>
    </row>
    <row r="424" spans="1:20" x14ac:dyDescent="0.3">
      <c r="A424" s="2" t="s">
        <v>6</v>
      </c>
      <c r="B424" s="3">
        <v>1982</v>
      </c>
      <c r="C424" s="3">
        <v>0</v>
      </c>
      <c r="D424" s="5">
        <v>992</v>
      </c>
      <c r="E424" s="3">
        <v>0</v>
      </c>
      <c r="F424" s="6">
        <v>990</v>
      </c>
      <c r="H424" s="2" t="s">
        <v>6</v>
      </c>
      <c r="I424" s="113">
        <f>J424+K424+L424+M424</f>
        <v>526</v>
      </c>
      <c r="J424" s="4">
        <v>97</v>
      </c>
      <c r="K424" s="6">
        <v>133</v>
      </c>
      <c r="L424" s="5">
        <v>152</v>
      </c>
      <c r="M424" s="6">
        <v>144</v>
      </c>
      <c r="O424" s="2" t="s">
        <v>6</v>
      </c>
      <c r="P424" s="3">
        <v>149</v>
      </c>
      <c r="Q424" s="4">
        <v>2</v>
      </c>
      <c r="R424" s="4">
        <v>2</v>
      </c>
      <c r="S424" s="6">
        <v>30</v>
      </c>
      <c r="T424" s="5">
        <v>115</v>
      </c>
    </row>
    <row r="425" spans="1:20" x14ac:dyDescent="0.3">
      <c r="A425" s="2" t="s">
        <v>7</v>
      </c>
      <c r="B425" s="3" t="s">
        <v>1080</v>
      </c>
      <c r="C425" s="3">
        <v>0</v>
      </c>
      <c r="D425" s="5" t="s">
        <v>1081</v>
      </c>
      <c r="E425" s="3">
        <v>0</v>
      </c>
      <c r="F425" s="6" t="s">
        <v>1082</v>
      </c>
      <c r="H425" s="2" t="s">
        <v>7</v>
      </c>
      <c r="I425" s="48">
        <f>I424/I423</f>
        <v>7.188738554052207E-2</v>
      </c>
      <c r="J425" s="4" t="s">
        <v>868</v>
      </c>
      <c r="K425" s="6" t="s">
        <v>883</v>
      </c>
      <c r="L425" s="5" t="s">
        <v>1541</v>
      </c>
      <c r="M425" s="6" t="s">
        <v>166</v>
      </c>
      <c r="O425" s="2" t="s">
        <v>7</v>
      </c>
      <c r="P425" s="3" t="s">
        <v>402</v>
      </c>
      <c r="Q425" s="3" t="s">
        <v>49</v>
      </c>
      <c r="R425" s="4" t="s">
        <v>310</v>
      </c>
      <c r="S425" s="6" t="s">
        <v>105</v>
      </c>
      <c r="T425" s="5" t="s">
        <v>1356</v>
      </c>
    </row>
    <row r="426" spans="1:20" x14ac:dyDescent="0.3">
      <c r="A426" s="2" t="s">
        <v>12</v>
      </c>
      <c r="B426" s="3" t="s">
        <v>184</v>
      </c>
      <c r="C426" s="3">
        <v>0</v>
      </c>
      <c r="D426" s="6" t="s">
        <v>323</v>
      </c>
      <c r="E426" s="3">
        <v>0</v>
      </c>
      <c r="F426" s="5" t="s">
        <v>1083</v>
      </c>
      <c r="H426" s="2" t="s">
        <v>12</v>
      </c>
      <c r="I426" s="48">
        <f>I429/I423</f>
        <v>2.7333606669400028E-2</v>
      </c>
      <c r="J426" s="3" t="s">
        <v>25</v>
      </c>
      <c r="K426" s="6" t="s">
        <v>1622</v>
      </c>
      <c r="L426" s="5" t="s">
        <v>991</v>
      </c>
      <c r="M426" s="6" t="s">
        <v>1348</v>
      </c>
      <c r="O426" s="2" t="s">
        <v>12</v>
      </c>
      <c r="P426" s="3" t="s">
        <v>578</v>
      </c>
      <c r="Q426" s="3" t="s">
        <v>25</v>
      </c>
      <c r="R426" s="3" t="s">
        <v>25</v>
      </c>
      <c r="S426" s="6" t="s">
        <v>540</v>
      </c>
      <c r="T426" s="5" t="s">
        <v>197</v>
      </c>
    </row>
    <row r="427" spans="1:20" x14ac:dyDescent="0.3">
      <c r="A427" s="2" t="s">
        <v>17</v>
      </c>
      <c r="B427" s="3" t="s">
        <v>1084</v>
      </c>
      <c r="C427" s="3" t="s">
        <v>25</v>
      </c>
      <c r="D427" s="5" t="s">
        <v>1085</v>
      </c>
      <c r="E427" s="3" t="s">
        <v>25</v>
      </c>
      <c r="F427" s="6" t="s">
        <v>1086</v>
      </c>
      <c r="H427" s="2" t="s">
        <v>17</v>
      </c>
      <c r="I427" s="48">
        <f>I435/I423</f>
        <v>4.4417110837775046E-2</v>
      </c>
      <c r="J427" s="6" t="s">
        <v>866</v>
      </c>
      <c r="K427" s="5" t="s">
        <v>261</v>
      </c>
      <c r="L427" s="5" t="s">
        <v>790</v>
      </c>
      <c r="M427" s="4" t="s">
        <v>206</v>
      </c>
      <c r="O427" s="2" t="s">
        <v>17</v>
      </c>
      <c r="P427" s="3" t="s">
        <v>80</v>
      </c>
      <c r="Q427" s="3" t="s">
        <v>66</v>
      </c>
      <c r="R427" s="4" t="s">
        <v>42</v>
      </c>
      <c r="S427" s="6" t="s">
        <v>484</v>
      </c>
      <c r="T427" s="5" t="s">
        <v>806</v>
      </c>
    </row>
    <row r="428" spans="1:20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267</v>
      </c>
      <c r="J428" s="5" t="s">
        <v>257</v>
      </c>
      <c r="K428" s="3" t="s">
        <v>25</v>
      </c>
      <c r="L428" s="3" t="s">
        <v>25</v>
      </c>
      <c r="M428" s="3" t="s">
        <v>25</v>
      </c>
      <c r="O428" s="2" t="s">
        <v>22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 x14ac:dyDescent="0.3">
      <c r="A429" s="7" t="s">
        <v>26</v>
      </c>
      <c r="B429" s="8">
        <v>112</v>
      </c>
      <c r="C429" s="8">
        <v>0</v>
      </c>
      <c r="D429" s="8">
        <v>51</v>
      </c>
      <c r="E429" s="8">
        <v>0</v>
      </c>
      <c r="F429" s="8">
        <v>61</v>
      </c>
      <c r="H429" s="7" t="s">
        <v>26</v>
      </c>
      <c r="I429" s="8">
        <f>K429+L429+M429</f>
        <v>200</v>
      </c>
      <c r="J429" s="8">
        <v>0</v>
      </c>
      <c r="K429" s="8">
        <v>58</v>
      </c>
      <c r="L429" s="8">
        <v>67</v>
      </c>
      <c r="M429" s="8">
        <v>75</v>
      </c>
      <c r="O429" s="7" t="s">
        <v>26</v>
      </c>
      <c r="P429" s="8">
        <v>134</v>
      </c>
      <c r="Q429" s="8">
        <v>0</v>
      </c>
      <c r="R429" s="8">
        <v>0</v>
      </c>
      <c r="S429" s="8">
        <v>26</v>
      </c>
      <c r="T429" s="8">
        <v>108</v>
      </c>
    </row>
    <row r="430" spans="1:20" x14ac:dyDescent="0.3">
      <c r="A430" s="9" t="s">
        <v>27</v>
      </c>
      <c r="B430" s="10">
        <v>108</v>
      </c>
      <c r="C430" s="10">
        <v>0</v>
      </c>
      <c r="D430" s="10">
        <v>47</v>
      </c>
      <c r="E430" s="10">
        <v>0</v>
      </c>
      <c r="F430" s="10">
        <v>61</v>
      </c>
      <c r="H430" s="9" t="s">
        <v>27</v>
      </c>
      <c r="I430" s="10">
        <v>134</v>
      </c>
      <c r="J430" s="10">
        <v>0</v>
      </c>
      <c r="K430" s="10">
        <v>56</v>
      </c>
      <c r="L430" s="10">
        <v>63</v>
      </c>
      <c r="M430" s="10">
        <v>71</v>
      </c>
      <c r="O430" s="9" t="s">
        <v>27</v>
      </c>
      <c r="P430" s="10">
        <v>31</v>
      </c>
      <c r="Q430" s="10">
        <v>0</v>
      </c>
      <c r="R430" s="10">
        <v>0</v>
      </c>
      <c r="S430" s="10">
        <v>12</v>
      </c>
      <c r="T430" s="10">
        <v>19</v>
      </c>
    </row>
    <row r="431" spans="1:20" x14ac:dyDescent="0.3">
      <c r="A431" s="9" t="s">
        <v>28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H431" s="9" t="s">
        <v>28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O431" s="9" t="s">
        <v>28</v>
      </c>
      <c r="P431" s="10">
        <v>71</v>
      </c>
      <c r="Q431" s="10">
        <v>0</v>
      </c>
      <c r="R431" s="10">
        <v>0</v>
      </c>
      <c r="S431" s="10">
        <v>8</v>
      </c>
      <c r="T431" s="10">
        <v>63</v>
      </c>
    </row>
    <row r="432" spans="1:20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O432" s="9" t="s">
        <v>29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</row>
    <row r="433" spans="1:20" x14ac:dyDescent="0.3">
      <c r="A433" s="9" t="s">
        <v>30</v>
      </c>
      <c r="B433" s="10">
        <v>4</v>
      </c>
      <c r="C433" s="10">
        <v>0</v>
      </c>
      <c r="D433" s="10">
        <v>4</v>
      </c>
      <c r="E433" s="10">
        <v>0</v>
      </c>
      <c r="F433" s="10">
        <v>0</v>
      </c>
      <c r="H433" s="9" t="s">
        <v>30</v>
      </c>
      <c r="I433" s="10">
        <v>8</v>
      </c>
      <c r="J433" s="10">
        <v>0</v>
      </c>
      <c r="K433" s="10">
        <v>2</v>
      </c>
      <c r="L433" s="10">
        <v>4</v>
      </c>
      <c r="M433" s="10">
        <v>4</v>
      </c>
      <c r="O433" s="9" t="s">
        <v>30</v>
      </c>
      <c r="P433" s="10">
        <v>32</v>
      </c>
      <c r="Q433" s="10">
        <v>0</v>
      </c>
      <c r="R433" s="10">
        <v>0</v>
      </c>
      <c r="S433" s="10">
        <v>6</v>
      </c>
      <c r="T433" s="10">
        <v>26</v>
      </c>
    </row>
    <row r="434" spans="1:20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O434" s="9" t="s">
        <v>31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</row>
    <row r="435" spans="1:20" x14ac:dyDescent="0.3">
      <c r="A435" s="11" t="s">
        <v>32</v>
      </c>
      <c r="B435" s="12">
        <v>1869</v>
      </c>
      <c r="C435" s="12">
        <v>0</v>
      </c>
      <c r="D435" s="12">
        <v>940</v>
      </c>
      <c r="E435" s="12">
        <v>0</v>
      </c>
      <c r="F435" s="12">
        <v>929</v>
      </c>
      <c r="H435" s="11" t="s">
        <v>32</v>
      </c>
      <c r="I435" s="12">
        <f>J435+K435+L435+M435</f>
        <v>325</v>
      </c>
      <c r="J435" s="12">
        <v>95</v>
      </c>
      <c r="K435" s="12">
        <v>75</v>
      </c>
      <c r="L435" s="12">
        <v>86</v>
      </c>
      <c r="M435" s="12">
        <v>69</v>
      </c>
      <c r="O435" s="11" t="s">
        <v>32</v>
      </c>
      <c r="P435" s="12">
        <v>43</v>
      </c>
      <c r="Q435" s="12">
        <v>11</v>
      </c>
      <c r="R435" s="12">
        <v>9</v>
      </c>
      <c r="S435" s="12">
        <v>8</v>
      </c>
      <c r="T435" s="12">
        <v>15</v>
      </c>
    </row>
    <row r="436" spans="1:20" x14ac:dyDescent="0.3">
      <c r="A436" s="13" t="s">
        <v>33</v>
      </c>
      <c r="B436" s="14">
        <v>4</v>
      </c>
      <c r="C436" s="14">
        <v>0</v>
      </c>
      <c r="D436" s="14">
        <v>2</v>
      </c>
      <c r="E436" s="14">
        <v>0</v>
      </c>
      <c r="F436" s="14">
        <v>2</v>
      </c>
      <c r="H436" s="13" t="s">
        <v>33</v>
      </c>
      <c r="I436" s="14">
        <v>12</v>
      </c>
      <c r="J436" s="14">
        <v>6</v>
      </c>
      <c r="K436" s="14">
        <v>1</v>
      </c>
      <c r="L436" s="14">
        <v>3</v>
      </c>
      <c r="M436" s="14">
        <v>3</v>
      </c>
      <c r="O436" s="13" t="s">
        <v>33</v>
      </c>
      <c r="P436" s="14">
        <v>13</v>
      </c>
      <c r="Q436" s="14">
        <v>2</v>
      </c>
      <c r="R436" s="14">
        <v>2</v>
      </c>
      <c r="S436" s="14">
        <v>3</v>
      </c>
      <c r="T436" s="14">
        <v>6</v>
      </c>
    </row>
    <row r="437" spans="1:20" x14ac:dyDescent="0.3">
      <c r="A437" s="13" t="s">
        <v>34</v>
      </c>
      <c r="B437" s="14">
        <v>1865</v>
      </c>
      <c r="C437" s="14">
        <v>0</v>
      </c>
      <c r="D437" s="14">
        <v>938</v>
      </c>
      <c r="E437" s="14">
        <v>0</v>
      </c>
      <c r="F437" s="14">
        <v>927</v>
      </c>
      <c r="H437" s="13" t="s">
        <v>34</v>
      </c>
      <c r="I437" s="14">
        <v>238</v>
      </c>
      <c r="J437" s="14">
        <v>89</v>
      </c>
      <c r="K437" s="14">
        <v>74</v>
      </c>
      <c r="L437" s="14">
        <v>83</v>
      </c>
      <c r="M437" s="14">
        <v>66</v>
      </c>
      <c r="O437" s="13" t="s">
        <v>34</v>
      </c>
      <c r="P437" s="14">
        <v>30</v>
      </c>
      <c r="Q437" s="14">
        <v>9</v>
      </c>
      <c r="R437" s="14">
        <v>7</v>
      </c>
      <c r="S437" s="14">
        <v>5</v>
      </c>
      <c r="T437" s="14">
        <v>9</v>
      </c>
    </row>
    <row r="438" spans="1:20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1</v>
      </c>
      <c r="J438" s="16">
        <v>1</v>
      </c>
      <c r="K438" s="16">
        <v>0</v>
      </c>
      <c r="L438" s="16">
        <v>0</v>
      </c>
      <c r="M438" s="16">
        <v>0</v>
      </c>
      <c r="O438" s="15" t="s">
        <v>35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</row>
    <row r="439" spans="1:20" x14ac:dyDescent="0.3">
      <c r="A439" s="17" t="s">
        <v>36</v>
      </c>
      <c r="B439" s="55">
        <v>0</v>
      </c>
      <c r="C439" s="55">
        <v>0</v>
      </c>
      <c r="D439" s="55">
        <v>0</v>
      </c>
      <c r="E439" s="55">
        <v>0</v>
      </c>
      <c r="F439" s="55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  <c r="O439" s="17" t="s">
        <v>36</v>
      </c>
      <c r="P439" s="138">
        <v>0</v>
      </c>
      <c r="Q439" s="138">
        <v>0</v>
      </c>
      <c r="R439" s="138">
        <v>0</v>
      </c>
      <c r="S439" s="138">
        <v>0</v>
      </c>
      <c r="T439" s="138">
        <v>0</v>
      </c>
    </row>
    <row r="440" spans="1:20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1</v>
      </c>
      <c r="J440" s="109">
        <v>1</v>
      </c>
      <c r="K440" s="109">
        <v>0</v>
      </c>
      <c r="L440" s="109">
        <v>0</v>
      </c>
      <c r="M440" s="109">
        <v>0</v>
      </c>
      <c r="O440" s="17" t="s">
        <v>37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x14ac:dyDescent="0.3">
      <c r="A441" s="17" t="s">
        <v>38</v>
      </c>
      <c r="B441" s="172" t="s">
        <v>39</v>
      </c>
      <c r="C441" s="173"/>
      <c r="D441" s="173"/>
      <c r="E441" s="173"/>
      <c r="F441" s="173"/>
      <c r="H441" s="17" t="s">
        <v>38</v>
      </c>
      <c r="I441" s="172" t="s">
        <v>831</v>
      </c>
      <c r="J441" s="173"/>
      <c r="K441" s="173"/>
      <c r="L441" s="173"/>
      <c r="M441" s="173"/>
      <c r="O441" s="17" t="s">
        <v>38</v>
      </c>
      <c r="P441" s="167" t="s">
        <v>1956</v>
      </c>
      <c r="Q441" s="168"/>
      <c r="R441" s="168"/>
      <c r="S441" s="168"/>
      <c r="T441" s="168"/>
    </row>
    <row r="442" spans="1:20" ht="19.8" x14ac:dyDescent="0.3">
      <c r="A442" s="171">
        <v>46111</v>
      </c>
      <c r="B442" s="174"/>
      <c r="C442" s="174"/>
      <c r="D442" s="174"/>
      <c r="E442" s="174"/>
      <c r="F442" s="174"/>
      <c r="H442" s="171">
        <v>46137</v>
      </c>
      <c r="I442" s="174"/>
      <c r="J442" s="174"/>
      <c r="K442" s="174"/>
      <c r="L442" s="174"/>
      <c r="M442" s="174"/>
      <c r="O442" s="170">
        <v>46169</v>
      </c>
      <c r="P442" s="168"/>
      <c r="Q442" s="168"/>
      <c r="R442" s="168"/>
      <c r="S442" s="168"/>
      <c r="T442" s="168"/>
    </row>
    <row r="443" spans="1:20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870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  <c r="O443" s="1" t="s">
        <v>0</v>
      </c>
      <c r="P443" s="1" t="s">
        <v>1</v>
      </c>
      <c r="Q443" s="1" t="s">
        <v>2</v>
      </c>
      <c r="R443" s="1" t="s">
        <v>3</v>
      </c>
      <c r="S443" s="1" t="s">
        <v>40</v>
      </c>
      <c r="T443" s="1" t="s">
        <v>4</v>
      </c>
    </row>
    <row r="444" spans="1:20" x14ac:dyDescent="0.3">
      <c r="A444" s="2" t="s">
        <v>5</v>
      </c>
      <c r="B444" s="3">
        <v>3408</v>
      </c>
      <c r="C444" s="3">
        <v>1207</v>
      </c>
      <c r="D444" s="3">
        <v>1082</v>
      </c>
      <c r="E444" s="3">
        <v>0</v>
      </c>
      <c r="F444" s="3">
        <v>1119</v>
      </c>
      <c r="H444" s="2" t="s">
        <v>5</v>
      </c>
      <c r="I444" s="3">
        <v>5151</v>
      </c>
      <c r="J444" s="3">
        <v>2095</v>
      </c>
      <c r="K444" s="3">
        <v>1518</v>
      </c>
      <c r="L444" s="3">
        <v>1439</v>
      </c>
      <c r="M444" s="3">
        <v>1617</v>
      </c>
      <c r="O444" s="2" t="s">
        <v>5</v>
      </c>
      <c r="P444" s="3">
        <v>4957</v>
      </c>
      <c r="Q444" s="3">
        <v>1586</v>
      </c>
      <c r="R444" s="3">
        <v>1217</v>
      </c>
      <c r="S444" s="3">
        <v>929</v>
      </c>
      <c r="T444" s="3">
        <v>1225</v>
      </c>
    </row>
    <row r="445" spans="1:20" x14ac:dyDescent="0.3">
      <c r="A445" s="2" t="s">
        <v>6</v>
      </c>
      <c r="B445" s="3">
        <v>617</v>
      </c>
      <c r="C445" s="4">
        <v>190</v>
      </c>
      <c r="D445" s="6">
        <v>194</v>
      </c>
      <c r="E445" s="3">
        <v>0</v>
      </c>
      <c r="F445" s="5">
        <v>233</v>
      </c>
      <c r="H445" s="2" t="s">
        <v>6</v>
      </c>
      <c r="I445" s="3">
        <v>367</v>
      </c>
      <c r="J445" s="4">
        <v>89</v>
      </c>
      <c r="K445" s="5">
        <v>178</v>
      </c>
      <c r="L445" s="5">
        <v>145</v>
      </c>
      <c r="M445" s="6">
        <v>133</v>
      </c>
      <c r="O445" s="2" t="s">
        <v>6</v>
      </c>
      <c r="P445" s="3">
        <v>149</v>
      </c>
      <c r="Q445" s="4">
        <v>2</v>
      </c>
      <c r="R445" s="4">
        <v>2</v>
      </c>
      <c r="S445" s="6">
        <v>28</v>
      </c>
      <c r="T445" s="5">
        <v>117</v>
      </c>
    </row>
    <row r="446" spans="1:20" x14ac:dyDescent="0.3">
      <c r="A446" s="2" t="s">
        <v>7</v>
      </c>
      <c r="B446" s="3" t="s">
        <v>1127</v>
      </c>
      <c r="C446" s="4" t="s">
        <v>1128</v>
      </c>
      <c r="D446" s="6" t="s">
        <v>1129</v>
      </c>
      <c r="E446" s="3">
        <v>0</v>
      </c>
      <c r="F446" s="5" t="s">
        <v>967</v>
      </c>
      <c r="H446" s="2" t="s">
        <v>7</v>
      </c>
      <c r="I446" s="3" t="s">
        <v>564</v>
      </c>
      <c r="J446" s="4" t="s">
        <v>1388</v>
      </c>
      <c r="K446" s="5" t="s">
        <v>616</v>
      </c>
      <c r="L446" s="5" t="s">
        <v>1300</v>
      </c>
      <c r="M446" s="6" t="s">
        <v>283</v>
      </c>
      <c r="O446" s="2" t="s">
        <v>7</v>
      </c>
      <c r="P446" s="3" t="s">
        <v>205</v>
      </c>
      <c r="Q446" s="3" t="s">
        <v>75</v>
      </c>
      <c r="R446" s="4" t="s">
        <v>154</v>
      </c>
      <c r="S446" s="6" t="s">
        <v>205</v>
      </c>
      <c r="T446" s="5" t="s">
        <v>736</v>
      </c>
    </row>
    <row r="447" spans="1:20" x14ac:dyDescent="0.3">
      <c r="A447" s="2" t="s">
        <v>12</v>
      </c>
      <c r="B447" s="3" t="s">
        <v>243</v>
      </c>
      <c r="C447" s="4" t="s">
        <v>1130</v>
      </c>
      <c r="D447" s="6" t="s">
        <v>989</v>
      </c>
      <c r="E447" s="3">
        <v>0</v>
      </c>
      <c r="F447" s="5" t="s">
        <v>420</v>
      </c>
      <c r="H447" s="2" t="s">
        <v>12</v>
      </c>
      <c r="I447" s="3" t="s">
        <v>732</v>
      </c>
      <c r="J447" s="3" t="s">
        <v>25</v>
      </c>
      <c r="K447" s="6" t="s">
        <v>645</v>
      </c>
      <c r="L447" s="5" t="s">
        <v>444</v>
      </c>
      <c r="M447" s="6" t="s">
        <v>410</v>
      </c>
      <c r="O447" s="2" t="s">
        <v>12</v>
      </c>
      <c r="P447" s="3" t="s">
        <v>732</v>
      </c>
      <c r="Q447" s="3" t="s">
        <v>25</v>
      </c>
      <c r="R447" s="3" t="s">
        <v>25</v>
      </c>
      <c r="S447" s="6" t="s">
        <v>391</v>
      </c>
      <c r="T447" s="5" t="s">
        <v>2019</v>
      </c>
    </row>
    <row r="448" spans="1:20" x14ac:dyDescent="0.3">
      <c r="A448" s="2" t="s">
        <v>17</v>
      </c>
      <c r="B448" s="3" t="s">
        <v>908</v>
      </c>
      <c r="C448" s="4" t="s">
        <v>1131</v>
      </c>
      <c r="D448" s="6" t="s">
        <v>1132</v>
      </c>
      <c r="E448" s="3" t="s">
        <v>25</v>
      </c>
      <c r="F448" s="5" t="s">
        <v>556</v>
      </c>
      <c r="H448" s="2" t="s">
        <v>17</v>
      </c>
      <c r="I448" s="3" t="s">
        <v>868</v>
      </c>
      <c r="J448" s="4" t="s">
        <v>1176</v>
      </c>
      <c r="K448" s="5" t="s">
        <v>969</v>
      </c>
      <c r="L448" s="5" t="s">
        <v>1665</v>
      </c>
      <c r="M448" s="6" t="s">
        <v>410</v>
      </c>
      <c r="O448" s="2" t="s">
        <v>17</v>
      </c>
      <c r="P448" s="3" t="s">
        <v>697</v>
      </c>
      <c r="Q448" s="3" t="s">
        <v>580</v>
      </c>
      <c r="R448" s="6" t="s">
        <v>493</v>
      </c>
      <c r="S448" s="5" t="s">
        <v>156</v>
      </c>
      <c r="T448" s="4" t="s">
        <v>300</v>
      </c>
    </row>
    <row r="449" spans="1:20" x14ac:dyDescent="0.3">
      <c r="A449" s="2" t="s">
        <v>22</v>
      </c>
      <c r="B449" s="3" t="s">
        <v>135</v>
      </c>
      <c r="C449" s="5" t="s">
        <v>794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O449" s="2" t="s">
        <v>22</v>
      </c>
      <c r="P449" s="3" t="s">
        <v>267</v>
      </c>
      <c r="Q449" s="5" t="s">
        <v>268</v>
      </c>
      <c r="R449" s="3" t="s">
        <v>25</v>
      </c>
      <c r="S449" s="3" t="s">
        <v>25</v>
      </c>
      <c r="T449" s="3" t="s">
        <v>25</v>
      </c>
    </row>
    <row r="450" spans="1:20" x14ac:dyDescent="0.3">
      <c r="A450" s="7" t="s">
        <v>26</v>
      </c>
      <c r="B450" s="8">
        <v>192</v>
      </c>
      <c r="C450" s="8">
        <v>31</v>
      </c>
      <c r="D450" s="8">
        <v>65</v>
      </c>
      <c r="E450" s="8">
        <v>0</v>
      </c>
      <c r="F450" s="8">
        <v>96</v>
      </c>
      <c r="H450" s="7" t="s">
        <v>26</v>
      </c>
      <c r="I450" s="8">
        <v>144</v>
      </c>
      <c r="J450" s="8">
        <v>0</v>
      </c>
      <c r="K450" s="8">
        <v>87</v>
      </c>
      <c r="L450" s="8">
        <v>78</v>
      </c>
      <c r="M450" s="8">
        <v>66</v>
      </c>
      <c r="O450" s="7" t="s">
        <v>26</v>
      </c>
      <c r="P450" s="8">
        <v>139</v>
      </c>
      <c r="Q450" s="8">
        <v>0</v>
      </c>
      <c r="R450" s="8">
        <v>0</v>
      </c>
      <c r="S450" s="8">
        <v>24</v>
      </c>
      <c r="T450" s="8">
        <v>115</v>
      </c>
    </row>
    <row r="451" spans="1:20" x14ac:dyDescent="0.3">
      <c r="A451" s="9" t="s">
        <v>27</v>
      </c>
      <c r="B451" s="10">
        <v>133</v>
      </c>
      <c r="C451" s="10">
        <v>25</v>
      </c>
      <c r="D451" s="10">
        <v>64</v>
      </c>
      <c r="E451" s="10">
        <v>0</v>
      </c>
      <c r="F451" s="10">
        <v>44</v>
      </c>
      <c r="H451" s="9" t="s">
        <v>27</v>
      </c>
      <c r="I451" s="10">
        <v>129</v>
      </c>
      <c r="J451" s="10">
        <v>0</v>
      </c>
      <c r="K451" s="10">
        <v>84</v>
      </c>
      <c r="L451" s="10">
        <v>71</v>
      </c>
      <c r="M451" s="10">
        <v>58</v>
      </c>
      <c r="O451" s="9" t="s">
        <v>27</v>
      </c>
      <c r="P451" s="10">
        <v>40</v>
      </c>
      <c r="Q451" s="10">
        <v>0</v>
      </c>
      <c r="R451" s="10">
        <v>0</v>
      </c>
      <c r="S451" s="10">
        <v>12</v>
      </c>
      <c r="T451" s="10">
        <v>28</v>
      </c>
    </row>
    <row r="452" spans="1:20" x14ac:dyDescent="0.3">
      <c r="A452" s="9" t="s">
        <v>28</v>
      </c>
      <c r="B452" s="10">
        <v>14</v>
      </c>
      <c r="C452" s="10">
        <v>3</v>
      </c>
      <c r="D452" s="10">
        <v>0</v>
      </c>
      <c r="E452" s="10">
        <v>0</v>
      </c>
      <c r="F452" s="10">
        <v>11</v>
      </c>
      <c r="H452" s="9" t="s">
        <v>28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O452" s="9" t="s">
        <v>28</v>
      </c>
      <c r="P452" s="10">
        <v>71</v>
      </c>
      <c r="Q452" s="10">
        <v>0</v>
      </c>
      <c r="R452" s="10">
        <v>0</v>
      </c>
      <c r="S452" s="10">
        <v>8</v>
      </c>
      <c r="T452" s="10">
        <v>63</v>
      </c>
    </row>
    <row r="453" spans="1:20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O453" s="9" t="s">
        <v>29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</row>
    <row r="454" spans="1:20" x14ac:dyDescent="0.3">
      <c r="A454" s="9" t="s">
        <v>30</v>
      </c>
      <c r="B454" s="10">
        <v>45</v>
      </c>
      <c r="C454" s="10">
        <v>3</v>
      </c>
      <c r="D454" s="10">
        <v>1</v>
      </c>
      <c r="E454" s="10">
        <v>0</v>
      </c>
      <c r="F454" s="10">
        <v>41</v>
      </c>
      <c r="H454" s="9" t="s">
        <v>30</v>
      </c>
      <c r="I454" s="10">
        <v>15</v>
      </c>
      <c r="J454" s="10">
        <v>0</v>
      </c>
      <c r="K454" s="10">
        <v>3</v>
      </c>
      <c r="L454" s="10">
        <v>7</v>
      </c>
      <c r="M454" s="10">
        <v>8</v>
      </c>
      <c r="O454" s="9" t="s">
        <v>30</v>
      </c>
      <c r="P454" s="10">
        <v>28</v>
      </c>
      <c r="Q454" s="10">
        <v>0</v>
      </c>
      <c r="R454" s="10">
        <v>0</v>
      </c>
      <c r="S454" s="10">
        <v>4</v>
      </c>
      <c r="T454" s="10">
        <v>24</v>
      </c>
    </row>
    <row r="455" spans="1:20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O455" s="9" t="s">
        <v>31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</row>
    <row r="456" spans="1:20" x14ac:dyDescent="0.3">
      <c r="A456" s="11" t="s">
        <v>32</v>
      </c>
      <c r="B456" s="12">
        <v>396</v>
      </c>
      <c r="C456" s="12">
        <v>130</v>
      </c>
      <c r="D456" s="12">
        <v>129</v>
      </c>
      <c r="E456" s="12">
        <v>0</v>
      </c>
      <c r="F456" s="12">
        <v>137</v>
      </c>
      <c r="H456" s="11" t="s">
        <v>32</v>
      </c>
      <c r="I456" s="12">
        <v>214</v>
      </c>
      <c r="J456" s="12">
        <v>83</v>
      </c>
      <c r="K456" s="12">
        <v>91</v>
      </c>
      <c r="L456" s="12">
        <v>65</v>
      </c>
      <c r="M456" s="12">
        <v>66</v>
      </c>
      <c r="O456" s="11" t="s">
        <v>32</v>
      </c>
      <c r="P456" s="12">
        <v>41</v>
      </c>
      <c r="Q456" s="12">
        <v>11</v>
      </c>
      <c r="R456" s="12">
        <v>11</v>
      </c>
      <c r="S456" s="12">
        <v>10</v>
      </c>
      <c r="T456" s="12">
        <v>9</v>
      </c>
    </row>
    <row r="457" spans="1:20" x14ac:dyDescent="0.3">
      <c r="A457" s="13" t="s">
        <v>33</v>
      </c>
      <c r="B457" s="14">
        <v>7</v>
      </c>
      <c r="C457" s="14">
        <v>4</v>
      </c>
      <c r="D457" s="14">
        <v>2</v>
      </c>
      <c r="E457" s="14">
        <v>0</v>
      </c>
      <c r="F457" s="14">
        <v>1</v>
      </c>
      <c r="H457" s="13" t="s">
        <v>33</v>
      </c>
      <c r="I457" s="14">
        <v>5</v>
      </c>
      <c r="J457" s="14">
        <v>2</v>
      </c>
      <c r="K457" s="14">
        <v>3</v>
      </c>
      <c r="L457" s="14">
        <v>1</v>
      </c>
      <c r="M457" s="14">
        <v>2</v>
      </c>
      <c r="O457" s="13" t="s">
        <v>33</v>
      </c>
      <c r="P457" s="14">
        <v>10</v>
      </c>
      <c r="Q457" s="14">
        <v>2</v>
      </c>
      <c r="R457" s="14">
        <v>2</v>
      </c>
      <c r="S457" s="14">
        <v>4</v>
      </c>
      <c r="T457" s="14">
        <v>2</v>
      </c>
    </row>
    <row r="458" spans="1:20" x14ac:dyDescent="0.3">
      <c r="A458" s="13" t="s">
        <v>34</v>
      </c>
      <c r="B458" s="14">
        <v>389</v>
      </c>
      <c r="C458" s="14">
        <v>126</v>
      </c>
      <c r="D458" s="14">
        <v>127</v>
      </c>
      <c r="E458" s="14">
        <v>0</v>
      </c>
      <c r="F458" s="14">
        <v>136</v>
      </c>
      <c r="H458" s="13" t="s">
        <v>34</v>
      </c>
      <c r="I458" s="14">
        <v>209</v>
      </c>
      <c r="J458" s="14">
        <v>81</v>
      </c>
      <c r="K458" s="14">
        <v>88</v>
      </c>
      <c r="L458" s="14">
        <v>64</v>
      </c>
      <c r="M458" s="14">
        <v>64</v>
      </c>
      <c r="O458" s="13" t="s">
        <v>34</v>
      </c>
      <c r="P458" s="14">
        <v>31</v>
      </c>
      <c r="Q458" s="14">
        <v>9</v>
      </c>
      <c r="R458" s="14">
        <v>9</v>
      </c>
      <c r="S458" s="14">
        <v>6</v>
      </c>
      <c r="T458" s="14">
        <v>7</v>
      </c>
    </row>
    <row r="459" spans="1:20" x14ac:dyDescent="0.3">
      <c r="A459" s="15" t="s">
        <v>35</v>
      </c>
      <c r="B459" s="16">
        <v>12</v>
      </c>
      <c r="C459" s="16">
        <v>12</v>
      </c>
      <c r="D459" s="16">
        <v>0</v>
      </c>
      <c r="E459" s="16">
        <v>0</v>
      </c>
      <c r="F459" s="16">
        <v>0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O459" s="15" t="s">
        <v>35</v>
      </c>
      <c r="P459" s="16">
        <v>1</v>
      </c>
      <c r="Q459" s="16">
        <v>1</v>
      </c>
      <c r="R459" s="16">
        <v>0</v>
      </c>
      <c r="S459" s="16">
        <v>0</v>
      </c>
      <c r="T459" s="16">
        <v>0</v>
      </c>
    </row>
    <row r="460" spans="1:20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  <c r="O460" s="17" t="s">
        <v>36</v>
      </c>
      <c r="P460" s="138">
        <v>0</v>
      </c>
      <c r="Q460" s="138">
        <v>0</v>
      </c>
      <c r="R460" s="138">
        <v>0</v>
      </c>
      <c r="S460" s="138">
        <v>0</v>
      </c>
      <c r="T460" s="138">
        <v>0</v>
      </c>
    </row>
    <row r="461" spans="1:20" x14ac:dyDescent="0.3">
      <c r="A461" s="17" t="s">
        <v>37</v>
      </c>
      <c r="B461" s="55">
        <v>12</v>
      </c>
      <c r="C461" s="55">
        <v>12</v>
      </c>
      <c r="D461" s="55">
        <v>0</v>
      </c>
      <c r="E461" s="55">
        <v>0</v>
      </c>
      <c r="F461" s="55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  <c r="O461" s="17" t="s">
        <v>37</v>
      </c>
      <c r="P461" s="138">
        <v>1</v>
      </c>
      <c r="Q461" s="138">
        <v>1</v>
      </c>
      <c r="R461" s="138">
        <v>0</v>
      </c>
      <c r="S461" s="138">
        <v>0</v>
      </c>
      <c r="T461" s="138">
        <v>0</v>
      </c>
    </row>
    <row r="462" spans="1:20" x14ac:dyDescent="0.3">
      <c r="A462" s="17" t="s">
        <v>38</v>
      </c>
      <c r="B462" s="172" t="s">
        <v>1133</v>
      </c>
      <c r="C462" s="173"/>
      <c r="D462" s="173"/>
      <c r="E462" s="173"/>
      <c r="F462" s="173"/>
      <c r="H462" s="17" t="s">
        <v>38</v>
      </c>
      <c r="I462" s="172" t="s">
        <v>831</v>
      </c>
      <c r="J462" s="173"/>
      <c r="K462" s="173"/>
      <c r="L462" s="173"/>
      <c r="M462" s="173"/>
      <c r="O462" s="17" t="s">
        <v>38</v>
      </c>
      <c r="P462" s="167" t="s">
        <v>1956</v>
      </c>
      <c r="Q462" s="168"/>
      <c r="R462" s="168"/>
      <c r="S462" s="168"/>
      <c r="T462" s="168"/>
    </row>
    <row r="463" spans="1:20" ht="19.8" x14ac:dyDescent="0.3">
      <c r="A463" s="171">
        <v>46112</v>
      </c>
      <c r="B463" s="171"/>
      <c r="C463" s="171"/>
      <c r="D463" s="171"/>
      <c r="E463" s="171"/>
      <c r="F463" s="171"/>
      <c r="H463" s="171">
        <v>46139</v>
      </c>
      <c r="I463" s="171"/>
      <c r="J463" s="171"/>
      <c r="K463" s="171"/>
      <c r="L463" s="171"/>
      <c r="M463" s="171"/>
      <c r="O463" s="170">
        <v>46170</v>
      </c>
      <c r="P463" s="168"/>
      <c r="Q463" s="168"/>
      <c r="R463" s="168"/>
      <c r="S463" s="168"/>
      <c r="T463" s="168"/>
    </row>
    <row r="464" spans="1:20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870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  <c r="O464" s="179" t="s">
        <v>0</v>
      </c>
      <c r="P464" s="179" t="s">
        <v>1</v>
      </c>
      <c r="Q464" s="179" t="s">
        <v>2</v>
      </c>
      <c r="R464" s="179" t="s">
        <v>3</v>
      </c>
      <c r="S464" s="179" t="s">
        <v>40</v>
      </c>
      <c r="T464" s="179" t="s">
        <v>4</v>
      </c>
    </row>
    <row r="465" spans="1:20" x14ac:dyDescent="0.3">
      <c r="A465" s="2" t="s">
        <v>5</v>
      </c>
      <c r="B465" s="3">
        <v>5905</v>
      </c>
      <c r="C465" s="3">
        <v>1819</v>
      </c>
      <c r="D465" s="3">
        <v>2000</v>
      </c>
      <c r="E465" s="3">
        <v>0</v>
      </c>
      <c r="F465" s="3">
        <v>2086</v>
      </c>
      <c r="H465" s="2" t="s">
        <v>5</v>
      </c>
      <c r="I465" s="3">
        <v>3715</v>
      </c>
      <c r="J465" s="3">
        <v>1326</v>
      </c>
      <c r="K465" s="3">
        <v>0</v>
      </c>
      <c r="L465" s="3">
        <v>1322</v>
      </c>
      <c r="M465" s="3">
        <v>1067</v>
      </c>
      <c r="O465" s="180" t="s">
        <v>5</v>
      </c>
      <c r="P465" s="181">
        <v>5629</v>
      </c>
      <c r="Q465" s="181">
        <v>1820</v>
      </c>
      <c r="R465" s="181">
        <v>1335</v>
      </c>
      <c r="S465" s="181">
        <v>1073</v>
      </c>
      <c r="T465" s="181">
        <v>1401</v>
      </c>
    </row>
    <row r="466" spans="1:20" x14ac:dyDescent="0.3">
      <c r="A466" s="2" t="s">
        <v>6</v>
      </c>
      <c r="B466" s="3">
        <v>350</v>
      </c>
      <c r="C466" s="4">
        <v>72</v>
      </c>
      <c r="D466" s="6">
        <v>118</v>
      </c>
      <c r="E466" s="3">
        <v>0</v>
      </c>
      <c r="F466" s="5">
        <v>160</v>
      </c>
      <c r="H466" s="2" t="s">
        <v>6</v>
      </c>
      <c r="I466" s="3">
        <v>432</v>
      </c>
      <c r="J466" s="4">
        <v>113</v>
      </c>
      <c r="K466" s="3">
        <v>0</v>
      </c>
      <c r="L466" s="5">
        <v>183</v>
      </c>
      <c r="M466" s="6">
        <v>136</v>
      </c>
      <c r="O466" s="180" t="s">
        <v>6</v>
      </c>
      <c r="P466" s="181">
        <v>155</v>
      </c>
      <c r="Q466" s="182">
        <v>4</v>
      </c>
      <c r="R466" s="182">
        <v>4</v>
      </c>
      <c r="S466" s="184">
        <v>34</v>
      </c>
      <c r="T466" s="183">
        <v>113</v>
      </c>
    </row>
    <row r="467" spans="1:20" x14ac:dyDescent="0.3">
      <c r="A467" s="2" t="s">
        <v>7</v>
      </c>
      <c r="B467" s="3" t="s">
        <v>288</v>
      </c>
      <c r="C467" s="4" t="s">
        <v>1176</v>
      </c>
      <c r="D467" s="6" t="s">
        <v>633</v>
      </c>
      <c r="E467" s="3">
        <v>0</v>
      </c>
      <c r="F467" s="5" t="s">
        <v>1177</v>
      </c>
      <c r="H467" s="2" t="s">
        <v>7</v>
      </c>
      <c r="I467" s="3" t="s">
        <v>731</v>
      </c>
      <c r="J467" s="4" t="s">
        <v>1288</v>
      </c>
      <c r="K467" s="3">
        <v>0</v>
      </c>
      <c r="L467" s="5" t="s">
        <v>1691</v>
      </c>
      <c r="M467" s="6" t="s">
        <v>1692</v>
      </c>
      <c r="O467" s="180" t="s">
        <v>7</v>
      </c>
      <c r="P467" s="181" t="s">
        <v>1083</v>
      </c>
      <c r="Q467" s="181" t="s">
        <v>122</v>
      </c>
      <c r="R467" s="182" t="s">
        <v>147</v>
      </c>
      <c r="S467" s="184" t="s">
        <v>392</v>
      </c>
      <c r="T467" s="183" t="s">
        <v>437</v>
      </c>
    </row>
    <row r="468" spans="1:20" x14ac:dyDescent="0.3">
      <c r="A468" s="2" t="s">
        <v>12</v>
      </c>
      <c r="B468" s="3" t="s">
        <v>749</v>
      </c>
      <c r="C468" s="4" t="s">
        <v>510</v>
      </c>
      <c r="D468" s="6" t="s">
        <v>195</v>
      </c>
      <c r="E468" s="3">
        <v>0</v>
      </c>
      <c r="F468" s="5" t="s">
        <v>917</v>
      </c>
      <c r="H468" s="2" t="s">
        <v>12</v>
      </c>
      <c r="I468" s="3" t="s">
        <v>124</v>
      </c>
      <c r="J468" s="4" t="s">
        <v>1665</v>
      </c>
      <c r="K468" s="3">
        <v>0</v>
      </c>
      <c r="L468" s="6" t="s">
        <v>1207</v>
      </c>
      <c r="M468" s="5" t="s">
        <v>1513</v>
      </c>
      <c r="O468" s="180" t="s">
        <v>12</v>
      </c>
      <c r="P468" s="181" t="s">
        <v>1214</v>
      </c>
      <c r="Q468" s="181" t="s">
        <v>25</v>
      </c>
      <c r="R468" s="181" t="s">
        <v>25</v>
      </c>
      <c r="S468" s="184" t="s">
        <v>1363</v>
      </c>
      <c r="T468" s="183" t="s">
        <v>189</v>
      </c>
    </row>
    <row r="469" spans="1:20" x14ac:dyDescent="0.3">
      <c r="A469" s="2" t="s">
        <v>17</v>
      </c>
      <c r="B469" s="3" t="s">
        <v>202</v>
      </c>
      <c r="C469" s="5" t="s">
        <v>391</v>
      </c>
      <c r="D469" s="4" t="s">
        <v>534</v>
      </c>
      <c r="E469" s="3" t="s">
        <v>25</v>
      </c>
      <c r="F469" s="6" t="s">
        <v>1178</v>
      </c>
      <c r="H469" s="2" t="s">
        <v>17</v>
      </c>
      <c r="I469" s="3" t="s">
        <v>1348</v>
      </c>
      <c r="J469" s="6" t="s">
        <v>104</v>
      </c>
      <c r="K469" s="3" t="s">
        <v>25</v>
      </c>
      <c r="L469" s="5" t="s">
        <v>1693</v>
      </c>
      <c r="M469" s="4" t="s">
        <v>1441</v>
      </c>
      <c r="O469" s="180" t="s">
        <v>17</v>
      </c>
      <c r="P469" s="181" t="s">
        <v>300</v>
      </c>
      <c r="Q469" s="182" t="s">
        <v>62</v>
      </c>
      <c r="R469" s="184" t="s">
        <v>44</v>
      </c>
      <c r="S469" s="181" t="s">
        <v>200</v>
      </c>
      <c r="T469" s="183" t="s">
        <v>1409</v>
      </c>
    </row>
    <row r="470" spans="1:20" x14ac:dyDescent="0.3">
      <c r="A470" s="2" t="s">
        <v>22</v>
      </c>
      <c r="B470" s="3" t="s">
        <v>552</v>
      </c>
      <c r="C470" s="5" t="s">
        <v>49</v>
      </c>
      <c r="D470" s="3" t="s">
        <v>25</v>
      </c>
      <c r="E470" s="3" t="s">
        <v>25</v>
      </c>
      <c r="F470" s="3" t="s">
        <v>25</v>
      </c>
      <c r="H470" s="2" t="s">
        <v>22</v>
      </c>
      <c r="I470" s="3" t="s">
        <v>552</v>
      </c>
      <c r="J470" s="5" t="s">
        <v>309</v>
      </c>
      <c r="K470" s="3" t="s">
        <v>25</v>
      </c>
      <c r="L470" s="3" t="s">
        <v>25</v>
      </c>
      <c r="M470" s="3" t="s">
        <v>25</v>
      </c>
      <c r="O470" s="180" t="s">
        <v>22</v>
      </c>
      <c r="P470" s="181" t="s">
        <v>25</v>
      </c>
      <c r="Q470" s="181" t="s">
        <v>25</v>
      </c>
      <c r="R470" s="181" t="s">
        <v>25</v>
      </c>
      <c r="S470" s="181" t="s">
        <v>25</v>
      </c>
      <c r="T470" s="181" t="s">
        <v>25</v>
      </c>
    </row>
    <row r="471" spans="1:20" x14ac:dyDescent="0.3">
      <c r="A471" s="7" t="s">
        <v>26</v>
      </c>
      <c r="B471" s="8">
        <v>209</v>
      </c>
      <c r="C471" s="8">
        <v>28</v>
      </c>
      <c r="D471" s="8">
        <v>73</v>
      </c>
      <c r="E471" s="8">
        <v>0</v>
      </c>
      <c r="F471" s="8">
        <v>108</v>
      </c>
      <c r="H471" s="7" t="s">
        <v>26</v>
      </c>
      <c r="I471" s="8">
        <v>279</v>
      </c>
      <c r="J471" s="8">
        <v>60</v>
      </c>
      <c r="K471" s="8">
        <v>0</v>
      </c>
      <c r="L471" s="8">
        <v>118</v>
      </c>
      <c r="M471" s="8">
        <v>101</v>
      </c>
      <c r="O471" s="185" t="s">
        <v>26</v>
      </c>
      <c r="P471" s="186">
        <v>138</v>
      </c>
      <c r="Q471" s="186">
        <v>0</v>
      </c>
      <c r="R471" s="186">
        <v>0</v>
      </c>
      <c r="S471" s="186">
        <v>32</v>
      </c>
      <c r="T471" s="186">
        <v>106</v>
      </c>
    </row>
    <row r="472" spans="1:20" x14ac:dyDescent="0.3">
      <c r="A472" s="9" t="s">
        <v>27</v>
      </c>
      <c r="B472" s="10">
        <v>137</v>
      </c>
      <c r="C472" s="10">
        <v>14</v>
      </c>
      <c r="D472" s="10">
        <v>70</v>
      </c>
      <c r="E472" s="10">
        <v>0</v>
      </c>
      <c r="F472" s="10">
        <v>53</v>
      </c>
      <c r="H472" s="9" t="s">
        <v>27</v>
      </c>
      <c r="I472" s="10">
        <v>272</v>
      </c>
      <c r="J472" s="10">
        <v>60</v>
      </c>
      <c r="K472" s="10">
        <v>0</v>
      </c>
      <c r="L472" s="10">
        <v>116</v>
      </c>
      <c r="M472" s="10">
        <v>96</v>
      </c>
      <c r="O472" s="187" t="s">
        <v>27</v>
      </c>
      <c r="P472" s="188">
        <v>37</v>
      </c>
      <c r="Q472" s="188">
        <v>0</v>
      </c>
      <c r="R472" s="188">
        <v>0</v>
      </c>
      <c r="S472" s="188">
        <v>14</v>
      </c>
      <c r="T472" s="188">
        <v>23</v>
      </c>
    </row>
    <row r="473" spans="1:20" x14ac:dyDescent="0.3">
      <c r="A473" s="9" t="s">
        <v>28</v>
      </c>
      <c r="B473" s="10">
        <v>21</v>
      </c>
      <c r="C473" s="10">
        <v>3</v>
      </c>
      <c r="D473" s="10">
        <v>0</v>
      </c>
      <c r="E473" s="10">
        <v>0</v>
      </c>
      <c r="F473" s="10">
        <v>18</v>
      </c>
      <c r="H473" s="9" t="s">
        <v>28</v>
      </c>
      <c r="I473" s="10">
        <v>1</v>
      </c>
      <c r="J473" s="10">
        <v>0</v>
      </c>
      <c r="K473" s="10">
        <v>0</v>
      </c>
      <c r="L473" s="10">
        <v>1</v>
      </c>
      <c r="M473" s="10">
        <v>0</v>
      </c>
      <c r="O473" s="187" t="s">
        <v>28</v>
      </c>
      <c r="P473" s="188">
        <v>68</v>
      </c>
      <c r="Q473" s="188">
        <v>0</v>
      </c>
      <c r="R473" s="188">
        <v>0</v>
      </c>
      <c r="S473" s="188">
        <v>7</v>
      </c>
      <c r="T473" s="188">
        <v>61</v>
      </c>
    </row>
    <row r="474" spans="1:20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O474" s="187" t="s">
        <v>29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</row>
    <row r="475" spans="1:20" x14ac:dyDescent="0.3">
      <c r="A475" s="9" t="s">
        <v>30</v>
      </c>
      <c r="B475" s="10">
        <v>51</v>
      </c>
      <c r="C475" s="10">
        <v>11</v>
      </c>
      <c r="D475" s="10">
        <v>3</v>
      </c>
      <c r="E475" s="10">
        <v>0</v>
      </c>
      <c r="F475" s="10">
        <v>37</v>
      </c>
      <c r="H475" s="9" t="s">
        <v>30</v>
      </c>
      <c r="I475" s="10">
        <v>6</v>
      </c>
      <c r="J475" s="10">
        <v>0</v>
      </c>
      <c r="K475" s="10">
        <v>0</v>
      </c>
      <c r="L475" s="10">
        <v>1</v>
      </c>
      <c r="M475" s="10">
        <v>5</v>
      </c>
      <c r="O475" s="187" t="s">
        <v>30</v>
      </c>
      <c r="P475" s="188">
        <v>33</v>
      </c>
      <c r="Q475" s="188">
        <v>0</v>
      </c>
      <c r="R475" s="188">
        <v>0</v>
      </c>
      <c r="S475" s="188">
        <v>11</v>
      </c>
      <c r="T475" s="188">
        <v>22</v>
      </c>
    </row>
    <row r="476" spans="1:20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0</v>
      </c>
      <c r="Q476" s="188">
        <v>0</v>
      </c>
      <c r="R476" s="188">
        <v>0</v>
      </c>
      <c r="S476" s="188">
        <v>0</v>
      </c>
      <c r="T476" s="188">
        <v>0</v>
      </c>
    </row>
    <row r="477" spans="1:20" x14ac:dyDescent="0.3">
      <c r="A477" s="11" t="s">
        <v>32</v>
      </c>
      <c r="B477" s="12">
        <v>144</v>
      </c>
      <c r="C477" s="12">
        <v>47</v>
      </c>
      <c r="D477" s="12">
        <v>45</v>
      </c>
      <c r="E477" s="12">
        <v>0</v>
      </c>
      <c r="F477" s="12">
        <v>52</v>
      </c>
      <c r="H477" s="11" t="s">
        <v>32</v>
      </c>
      <c r="I477" s="12">
        <v>149</v>
      </c>
      <c r="J477" s="12">
        <v>51</v>
      </c>
      <c r="K477" s="12">
        <v>0</v>
      </c>
      <c r="L477" s="12">
        <v>63</v>
      </c>
      <c r="M477" s="12">
        <v>35</v>
      </c>
      <c r="O477" s="189" t="s">
        <v>32</v>
      </c>
      <c r="P477" s="190">
        <v>41</v>
      </c>
      <c r="Q477" s="190">
        <v>13</v>
      </c>
      <c r="R477" s="190">
        <v>10</v>
      </c>
      <c r="S477" s="190">
        <v>4</v>
      </c>
      <c r="T477" s="190">
        <v>14</v>
      </c>
    </row>
    <row r="478" spans="1:20" x14ac:dyDescent="0.3">
      <c r="A478" s="13" t="s">
        <v>33</v>
      </c>
      <c r="B478" s="14">
        <v>7</v>
      </c>
      <c r="C478" s="14">
        <v>3</v>
      </c>
      <c r="D478" s="14">
        <v>2</v>
      </c>
      <c r="E478" s="14">
        <v>0</v>
      </c>
      <c r="F478" s="14">
        <v>2</v>
      </c>
      <c r="H478" s="13" t="s">
        <v>33</v>
      </c>
      <c r="I478" s="14">
        <v>8</v>
      </c>
      <c r="J478" s="14">
        <v>4</v>
      </c>
      <c r="K478" s="14">
        <v>0</v>
      </c>
      <c r="L478" s="14">
        <v>3</v>
      </c>
      <c r="M478" s="14">
        <v>1</v>
      </c>
      <c r="O478" s="191" t="s">
        <v>33</v>
      </c>
      <c r="P478" s="192">
        <v>17</v>
      </c>
      <c r="Q478" s="192">
        <v>4</v>
      </c>
      <c r="R478" s="192">
        <v>4</v>
      </c>
      <c r="S478" s="192">
        <v>2</v>
      </c>
      <c r="T478" s="192">
        <v>7</v>
      </c>
    </row>
    <row r="479" spans="1:20" x14ac:dyDescent="0.3">
      <c r="A479" s="13" t="s">
        <v>34</v>
      </c>
      <c r="B479" s="14">
        <v>137</v>
      </c>
      <c r="C479" s="14">
        <v>44</v>
      </c>
      <c r="D479" s="14">
        <v>43</v>
      </c>
      <c r="E479" s="14">
        <v>0</v>
      </c>
      <c r="F479" s="14">
        <v>50</v>
      </c>
      <c r="H479" s="13" t="s">
        <v>34</v>
      </c>
      <c r="I479" s="14">
        <v>141</v>
      </c>
      <c r="J479" s="14">
        <v>47</v>
      </c>
      <c r="K479" s="14">
        <v>0</v>
      </c>
      <c r="L479" s="14">
        <v>60</v>
      </c>
      <c r="M479" s="14">
        <v>34</v>
      </c>
      <c r="O479" s="191" t="s">
        <v>34</v>
      </c>
      <c r="P479" s="192">
        <v>24</v>
      </c>
      <c r="Q479" s="192">
        <v>9</v>
      </c>
      <c r="R479" s="192">
        <v>6</v>
      </c>
      <c r="S479" s="192">
        <v>2</v>
      </c>
      <c r="T479" s="192">
        <v>7</v>
      </c>
    </row>
    <row r="480" spans="1:20" x14ac:dyDescent="0.3">
      <c r="A480" s="15" t="s">
        <v>35</v>
      </c>
      <c r="B480" s="16">
        <v>2</v>
      </c>
      <c r="C480" s="16">
        <v>2</v>
      </c>
      <c r="D480" s="16">
        <v>0</v>
      </c>
      <c r="E480" s="16">
        <v>0</v>
      </c>
      <c r="F480" s="16">
        <v>0</v>
      </c>
      <c r="H480" s="15" t="s">
        <v>35</v>
      </c>
      <c r="I480" s="16">
        <v>1</v>
      </c>
      <c r="J480" s="16">
        <v>1</v>
      </c>
      <c r="K480" s="16">
        <v>0</v>
      </c>
      <c r="L480" s="16">
        <v>0</v>
      </c>
      <c r="M480" s="16">
        <v>0</v>
      </c>
      <c r="O480" s="193" t="s">
        <v>35</v>
      </c>
      <c r="P480" s="194">
        <v>0</v>
      </c>
      <c r="Q480" s="194">
        <v>0</v>
      </c>
      <c r="R480" s="194">
        <v>0</v>
      </c>
      <c r="S480" s="194">
        <v>0</v>
      </c>
      <c r="T480" s="194">
        <v>0</v>
      </c>
    </row>
    <row r="481" spans="1:20" x14ac:dyDescent="0.3">
      <c r="A481" s="17" t="s">
        <v>36</v>
      </c>
      <c r="B481" s="56">
        <v>0</v>
      </c>
      <c r="C481" s="56">
        <v>0</v>
      </c>
      <c r="D481" s="56">
        <v>0</v>
      </c>
      <c r="E481" s="56">
        <v>0</v>
      </c>
      <c r="F481" s="56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  <c r="O481" s="195" t="s">
        <v>36</v>
      </c>
      <c r="P481" s="196">
        <v>0</v>
      </c>
      <c r="Q481" s="196">
        <v>0</v>
      </c>
      <c r="R481" s="196">
        <v>0</v>
      </c>
      <c r="S481" s="196">
        <v>0</v>
      </c>
      <c r="T481" s="196">
        <v>0</v>
      </c>
    </row>
    <row r="482" spans="1:20" x14ac:dyDescent="0.3">
      <c r="A482" s="17" t="s">
        <v>37</v>
      </c>
      <c r="B482" s="56">
        <v>2</v>
      </c>
      <c r="C482" s="56">
        <v>2</v>
      </c>
      <c r="D482" s="56">
        <v>0</v>
      </c>
      <c r="E482" s="56">
        <v>0</v>
      </c>
      <c r="F482" s="56">
        <v>0</v>
      </c>
      <c r="H482" s="17" t="s">
        <v>37</v>
      </c>
      <c r="I482" s="109">
        <v>1</v>
      </c>
      <c r="J482" s="109">
        <v>1</v>
      </c>
      <c r="K482" s="109">
        <v>0</v>
      </c>
      <c r="L482" s="109">
        <v>0</v>
      </c>
      <c r="M482" s="109">
        <v>0</v>
      </c>
      <c r="O482" s="195" t="s">
        <v>37</v>
      </c>
      <c r="P482" s="196">
        <v>0</v>
      </c>
      <c r="Q482" s="196">
        <v>0</v>
      </c>
      <c r="R482" s="196">
        <v>0</v>
      </c>
      <c r="S482" s="196">
        <v>0</v>
      </c>
      <c r="T482" s="196">
        <v>0</v>
      </c>
    </row>
    <row r="483" spans="1:20" x14ac:dyDescent="0.3">
      <c r="A483" s="17" t="s">
        <v>38</v>
      </c>
      <c r="B483" s="172" t="s">
        <v>1179</v>
      </c>
      <c r="C483" s="173"/>
      <c r="D483" s="173"/>
      <c r="E483" s="173"/>
      <c r="F483" s="173"/>
      <c r="H483" s="17" t="s">
        <v>38</v>
      </c>
      <c r="I483" s="172" t="s">
        <v>831</v>
      </c>
      <c r="J483" s="173"/>
      <c r="K483" s="173"/>
      <c r="L483" s="173"/>
      <c r="M483" s="173"/>
      <c r="O483" s="195" t="s">
        <v>38</v>
      </c>
      <c r="P483" s="167" t="s">
        <v>1956</v>
      </c>
      <c r="Q483" s="168"/>
      <c r="R483" s="168"/>
      <c r="S483" s="168"/>
      <c r="T483" s="168"/>
    </row>
    <row r="484" spans="1:20" ht="19.8" x14ac:dyDescent="0.3">
      <c r="H484" s="171">
        <v>46140</v>
      </c>
      <c r="I484" s="171"/>
      <c r="J484" s="171"/>
      <c r="K484" s="171"/>
      <c r="L484" s="171"/>
      <c r="M484" s="171"/>
    </row>
    <row r="485" spans="1:20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20" x14ac:dyDescent="0.3">
      <c r="H486" s="2" t="s">
        <v>5</v>
      </c>
      <c r="I486" s="3">
        <v>5313</v>
      </c>
      <c r="J486" s="3">
        <v>2015</v>
      </c>
      <c r="K486" s="3">
        <v>1925</v>
      </c>
      <c r="L486" s="3">
        <v>1764</v>
      </c>
      <c r="M486" s="3">
        <v>1534</v>
      </c>
    </row>
    <row r="487" spans="1:20" x14ac:dyDescent="0.3">
      <c r="H487" s="2" t="s">
        <v>6</v>
      </c>
      <c r="I487" s="3">
        <v>570</v>
      </c>
      <c r="J487" s="5">
        <v>251</v>
      </c>
      <c r="K487" s="6">
        <v>184</v>
      </c>
      <c r="L487" s="6">
        <v>166</v>
      </c>
      <c r="M487" s="4">
        <v>153</v>
      </c>
    </row>
    <row r="488" spans="1:20" x14ac:dyDescent="0.3">
      <c r="H488" s="2" t="s">
        <v>7</v>
      </c>
      <c r="I488" s="3" t="s">
        <v>373</v>
      </c>
      <c r="J488" s="5" t="s">
        <v>1705</v>
      </c>
      <c r="K488" s="4" t="s">
        <v>1716</v>
      </c>
      <c r="L488" s="4" t="s">
        <v>739</v>
      </c>
      <c r="M488" s="6" t="s">
        <v>843</v>
      </c>
    </row>
    <row r="489" spans="1:20" x14ac:dyDescent="0.3">
      <c r="H489" s="2" t="s">
        <v>12</v>
      </c>
      <c r="I489" s="3" t="s">
        <v>1384</v>
      </c>
      <c r="J489" s="4" t="s">
        <v>648</v>
      </c>
      <c r="K489" s="4" t="s">
        <v>1242</v>
      </c>
      <c r="L489" s="6" t="s">
        <v>215</v>
      </c>
      <c r="M489" s="5" t="s">
        <v>315</v>
      </c>
    </row>
    <row r="490" spans="1:20" x14ac:dyDescent="0.3">
      <c r="H490" s="2" t="s">
        <v>17</v>
      </c>
      <c r="I490" s="3" t="s">
        <v>409</v>
      </c>
      <c r="J490" s="5" t="s">
        <v>798</v>
      </c>
      <c r="K490" s="6" t="s">
        <v>139</v>
      </c>
      <c r="L490" s="6" t="s">
        <v>141</v>
      </c>
      <c r="M490" s="4" t="s">
        <v>390</v>
      </c>
    </row>
    <row r="491" spans="1:20" x14ac:dyDescent="0.3">
      <c r="H491" s="2" t="s">
        <v>22</v>
      </c>
      <c r="I491" s="3" t="s">
        <v>75</v>
      </c>
      <c r="J491" s="5" t="s">
        <v>147</v>
      </c>
      <c r="K491" s="3" t="s">
        <v>25</v>
      </c>
      <c r="L491" s="6" t="s">
        <v>268</v>
      </c>
      <c r="M491" s="3" t="s">
        <v>25</v>
      </c>
    </row>
    <row r="492" spans="1:20" x14ac:dyDescent="0.3">
      <c r="H492" s="7" t="s">
        <v>26</v>
      </c>
      <c r="I492" s="8">
        <v>248</v>
      </c>
      <c r="J492" s="8">
        <v>34</v>
      </c>
      <c r="K492" s="8">
        <v>111</v>
      </c>
      <c r="L492" s="8">
        <v>110</v>
      </c>
      <c r="M492" s="8">
        <v>104</v>
      </c>
    </row>
    <row r="493" spans="1:20" x14ac:dyDescent="0.3">
      <c r="H493" s="9" t="s">
        <v>27</v>
      </c>
      <c r="I493" s="10">
        <v>222</v>
      </c>
      <c r="J493" s="10">
        <v>31</v>
      </c>
      <c r="K493" s="10">
        <v>102</v>
      </c>
      <c r="L493" s="10">
        <v>101</v>
      </c>
      <c r="M493" s="10">
        <v>90</v>
      </c>
    </row>
    <row r="494" spans="1:20" x14ac:dyDescent="0.3">
      <c r="H494" s="9" t="s">
        <v>28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</row>
    <row r="495" spans="1:20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20" x14ac:dyDescent="0.3">
      <c r="H496" s="9" t="s">
        <v>30</v>
      </c>
      <c r="I496" s="10">
        <v>26</v>
      </c>
      <c r="J496" s="10">
        <v>3</v>
      </c>
      <c r="K496" s="10">
        <v>9</v>
      </c>
      <c r="L496" s="10">
        <v>9</v>
      </c>
      <c r="M496" s="10">
        <v>14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286</v>
      </c>
      <c r="J498" s="12">
        <v>190</v>
      </c>
      <c r="K498" s="12">
        <v>73</v>
      </c>
      <c r="L498" s="12">
        <v>52</v>
      </c>
      <c r="M498" s="12">
        <v>44</v>
      </c>
    </row>
    <row r="499" spans="8:13" x14ac:dyDescent="0.3">
      <c r="H499" s="13" t="s">
        <v>33</v>
      </c>
      <c r="I499" s="14">
        <v>11</v>
      </c>
      <c r="J499" s="14">
        <v>9</v>
      </c>
      <c r="K499" s="14">
        <v>4</v>
      </c>
      <c r="L499" s="14">
        <v>2</v>
      </c>
      <c r="M499" s="14">
        <v>0</v>
      </c>
    </row>
    <row r="500" spans="8:13" x14ac:dyDescent="0.3">
      <c r="H500" s="13" t="s">
        <v>34</v>
      </c>
      <c r="I500" s="14">
        <v>275</v>
      </c>
      <c r="J500" s="14">
        <v>181</v>
      </c>
      <c r="K500" s="14">
        <v>69</v>
      </c>
      <c r="L500" s="14">
        <v>50</v>
      </c>
      <c r="M500" s="14">
        <v>44</v>
      </c>
    </row>
    <row r="501" spans="8:13" x14ac:dyDescent="0.3">
      <c r="H501" s="15" t="s">
        <v>35</v>
      </c>
      <c r="I501" s="16">
        <v>7</v>
      </c>
      <c r="J501" s="16">
        <v>6</v>
      </c>
      <c r="K501" s="16">
        <v>0</v>
      </c>
      <c r="L501" s="16">
        <v>1</v>
      </c>
      <c r="M501" s="16">
        <v>0</v>
      </c>
    </row>
    <row r="502" spans="8:13" x14ac:dyDescent="0.3">
      <c r="H502" s="17" t="s">
        <v>36</v>
      </c>
      <c r="I502" s="109">
        <v>2</v>
      </c>
      <c r="J502" s="109">
        <v>2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5</v>
      </c>
      <c r="J503" s="109">
        <v>4</v>
      </c>
      <c r="K503" s="109">
        <v>0</v>
      </c>
      <c r="L503" s="109">
        <v>1</v>
      </c>
      <c r="M503" s="109">
        <v>0</v>
      </c>
    </row>
    <row r="504" spans="8:13" x14ac:dyDescent="0.3">
      <c r="H504" s="17" t="s">
        <v>38</v>
      </c>
      <c r="I504" s="172" t="s">
        <v>1706</v>
      </c>
      <c r="J504" s="173"/>
      <c r="K504" s="173"/>
      <c r="L504" s="173"/>
      <c r="M504" s="173"/>
    </row>
    <row r="505" spans="8:13" ht="19.8" x14ac:dyDescent="0.3">
      <c r="H505" s="171">
        <v>46141</v>
      </c>
      <c r="I505" s="174"/>
      <c r="J505" s="174"/>
      <c r="K505" s="174"/>
      <c r="L505" s="174"/>
      <c r="M505" s="174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8:13" x14ac:dyDescent="0.3">
      <c r="H507" s="2" t="s">
        <v>5</v>
      </c>
      <c r="I507" s="3">
        <v>4667</v>
      </c>
      <c r="J507" s="3">
        <v>1694</v>
      </c>
      <c r="K507" s="3">
        <v>2605</v>
      </c>
      <c r="L507" s="3">
        <v>1770</v>
      </c>
      <c r="M507" s="3">
        <v>1203</v>
      </c>
    </row>
    <row r="508" spans="8:13" x14ac:dyDescent="0.3">
      <c r="H508" s="2" t="s">
        <v>6</v>
      </c>
      <c r="I508" s="3">
        <v>380</v>
      </c>
      <c r="J508" s="4">
        <v>88</v>
      </c>
      <c r="K508" s="4">
        <v>223</v>
      </c>
      <c r="L508" s="5">
        <v>188</v>
      </c>
      <c r="M508" s="6">
        <v>104</v>
      </c>
    </row>
    <row r="509" spans="8:13" x14ac:dyDescent="0.3">
      <c r="H509" s="2" t="s">
        <v>7</v>
      </c>
      <c r="I509" s="3" t="s">
        <v>822</v>
      </c>
      <c r="J509" s="4" t="s">
        <v>790</v>
      </c>
      <c r="K509" s="4" t="s">
        <v>170</v>
      </c>
      <c r="L509" s="5" t="s">
        <v>825</v>
      </c>
      <c r="M509" s="6" t="s">
        <v>598</v>
      </c>
    </row>
    <row r="510" spans="8:13" x14ac:dyDescent="0.3">
      <c r="H510" s="2" t="s">
        <v>12</v>
      </c>
      <c r="I510" s="3" t="s">
        <v>992</v>
      </c>
      <c r="J510" s="3" t="s">
        <v>25</v>
      </c>
      <c r="K510" s="4" t="s">
        <v>1224</v>
      </c>
      <c r="L510" s="5" t="s">
        <v>1268</v>
      </c>
      <c r="M510" s="6" t="s">
        <v>383</v>
      </c>
    </row>
    <row r="511" spans="8:13" x14ac:dyDescent="0.3">
      <c r="H511" s="2" t="s">
        <v>17</v>
      </c>
      <c r="I511" s="3" t="s">
        <v>139</v>
      </c>
      <c r="J511" s="5" t="s">
        <v>1176</v>
      </c>
      <c r="K511" s="5" t="s">
        <v>1758</v>
      </c>
      <c r="L511" s="4" t="s">
        <v>125</v>
      </c>
      <c r="M511" s="6" t="s">
        <v>1094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8:13" x14ac:dyDescent="0.3">
      <c r="H513" s="7" t="s">
        <v>26</v>
      </c>
      <c r="I513" s="8">
        <v>175</v>
      </c>
      <c r="J513" s="8">
        <v>0</v>
      </c>
      <c r="K513" s="8">
        <v>103</v>
      </c>
      <c r="L513" s="8">
        <v>116</v>
      </c>
      <c r="M513" s="8">
        <v>59</v>
      </c>
    </row>
    <row r="514" spans="8:13" x14ac:dyDescent="0.3">
      <c r="H514" s="9" t="s">
        <v>27</v>
      </c>
      <c r="I514" s="10">
        <v>166</v>
      </c>
      <c r="J514" s="10">
        <v>0</v>
      </c>
      <c r="K514" s="10">
        <v>101</v>
      </c>
      <c r="L514" s="10">
        <v>110</v>
      </c>
      <c r="M514" s="10">
        <v>56</v>
      </c>
    </row>
    <row r="515" spans="8:13" x14ac:dyDescent="0.3">
      <c r="H515" s="9" t="s">
        <v>28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9</v>
      </c>
      <c r="J517" s="10">
        <v>0</v>
      </c>
      <c r="K517" s="10">
        <v>2</v>
      </c>
      <c r="L517" s="10">
        <v>6</v>
      </c>
      <c r="M517" s="10">
        <v>3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177</v>
      </c>
      <c r="J519" s="12">
        <v>67</v>
      </c>
      <c r="K519" s="12">
        <v>573</v>
      </c>
      <c r="L519" s="12">
        <v>65</v>
      </c>
      <c r="M519" s="12">
        <v>45</v>
      </c>
    </row>
    <row r="520" spans="8:13" x14ac:dyDescent="0.3">
      <c r="H520" s="13" t="s">
        <v>33</v>
      </c>
      <c r="I520" s="14">
        <v>30</v>
      </c>
      <c r="J520" s="14">
        <v>14</v>
      </c>
      <c r="K520" s="14">
        <v>16</v>
      </c>
      <c r="L520" s="14">
        <v>8</v>
      </c>
      <c r="M520" s="14">
        <v>8</v>
      </c>
    </row>
    <row r="521" spans="8:13" x14ac:dyDescent="0.3">
      <c r="H521" s="13" t="s">
        <v>34</v>
      </c>
      <c r="I521" s="14">
        <v>147</v>
      </c>
      <c r="J521" s="14">
        <v>53</v>
      </c>
      <c r="K521" s="14">
        <v>557</v>
      </c>
      <c r="L521" s="14">
        <v>57</v>
      </c>
      <c r="M521" s="14">
        <v>37</v>
      </c>
    </row>
    <row r="522" spans="8:13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8:13" x14ac:dyDescent="0.3"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  <c r="M523" s="109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8:13" x14ac:dyDescent="0.3">
      <c r="H525" s="17" t="s">
        <v>38</v>
      </c>
      <c r="I525" s="172" t="s">
        <v>1751</v>
      </c>
      <c r="J525" s="173"/>
      <c r="K525" s="173"/>
      <c r="L525" s="173"/>
      <c r="M525" s="173"/>
    </row>
    <row r="526" spans="8:13" ht="19.8" x14ac:dyDescent="0.3">
      <c r="H526" s="170">
        <v>46142</v>
      </c>
      <c r="I526" s="168"/>
      <c r="J526" s="168"/>
      <c r="K526" s="168"/>
      <c r="L526" s="168"/>
      <c r="M526" s="168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8:13" x14ac:dyDescent="0.3">
      <c r="H528" s="2" t="s">
        <v>5</v>
      </c>
      <c r="I528" s="3">
        <v>6517</v>
      </c>
      <c r="J528" s="3">
        <v>2239</v>
      </c>
      <c r="K528" s="3">
        <v>1778</v>
      </c>
      <c r="L528" s="3">
        <v>1450</v>
      </c>
      <c r="M528" s="3">
        <v>1050</v>
      </c>
    </row>
    <row r="529" spans="8:13" x14ac:dyDescent="0.3">
      <c r="H529" s="2" t="s">
        <v>6</v>
      </c>
      <c r="I529" s="3">
        <v>444</v>
      </c>
      <c r="J529" s="3">
        <v>56</v>
      </c>
      <c r="K529" s="6">
        <v>94</v>
      </c>
      <c r="L529" s="4">
        <v>70</v>
      </c>
      <c r="M529" s="5">
        <v>224</v>
      </c>
    </row>
    <row r="530" spans="8:13" x14ac:dyDescent="0.3">
      <c r="H530" s="2" t="s">
        <v>7</v>
      </c>
      <c r="I530" s="3" t="s">
        <v>865</v>
      </c>
      <c r="J530" s="3" t="s">
        <v>237</v>
      </c>
      <c r="K530" s="6" t="s">
        <v>218</v>
      </c>
      <c r="L530" s="4" t="s">
        <v>1365</v>
      </c>
      <c r="M530" s="5" t="s">
        <v>1764</v>
      </c>
    </row>
    <row r="531" spans="8:13" x14ac:dyDescent="0.3">
      <c r="H531" s="2" t="s">
        <v>12</v>
      </c>
      <c r="I531" s="3" t="s">
        <v>432</v>
      </c>
      <c r="J531" s="3" t="s">
        <v>25</v>
      </c>
      <c r="K531" s="6" t="s">
        <v>388</v>
      </c>
      <c r="L531" s="5" t="s">
        <v>145</v>
      </c>
      <c r="M531" s="4" t="s">
        <v>509</v>
      </c>
    </row>
    <row r="532" spans="8:13" x14ac:dyDescent="0.3">
      <c r="H532" s="2" t="s">
        <v>17</v>
      </c>
      <c r="I532" s="3" t="s">
        <v>391</v>
      </c>
      <c r="J532" s="4" t="s">
        <v>1333</v>
      </c>
      <c r="K532" s="6" t="s">
        <v>534</v>
      </c>
      <c r="L532" s="3" t="s">
        <v>773</v>
      </c>
      <c r="M532" s="5" t="s">
        <v>1262</v>
      </c>
    </row>
    <row r="533" spans="8:13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8:13" x14ac:dyDescent="0.3">
      <c r="H534" s="7" t="s">
        <v>26</v>
      </c>
      <c r="I534" s="8">
        <v>104</v>
      </c>
      <c r="J534" s="8">
        <v>0</v>
      </c>
      <c r="K534" s="8">
        <v>48</v>
      </c>
      <c r="L534" s="8">
        <v>42</v>
      </c>
      <c r="M534" s="8">
        <v>14</v>
      </c>
    </row>
    <row r="535" spans="8:13" x14ac:dyDescent="0.3">
      <c r="H535" s="9" t="s">
        <v>27</v>
      </c>
      <c r="I535" s="10">
        <v>100</v>
      </c>
      <c r="J535" s="10">
        <v>0</v>
      </c>
      <c r="K535" s="10">
        <v>46</v>
      </c>
      <c r="L535" s="10">
        <v>40</v>
      </c>
      <c r="M535" s="10">
        <v>14</v>
      </c>
    </row>
    <row r="536" spans="8:13" x14ac:dyDescent="0.3">
      <c r="H536" s="9" t="s">
        <v>28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4</v>
      </c>
      <c r="J538" s="10">
        <v>0</v>
      </c>
      <c r="K538" s="10">
        <v>2</v>
      </c>
      <c r="L538" s="10">
        <v>2</v>
      </c>
      <c r="M538" s="10">
        <v>0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168</v>
      </c>
      <c r="J540" s="12">
        <v>48</v>
      </c>
      <c r="K540" s="12">
        <v>40</v>
      </c>
      <c r="L540" s="12">
        <v>21</v>
      </c>
      <c r="M540" s="12">
        <v>59</v>
      </c>
    </row>
    <row r="541" spans="8:13" x14ac:dyDescent="0.3">
      <c r="H541" s="13" t="s">
        <v>33</v>
      </c>
      <c r="I541" s="14">
        <v>79</v>
      </c>
      <c r="J541" s="14">
        <v>16</v>
      </c>
      <c r="K541" s="14">
        <v>6</v>
      </c>
      <c r="L541" s="14">
        <v>8</v>
      </c>
      <c r="M541" s="14">
        <v>49</v>
      </c>
    </row>
    <row r="542" spans="8:13" x14ac:dyDescent="0.3">
      <c r="H542" s="13" t="s">
        <v>34</v>
      </c>
      <c r="I542" s="14">
        <v>89</v>
      </c>
      <c r="J542" s="14">
        <v>32</v>
      </c>
      <c r="K542" s="14">
        <v>34</v>
      </c>
      <c r="L542" s="14">
        <v>13</v>
      </c>
      <c r="M542" s="14">
        <v>10</v>
      </c>
    </row>
    <row r="543" spans="8:13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8:13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67" t="s">
        <v>1765</v>
      </c>
      <c r="J546" s="168"/>
      <c r="K546" s="168"/>
      <c r="L546" s="168"/>
      <c r="M546" s="168"/>
    </row>
  </sheetData>
  <mergeCells count="144">
    <mergeCell ref="O463:T463"/>
    <mergeCell ref="P483:T483"/>
    <mergeCell ref="O400:T400"/>
    <mergeCell ref="P420:T420"/>
    <mergeCell ref="O379:T379"/>
    <mergeCell ref="P399:T399"/>
    <mergeCell ref="O421:T421"/>
    <mergeCell ref="P441:T441"/>
    <mergeCell ref="O442:T442"/>
    <mergeCell ref="P462:T462"/>
    <mergeCell ref="O169:T169"/>
    <mergeCell ref="P189:T189"/>
    <mergeCell ref="O190:T190"/>
    <mergeCell ref="P210:T210"/>
    <mergeCell ref="O127:T127"/>
    <mergeCell ref="P147:T147"/>
    <mergeCell ref="O148:T148"/>
    <mergeCell ref="P168:T168"/>
    <mergeCell ref="H526:M526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O316:T316"/>
    <mergeCell ref="P336:T336"/>
    <mergeCell ref="O337:T337"/>
    <mergeCell ref="P357:T357"/>
    <mergeCell ref="O358:T358"/>
    <mergeCell ref="P378:T378"/>
    <mergeCell ref="I546:M546"/>
    <mergeCell ref="I525:M525"/>
    <mergeCell ref="H505:M505"/>
    <mergeCell ref="O1:T1"/>
    <mergeCell ref="P21:T21"/>
    <mergeCell ref="O22:T22"/>
    <mergeCell ref="P42:T42"/>
    <mergeCell ref="O43:T43"/>
    <mergeCell ref="P63:T63"/>
    <mergeCell ref="O64:T64"/>
    <mergeCell ref="P84:T84"/>
    <mergeCell ref="O85:T85"/>
    <mergeCell ref="P105:T105"/>
    <mergeCell ref="O106:T106"/>
    <mergeCell ref="P126:T126"/>
    <mergeCell ref="H85:M85"/>
    <mergeCell ref="I105:M105"/>
    <mergeCell ref="H127:M127"/>
    <mergeCell ref="H484:M484"/>
    <mergeCell ref="I504:M504"/>
    <mergeCell ref="H463:M463"/>
    <mergeCell ref="I483:M483"/>
    <mergeCell ref="O211:T211"/>
    <mergeCell ref="P231:T231"/>
    <mergeCell ref="I315:M315"/>
    <mergeCell ref="H295:M295"/>
    <mergeCell ref="H190:M190"/>
    <mergeCell ref="I210:M210"/>
    <mergeCell ref="H274:M274"/>
    <mergeCell ref="I294:M294"/>
    <mergeCell ref="H316:M316"/>
    <mergeCell ref="B441:F441"/>
    <mergeCell ref="A442:F442"/>
    <mergeCell ref="H337:M337"/>
    <mergeCell ref="I357:M357"/>
    <mergeCell ref="I336:M336"/>
    <mergeCell ref="I420:M420"/>
    <mergeCell ref="H400:M400"/>
    <mergeCell ref="A379:F379"/>
    <mergeCell ref="B399:F399"/>
    <mergeCell ref="B336:F336"/>
    <mergeCell ref="I441:M441"/>
    <mergeCell ref="A85:F85"/>
    <mergeCell ref="B105:F105"/>
    <mergeCell ref="B126:F126"/>
    <mergeCell ref="B147:F147"/>
    <mergeCell ref="I42:M42"/>
    <mergeCell ref="B84:F84"/>
    <mergeCell ref="A106:F106"/>
    <mergeCell ref="A1:F1"/>
    <mergeCell ref="B21:F21"/>
    <mergeCell ref="A22:F22"/>
    <mergeCell ref="B42:F42"/>
    <mergeCell ref="A64:F64"/>
    <mergeCell ref="A43:F43"/>
    <mergeCell ref="B63:F63"/>
    <mergeCell ref="H22:M22"/>
    <mergeCell ref="H1:M1"/>
    <mergeCell ref="I21:M21"/>
    <mergeCell ref="I147:M147"/>
    <mergeCell ref="H106:M106"/>
    <mergeCell ref="I126:M126"/>
    <mergeCell ref="H43:M43"/>
    <mergeCell ref="I63:M63"/>
    <mergeCell ref="H64:M64"/>
    <mergeCell ref="I84:M84"/>
    <mergeCell ref="H148:M148"/>
    <mergeCell ref="H169:M169"/>
    <mergeCell ref="I189:M189"/>
    <mergeCell ref="I168:M168"/>
    <mergeCell ref="A463:F463"/>
    <mergeCell ref="I273:M273"/>
    <mergeCell ref="H211:M211"/>
    <mergeCell ref="I231:M231"/>
    <mergeCell ref="H232:M232"/>
    <mergeCell ref="I252:M252"/>
    <mergeCell ref="H253:M253"/>
    <mergeCell ref="H358:M358"/>
    <mergeCell ref="I378:M378"/>
    <mergeCell ref="H379:M379"/>
    <mergeCell ref="I399:M399"/>
    <mergeCell ref="B462:F462"/>
    <mergeCell ref="B420:F420"/>
    <mergeCell ref="H421:M421"/>
    <mergeCell ref="A253:F253"/>
    <mergeCell ref="B273:F273"/>
    <mergeCell ref="H442:M442"/>
    <mergeCell ref="I462:M462"/>
    <mergeCell ref="A274:F274"/>
    <mergeCell ref="B294:F294"/>
    <mergeCell ref="B483:F483"/>
    <mergeCell ref="A127:F127"/>
    <mergeCell ref="A232:F232"/>
    <mergeCell ref="B210:F210"/>
    <mergeCell ref="A211:F211"/>
    <mergeCell ref="A400:F400"/>
    <mergeCell ref="B231:F231"/>
    <mergeCell ref="B357:F357"/>
    <mergeCell ref="A358:F358"/>
    <mergeCell ref="B378:F378"/>
    <mergeCell ref="A337:F337"/>
    <mergeCell ref="B252:F252"/>
    <mergeCell ref="A421:F421"/>
    <mergeCell ref="A169:F169"/>
    <mergeCell ref="B189:F189"/>
    <mergeCell ref="A190:F190"/>
    <mergeCell ref="A148:F148"/>
    <mergeCell ref="B168:F168"/>
    <mergeCell ref="A316:F316"/>
    <mergeCell ref="A295:F295"/>
    <mergeCell ref="B315:F31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18AC-4E79-411E-B1E5-CBAFB7C13A56}">
  <dimension ref="A1:T546"/>
  <sheetViews>
    <sheetView topLeftCell="A467" workbookViewId="0">
      <selection activeCell="O421" sqref="O421:T421"/>
    </sheetView>
  </sheetViews>
  <sheetFormatPr defaultRowHeight="15" x14ac:dyDescent="0.3"/>
  <cols>
    <col min="19" max="19" width="10.5" bestFit="1" customWidth="1"/>
  </cols>
  <sheetData>
    <row r="1" spans="1:20" ht="19.8" x14ac:dyDescent="0.3">
      <c r="A1" s="170">
        <v>46083</v>
      </c>
      <c r="B1" s="168"/>
      <c r="C1" s="168"/>
      <c r="D1" s="168"/>
      <c r="E1" s="168"/>
      <c r="F1" s="168"/>
      <c r="H1" s="170">
        <v>46113</v>
      </c>
      <c r="I1" s="168"/>
      <c r="J1" s="168"/>
      <c r="K1" s="168"/>
      <c r="L1" s="168"/>
      <c r="M1" s="168"/>
      <c r="O1" s="170">
        <v>46143</v>
      </c>
      <c r="P1" s="170"/>
      <c r="Q1" s="170"/>
      <c r="R1" s="170"/>
      <c r="S1" s="170"/>
      <c r="T1" s="170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760</v>
      </c>
      <c r="S2" s="1" t="s">
        <v>40</v>
      </c>
      <c r="T2" s="1" t="s">
        <v>871</v>
      </c>
    </row>
    <row r="3" spans="1:20" x14ac:dyDescent="0.3">
      <c r="A3" s="2" t="s">
        <v>5</v>
      </c>
      <c r="B3" s="3">
        <v>3616</v>
      </c>
      <c r="C3" s="3">
        <v>1102</v>
      </c>
      <c r="D3" s="3">
        <v>909</v>
      </c>
      <c r="E3" s="3">
        <v>796</v>
      </c>
      <c r="F3" s="3">
        <v>809</v>
      </c>
      <c r="H3" s="2" t="s">
        <v>5</v>
      </c>
      <c r="I3" s="3">
        <v>5223</v>
      </c>
      <c r="J3" s="3">
        <v>1643</v>
      </c>
      <c r="K3" s="3">
        <v>1220</v>
      </c>
      <c r="L3" s="3">
        <v>1160</v>
      </c>
      <c r="M3" s="3">
        <v>1200</v>
      </c>
      <c r="O3" s="2" t="s">
        <v>5</v>
      </c>
      <c r="P3" s="3">
        <v>4461</v>
      </c>
      <c r="Q3" s="3">
        <v>2016</v>
      </c>
      <c r="R3" s="3">
        <v>0</v>
      </c>
      <c r="S3" s="3">
        <v>2445</v>
      </c>
      <c r="T3" s="3">
        <v>0</v>
      </c>
    </row>
    <row r="4" spans="1:20" x14ac:dyDescent="0.3">
      <c r="A4" s="2" t="s">
        <v>6</v>
      </c>
      <c r="B4" s="3">
        <v>41</v>
      </c>
      <c r="C4" s="6">
        <v>7</v>
      </c>
      <c r="D4" s="5">
        <v>21</v>
      </c>
      <c r="E4" s="4">
        <v>6</v>
      </c>
      <c r="F4" s="6">
        <v>7</v>
      </c>
      <c r="H4" s="2" t="s">
        <v>6</v>
      </c>
      <c r="I4" s="3">
        <v>184</v>
      </c>
      <c r="J4" s="3">
        <v>8</v>
      </c>
      <c r="K4" s="5">
        <v>137</v>
      </c>
      <c r="L4" s="6">
        <v>20</v>
      </c>
      <c r="M4" s="4">
        <v>19</v>
      </c>
      <c r="O4" s="2" t="s">
        <v>6</v>
      </c>
      <c r="P4" s="3">
        <v>73</v>
      </c>
      <c r="Q4" s="6">
        <v>27</v>
      </c>
      <c r="R4" s="3">
        <v>0</v>
      </c>
      <c r="S4" s="5">
        <v>46</v>
      </c>
      <c r="T4" s="3">
        <v>0</v>
      </c>
    </row>
    <row r="5" spans="1:20" x14ac:dyDescent="0.3">
      <c r="A5" s="2" t="s">
        <v>7</v>
      </c>
      <c r="B5" s="3" t="s">
        <v>41</v>
      </c>
      <c r="C5" s="3" t="s">
        <v>42</v>
      </c>
      <c r="D5" s="5" t="s">
        <v>43</v>
      </c>
      <c r="E5" s="4" t="s">
        <v>44</v>
      </c>
      <c r="F5" s="6" t="s">
        <v>45</v>
      </c>
      <c r="H5" s="2" t="s">
        <v>7</v>
      </c>
      <c r="I5" s="3" t="s">
        <v>1211</v>
      </c>
      <c r="J5" s="3" t="s">
        <v>76</v>
      </c>
      <c r="K5" s="5" t="s">
        <v>675</v>
      </c>
      <c r="L5" s="6" t="s">
        <v>280</v>
      </c>
      <c r="M5" s="4" t="s">
        <v>187</v>
      </c>
      <c r="O5" s="2" t="s">
        <v>7</v>
      </c>
      <c r="P5" s="3" t="s">
        <v>238</v>
      </c>
      <c r="Q5" s="6" t="s">
        <v>239</v>
      </c>
      <c r="R5" s="3">
        <v>0</v>
      </c>
      <c r="S5" s="5" t="s">
        <v>1306</v>
      </c>
      <c r="T5" s="3">
        <v>0</v>
      </c>
    </row>
    <row r="6" spans="1:20" x14ac:dyDescent="0.3">
      <c r="A6" s="2" t="s">
        <v>12</v>
      </c>
      <c r="B6" s="3" t="s">
        <v>46</v>
      </c>
      <c r="C6" s="4" t="s">
        <v>42</v>
      </c>
      <c r="D6" s="5" t="s">
        <v>43</v>
      </c>
      <c r="E6" s="3" t="s">
        <v>47</v>
      </c>
      <c r="F6" s="6" t="s">
        <v>45</v>
      </c>
      <c r="H6" s="2" t="s">
        <v>12</v>
      </c>
      <c r="I6" s="3" t="s">
        <v>71</v>
      </c>
      <c r="J6" s="3" t="s">
        <v>200</v>
      </c>
      <c r="K6" s="5" t="s">
        <v>462</v>
      </c>
      <c r="L6" s="6" t="s">
        <v>580</v>
      </c>
      <c r="M6" s="4" t="s">
        <v>50</v>
      </c>
      <c r="O6" s="2" t="s">
        <v>12</v>
      </c>
      <c r="P6" s="3" t="s">
        <v>1246</v>
      </c>
      <c r="Q6" s="6" t="s">
        <v>1255</v>
      </c>
      <c r="R6" s="3">
        <v>0</v>
      </c>
      <c r="S6" s="5" t="s">
        <v>582</v>
      </c>
      <c r="T6" s="3">
        <v>0</v>
      </c>
    </row>
    <row r="7" spans="1:20" x14ac:dyDescent="0.3">
      <c r="A7" s="2" t="s">
        <v>17</v>
      </c>
      <c r="B7" s="48">
        <f>B5-B6</f>
        <v>1.0999999999999985E-3</v>
      </c>
      <c r="C7" s="3" t="s">
        <v>25</v>
      </c>
      <c r="D7" s="3" t="s">
        <v>25</v>
      </c>
      <c r="E7" s="49">
        <v>5.0000000000000001E-3</v>
      </c>
      <c r="F7" s="3" t="s">
        <v>25</v>
      </c>
      <c r="H7" s="2" t="s">
        <v>17</v>
      </c>
      <c r="I7" s="48">
        <f>I5-I6</f>
        <v>6.1000000000000013E-3</v>
      </c>
      <c r="J7" s="60" t="s">
        <v>102</v>
      </c>
      <c r="K7" s="59" t="s">
        <v>507</v>
      </c>
      <c r="L7" s="50">
        <f>L5-L6</f>
        <v>1.03E-2</v>
      </c>
      <c r="M7" s="50">
        <f>M5-M6</f>
        <v>1.0800000000000001E-2</v>
      </c>
      <c r="O7" s="2" t="s">
        <v>17</v>
      </c>
      <c r="P7" s="48">
        <f>P15/P3</f>
        <v>3.3624747814391394E-3</v>
      </c>
      <c r="Q7" s="6" t="s">
        <v>81</v>
      </c>
      <c r="R7" s="3" t="s">
        <v>25</v>
      </c>
      <c r="S7" s="50">
        <f>S15/S3</f>
        <v>5.3169734151329246E-3</v>
      </c>
      <c r="T7" s="3" t="s">
        <v>25</v>
      </c>
    </row>
    <row r="8" spans="1:20" x14ac:dyDescent="0.3">
      <c r="A8" s="2" t="s">
        <v>22</v>
      </c>
      <c r="B8" s="3" t="s">
        <v>49</v>
      </c>
      <c r="C8" s="3" t="s">
        <v>25</v>
      </c>
      <c r="D8" s="3" t="s">
        <v>25</v>
      </c>
      <c r="E8" s="5" t="s">
        <v>50</v>
      </c>
      <c r="F8" s="3" t="s">
        <v>25</v>
      </c>
      <c r="H8" s="2" t="s">
        <v>22</v>
      </c>
      <c r="I8" s="3" t="s">
        <v>74</v>
      </c>
      <c r="J8" s="3" t="s">
        <v>25</v>
      </c>
      <c r="K8" s="3" t="s">
        <v>25</v>
      </c>
      <c r="L8" s="5" t="s">
        <v>1087</v>
      </c>
      <c r="M8" s="6" t="s">
        <v>137</v>
      </c>
      <c r="O8" s="2" t="s">
        <v>22</v>
      </c>
      <c r="P8" s="3" t="s">
        <v>99</v>
      </c>
      <c r="Q8" s="3" t="s">
        <v>25</v>
      </c>
      <c r="R8" s="3" t="s">
        <v>25</v>
      </c>
      <c r="S8" s="5" t="s">
        <v>200</v>
      </c>
      <c r="T8" s="3" t="s">
        <v>25</v>
      </c>
    </row>
    <row r="9" spans="1:20" x14ac:dyDescent="0.3">
      <c r="A9" s="7" t="s">
        <v>26</v>
      </c>
      <c r="B9" s="8">
        <v>37</v>
      </c>
      <c r="C9" s="8">
        <v>7</v>
      </c>
      <c r="D9" s="8">
        <v>21</v>
      </c>
      <c r="E9" s="8">
        <v>2</v>
      </c>
      <c r="F9" s="8">
        <v>7</v>
      </c>
      <c r="H9" s="7" t="s">
        <v>26</v>
      </c>
      <c r="I9" s="8">
        <v>152</v>
      </c>
      <c r="J9" s="8">
        <v>6</v>
      </c>
      <c r="K9" s="8">
        <v>132</v>
      </c>
      <c r="L9" s="8">
        <v>8</v>
      </c>
      <c r="M9" s="8">
        <v>6</v>
      </c>
      <c r="O9" s="7" t="s">
        <v>26</v>
      </c>
      <c r="P9" s="8">
        <v>58</v>
      </c>
      <c r="Q9" s="8">
        <v>25</v>
      </c>
      <c r="R9" s="8">
        <v>0</v>
      </c>
      <c r="S9" s="8">
        <v>33</v>
      </c>
      <c r="T9" s="8">
        <v>0</v>
      </c>
    </row>
    <row r="10" spans="1:20" x14ac:dyDescent="0.3">
      <c r="A10" s="9" t="s">
        <v>27</v>
      </c>
      <c r="B10" s="10">
        <v>10</v>
      </c>
      <c r="C10" s="10">
        <v>2</v>
      </c>
      <c r="D10" s="10">
        <v>6</v>
      </c>
      <c r="E10" s="10">
        <v>1</v>
      </c>
      <c r="F10" s="10">
        <v>1</v>
      </c>
      <c r="H10" s="9" t="s">
        <v>27</v>
      </c>
      <c r="I10" s="10">
        <v>19</v>
      </c>
      <c r="J10" s="10">
        <v>3</v>
      </c>
      <c r="K10" s="10">
        <v>9</v>
      </c>
      <c r="L10" s="10">
        <v>2</v>
      </c>
      <c r="M10" s="10">
        <v>5</v>
      </c>
      <c r="O10" s="9" t="s">
        <v>27</v>
      </c>
      <c r="P10" s="10">
        <v>35</v>
      </c>
      <c r="Q10" s="10">
        <v>16</v>
      </c>
      <c r="R10" s="10">
        <v>0</v>
      </c>
      <c r="S10" s="10">
        <v>19</v>
      </c>
      <c r="T10" s="10">
        <v>0</v>
      </c>
    </row>
    <row r="11" spans="1:20" x14ac:dyDescent="0.3">
      <c r="A11" s="9" t="s">
        <v>28</v>
      </c>
      <c r="B11" s="10">
        <v>13</v>
      </c>
      <c r="C11" s="10">
        <v>4</v>
      </c>
      <c r="D11" s="10">
        <v>5</v>
      </c>
      <c r="E11" s="10">
        <v>1</v>
      </c>
      <c r="F11" s="10">
        <v>3</v>
      </c>
      <c r="H11" s="9" t="s">
        <v>28</v>
      </c>
      <c r="I11" s="10">
        <v>4</v>
      </c>
      <c r="J11" s="10">
        <v>0</v>
      </c>
      <c r="K11" s="10">
        <v>3</v>
      </c>
      <c r="L11" s="10">
        <v>1</v>
      </c>
      <c r="M11" s="10">
        <v>0</v>
      </c>
      <c r="O11" s="9" t="s">
        <v>28</v>
      </c>
      <c r="P11" s="10">
        <v>3</v>
      </c>
      <c r="Q11" s="10">
        <v>1</v>
      </c>
      <c r="R11" s="10">
        <v>0</v>
      </c>
      <c r="S11" s="10">
        <v>2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14</v>
      </c>
      <c r="C13" s="10">
        <v>1</v>
      </c>
      <c r="D13" s="10">
        <v>10</v>
      </c>
      <c r="E13" s="10">
        <v>0</v>
      </c>
      <c r="F13" s="10">
        <v>3</v>
      </c>
      <c r="H13" s="9" t="s">
        <v>30</v>
      </c>
      <c r="I13" s="10">
        <v>129</v>
      </c>
      <c r="J13" s="10">
        <v>3</v>
      </c>
      <c r="K13" s="10">
        <v>120</v>
      </c>
      <c r="L13" s="10">
        <v>5</v>
      </c>
      <c r="M13" s="10">
        <v>1</v>
      </c>
      <c r="O13" s="9" t="s">
        <v>30</v>
      </c>
      <c r="P13" s="10">
        <v>20</v>
      </c>
      <c r="Q13" s="10">
        <v>8</v>
      </c>
      <c r="R13" s="10">
        <v>0</v>
      </c>
      <c r="S13" s="10">
        <v>12</v>
      </c>
      <c r="T13" s="10">
        <v>0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4</v>
      </c>
      <c r="C15" s="12">
        <v>0</v>
      </c>
      <c r="D15" s="12">
        <v>0</v>
      </c>
      <c r="E15" s="12">
        <v>4</v>
      </c>
      <c r="F15" s="12">
        <v>0</v>
      </c>
      <c r="H15" s="11" t="s">
        <v>32</v>
      </c>
      <c r="I15" s="12">
        <v>32</v>
      </c>
      <c r="J15" s="12">
        <v>2</v>
      </c>
      <c r="K15" s="12">
        <v>5</v>
      </c>
      <c r="L15" s="12">
        <v>12</v>
      </c>
      <c r="M15" s="12">
        <v>13</v>
      </c>
      <c r="O15" s="11" t="s">
        <v>32</v>
      </c>
      <c r="P15" s="12">
        <v>15</v>
      </c>
      <c r="Q15" s="12">
        <v>2</v>
      </c>
      <c r="R15" s="12">
        <v>0</v>
      </c>
      <c r="S15" s="12">
        <v>13</v>
      </c>
      <c r="T15" s="12">
        <v>0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2</v>
      </c>
      <c r="J16" s="14">
        <v>0</v>
      </c>
      <c r="K16" s="14">
        <v>2</v>
      </c>
      <c r="L16" s="14">
        <v>0</v>
      </c>
      <c r="M16" s="14">
        <v>0</v>
      </c>
      <c r="O16" s="13" t="s">
        <v>33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4</v>
      </c>
      <c r="C17" s="14">
        <v>0</v>
      </c>
      <c r="D17" s="14">
        <v>0</v>
      </c>
      <c r="E17" s="14">
        <v>4</v>
      </c>
      <c r="F17" s="14">
        <v>0</v>
      </c>
      <c r="H17" s="13" t="s">
        <v>34</v>
      </c>
      <c r="I17" s="14">
        <v>30</v>
      </c>
      <c r="J17" s="14">
        <v>2</v>
      </c>
      <c r="K17" s="14">
        <v>3</v>
      </c>
      <c r="L17" s="14">
        <v>12</v>
      </c>
      <c r="M17" s="14">
        <v>13</v>
      </c>
      <c r="O17" s="13" t="s">
        <v>34</v>
      </c>
      <c r="P17" s="14">
        <v>15</v>
      </c>
      <c r="Q17" s="14">
        <v>2</v>
      </c>
      <c r="R17" s="14">
        <v>0</v>
      </c>
      <c r="S17" s="14">
        <v>13</v>
      </c>
      <c r="T17" s="14">
        <v>0</v>
      </c>
    </row>
    <row r="18" spans="1:20" x14ac:dyDescent="0.3">
      <c r="A18" s="15" t="s">
        <v>35</v>
      </c>
      <c r="B18" s="16">
        <v>4</v>
      </c>
      <c r="C18" s="16">
        <v>0</v>
      </c>
      <c r="D18" s="16">
        <v>0</v>
      </c>
      <c r="E18" s="16">
        <v>4</v>
      </c>
      <c r="F18" s="16">
        <v>0</v>
      </c>
      <c r="H18" s="15" t="s">
        <v>35</v>
      </c>
      <c r="I18" s="16">
        <v>16</v>
      </c>
      <c r="J18" s="16">
        <v>0</v>
      </c>
      <c r="K18" s="16">
        <v>0</v>
      </c>
      <c r="L18" s="16">
        <v>9</v>
      </c>
      <c r="M18" s="16">
        <v>7</v>
      </c>
      <c r="O18" s="15" t="s">
        <v>35</v>
      </c>
      <c r="P18" s="16">
        <v>9</v>
      </c>
      <c r="Q18" s="16">
        <v>0</v>
      </c>
      <c r="R18" s="16">
        <v>0</v>
      </c>
      <c r="S18" s="16">
        <v>9</v>
      </c>
      <c r="T18" s="16">
        <v>0</v>
      </c>
    </row>
    <row r="19" spans="1:20" x14ac:dyDescent="0.3">
      <c r="A19" s="17" t="s">
        <v>36</v>
      </c>
      <c r="B19" s="18">
        <v>4</v>
      </c>
      <c r="C19" s="18">
        <v>0</v>
      </c>
      <c r="D19" s="18">
        <v>0</v>
      </c>
      <c r="E19" s="18">
        <v>4</v>
      </c>
      <c r="F19" s="18">
        <v>0</v>
      </c>
      <c r="H19" s="17" t="s">
        <v>36</v>
      </c>
      <c r="I19" s="56">
        <v>16</v>
      </c>
      <c r="J19" s="56">
        <v>0</v>
      </c>
      <c r="K19" s="56">
        <v>0</v>
      </c>
      <c r="L19" s="56">
        <v>9</v>
      </c>
      <c r="M19" s="56">
        <v>7</v>
      </c>
      <c r="O19" s="17" t="s">
        <v>36</v>
      </c>
      <c r="P19" s="112">
        <v>9</v>
      </c>
      <c r="Q19" s="112">
        <v>0</v>
      </c>
      <c r="R19" s="112">
        <v>0</v>
      </c>
      <c r="S19" s="112">
        <v>9</v>
      </c>
      <c r="T19" s="112">
        <v>0</v>
      </c>
    </row>
    <row r="20" spans="1:20" x14ac:dyDescent="0.3">
      <c r="A20" s="17" t="s">
        <v>37</v>
      </c>
      <c r="B20" s="18">
        <v>3</v>
      </c>
      <c r="C20" s="18">
        <v>0</v>
      </c>
      <c r="D20" s="18">
        <v>0</v>
      </c>
      <c r="E20" s="18">
        <v>3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67" t="s">
        <v>51</v>
      </c>
      <c r="C21" s="168"/>
      <c r="D21" s="168"/>
      <c r="E21" s="168"/>
      <c r="F21" s="168"/>
      <c r="H21" s="17" t="s">
        <v>38</v>
      </c>
      <c r="I21" s="167" t="s">
        <v>751</v>
      </c>
      <c r="J21" s="168"/>
      <c r="K21" s="168"/>
      <c r="L21" s="168"/>
      <c r="M21" s="168"/>
      <c r="O21" s="17" t="s">
        <v>38</v>
      </c>
      <c r="P21" s="175" t="s">
        <v>1307</v>
      </c>
      <c r="Q21" s="176"/>
      <c r="R21" s="176"/>
      <c r="S21" s="176"/>
      <c r="T21" s="176"/>
    </row>
    <row r="22" spans="1:20" ht="19.8" x14ac:dyDescent="0.3">
      <c r="A22" s="170">
        <v>46084</v>
      </c>
      <c r="B22" s="168"/>
      <c r="C22" s="168"/>
      <c r="D22" s="168"/>
      <c r="E22" s="168"/>
      <c r="F22" s="168"/>
      <c r="H22" s="170">
        <v>46114</v>
      </c>
      <c r="I22" s="168"/>
      <c r="J22" s="168"/>
      <c r="K22" s="168"/>
      <c r="L22" s="168"/>
      <c r="M22" s="168"/>
      <c r="O22" s="169" t="s">
        <v>1516</v>
      </c>
      <c r="P22" s="169"/>
      <c r="Q22" s="169"/>
      <c r="R22" s="169"/>
      <c r="S22" s="169"/>
      <c r="T22" s="169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760</v>
      </c>
      <c r="S23" s="1" t="s">
        <v>40</v>
      </c>
      <c r="T23" s="1" t="s">
        <v>871</v>
      </c>
    </row>
    <row r="24" spans="1:20" x14ac:dyDescent="0.3">
      <c r="A24" s="2" t="s">
        <v>5</v>
      </c>
      <c r="B24" s="3">
        <v>2147</v>
      </c>
      <c r="C24" s="3">
        <v>573</v>
      </c>
      <c r="D24" s="3">
        <v>662</v>
      </c>
      <c r="E24" s="3">
        <v>450</v>
      </c>
      <c r="F24" s="3">
        <v>462</v>
      </c>
      <c r="H24" s="2" t="s">
        <v>5</v>
      </c>
      <c r="I24" s="3">
        <v>6521</v>
      </c>
      <c r="J24" s="3">
        <v>494</v>
      </c>
      <c r="K24" s="3">
        <v>2040</v>
      </c>
      <c r="L24" s="3">
        <v>2078</v>
      </c>
      <c r="M24" s="3">
        <v>1909</v>
      </c>
      <c r="O24" s="2" t="s">
        <v>5</v>
      </c>
      <c r="P24" s="3">
        <v>1068</v>
      </c>
      <c r="Q24" s="3">
        <v>1064</v>
      </c>
      <c r="R24" s="3">
        <v>0</v>
      </c>
      <c r="S24" s="3">
        <v>4</v>
      </c>
      <c r="T24" s="3">
        <v>0</v>
      </c>
    </row>
    <row r="25" spans="1:20" x14ac:dyDescent="0.3">
      <c r="A25" s="2" t="s">
        <v>6</v>
      </c>
      <c r="B25" s="3">
        <v>53</v>
      </c>
      <c r="C25" s="6">
        <v>10</v>
      </c>
      <c r="D25" s="5">
        <v>37</v>
      </c>
      <c r="E25" s="3">
        <v>2</v>
      </c>
      <c r="F25" s="4">
        <v>4</v>
      </c>
      <c r="H25" s="2" t="s">
        <v>6</v>
      </c>
      <c r="I25" s="3">
        <v>112</v>
      </c>
      <c r="J25" s="3">
        <v>4</v>
      </c>
      <c r="K25" s="5">
        <v>52</v>
      </c>
      <c r="L25" s="6">
        <v>40</v>
      </c>
      <c r="M25" s="4">
        <v>16</v>
      </c>
      <c r="O25" s="2" t="s">
        <v>6</v>
      </c>
      <c r="P25" s="3">
        <v>11</v>
      </c>
      <c r="Q25" s="5">
        <v>7</v>
      </c>
      <c r="R25" s="3">
        <v>0</v>
      </c>
      <c r="S25" s="6">
        <v>4</v>
      </c>
      <c r="T25" s="3">
        <v>0</v>
      </c>
    </row>
    <row r="26" spans="1:20" x14ac:dyDescent="0.3">
      <c r="A26" s="2" t="s">
        <v>7</v>
      </c>
      <c r="B26" s="3" t="s">
        <v>116</v>
      </c>
      <c r="C26" s="6" t="s">
        <v>117</v>
      </c>
      <c r="D26" s="5" t="s">
        <v>118</v>
      </c>
      <c r="E26" s="3" t="s">
        <v>119</v>
      </c>
      <c r="F26" s="4" t="s">
        <v>45</v>
      </c>
      <c r="H26" s="2" t="s">
        <v>7</v>
      </c>
      <c r="I26" s="3" t="s">
        <v>280</v>
      </c>
      <c r="J26" s="3" t="s">
        <v>64</v>
      </c>
      <c r="K26" s="5" t="s">
        <v>184</v>
      </c>
      <c r="L26" s="6" t="s">
        <v>475</v>
      </c>
      <c r="M26" s="4" t="s">
        <v>717</v>
      </c>
      <c r="O26" s="2" t="s">
        <v>7</v>
      </c>
      <c r="P26" s="3" t="s">
        <v>1283</v>
      </c>
      <c r="Q26" s="6" t="s">
        <v>416</v>
      </c>
      <c r="R26" s="3">
        <v>0</v>
      </c>
      <c r="S26" s="5" t="s">
        <v>48</v>
      </c>
      <c r="T26" s="3">
        <v>0</v>
      </c>
    </row>
    <row r="27" spans="1:20" x14ac:dyDescent="0.3">
      <c r="A27" s="2" t="s">
        <v>12</v>
      </c>
      <c r="B27" s="3" t="s">
        <v>120</v>
      </c>
      <c r="C27" s="6" t="s">
        <v>117</v>
      </c>
      <c r="D27" s="5" t="s">
        <v>118</v>
      </c>
      <c r="E27" s="3" t="s">
        <v>119</v>
      </c>
      <c r="F27" s="4" t="s">
        <v>83</v>
      </c>
      <c r="H27" s="2" t="s">
        <v>12</v>
      </c>
      <c r="I27" s="3" t="s">
        <v>417</v>
      </c>
      <c r="J27" s="4" t="s">
        <v>491</v>
      </c>
      <c r="K27" s="5" t="s">
        <v>292</v>
      </c>
      <c r="L27" s="6" t="s">
        <v>405</v>
      </c>
      <c r="M27" s="3" t="s">
        <v>200</v>
      </c>
      <c r="O27" s="2" t="s">
        <v>12</v>
      </c>
      <c r="P27" s="3" t="s">
        <v>65</v>
      </c>
      <c r="Q27" s="5" t="s">
        <v>65</v>
      </c>
      <c r="R27" s="3">
        <v>0</v>
      </c>
      <c r="S27" s="3" t="s">
        <v>25</v>
      </c>
      <c r="T27" s="3">
        <v>0</v>
      </c>
    </row>
    <row r="28" spans="1:20" x14ac:dyDescent="0.3">
      <c r="A28" s="2" t="s">
        <v>17</v>
      </c>
      <c r="B28" s="48">
        <f>B26-B27</f>
        <v>5.0000000000000044E-4</v>
      </c>
      <c r="C28" s="3" t="s">
        <v>25</v>
      </c>
      <c r="D28" s="3" t="s">
        <v>25</v>
      </c>
      <c r="E28" s="3" t="s">
        <v>25</v>
      </c>
      <c r="F28" s="50">
        <f>F26-F27</f>
        <v>2.1999999999999997E-3</v>
      </c>
      <c r="H28" s="2" t="s">
        <v>17</v>
      </c>
      <c r="I28" s="48">
        <f>I26-I27</f>
        <v>5.7000000000000002E-3</v>
      </c>
      <c r="J28" s="59" t="s">
        <v>491</v>
      </c>
      <c r="K28" s="60" t="s">
        <v>419</v>
      </c>
      <c r="L28" s="50">
        <f>L26-L27</f>
        <v>8.5999999999999983E-3</v>
      </c>
      <c r="M28" s="50">
        <f>M26-M27</f>
        <v>4.6999999999999993E-3</v>
      </c>
      <c r="O28" s="2" t="s">
        <v>17</v>
      </c>
      <c r="P28" s="3" t="s">
        <v>148</v>
      </c>
      <c r="Q28" s="6" t="s">
        <v>84</v>
      </c>
      <c r="R28" s="3" t="s">
        <v>25</v>
      </c>
      <c r="S28" s="5" t="s">
        <v>48</v>
      </c>
      <c r="T28" s="3" t="s">
        <v>25</v>
      </c>
    </row>
    <row r="29" spans="1:20" x14ac:dyDescent="0.3">
      <c r="A29" s="2" t="s">
        <v>22</v>
      </c>
      <c r="B29" s="3" t="s">
        <v>84</v>
      </c>
      <c r="C29" s="3" t="s">
        <v>25</v>
      </c>
      <c r="D29" s="6" t="s">
        <v>121</v>
      </c>
      <c r="E29" s="3" t="s">
        <v>25</v>
      </c>
      <c r="F29" s="5" t="s">
        <v>122</v>
      </c>
      <c r="H29" s="2" t="s">
        <v>22</v>
      </c>
      <c r="I29" s="3" t="s">
        <v>47</v>
      </c>
      <c r="J29" s="3" t="s">
        <v>25</v>
      </c>
      <c r="K29" s="3" t="s">
        <v>25</v>
      </c>
      <c r="L29" s="5" t="s">
        <v>466</v>
      </c>
      <c r="M29" s="6" t="s">
        <v>101</v>
      </c>
      <c r="O29" s="2" t="s">
        <v>22</v>
      </c>
      <c r="P29" s="3" t="s">
        <v>200</v>
      </c>
      <c r="Q29" s="3" t="s">
        <v>25</v>
      </c>
      <c r="R29" s="3" t="s">
        <v>25</v>
      </c>
      <c r="S29" s="5" t="s">
        <v>48</v>
      </c>
      <c r="T29" s="3" t="s">
        <v>25</v>
      </c>
    </row>
    <row r="30" spans="1:20" x14ac:dyDescent="0.3">
      <c r="A30" s="7" t="s">
        <v>26</v>
      </c>
      <c r="B30" s="8">
        <v>52</v>
      </c>
      <c r="C30" s="8">
        <v>10</v>
      </c>
      <c r="D30" s="8">
        <v>37</v>
      </c>
      <c r="E30" s="8">
        <v>2</v>
      </c>
      <c r="F30" s="8">
        <v>3</v>
      </c>
      <c r="H30" s="7" t="s">
        <v>26</v>
      </c>
      <c r="I30" s="8">
        <v>75</v>
      </c>
      <c r="J30" s="8">
        <v>2</v>
      </c>
      <c r="K30" s="8">
        <v>44</v>
      </c>
      <c r="L30" s="8">
        <v>22</v>
      </c>
      <c r="M30" s="8">
        <v>7</v>
      </c>
      <c r="O30" s="7" t="s">
        <v>26</v>
      </c>
      <c r="P30" s="8">
        <v>6</v>
      </c>
      <c r="Q30" s="8">
        <v>6</v>
      </c>
      <c r="R30" s="8">
        <v>0</v>
      </c>
      <c r="S30" s="8">
        <v>0</v>
      </c>
      <c r="T30" s="8">
        <v>0</v>
      </c>
    </row>
    <row r="31" spans="1:20" x14ac:dyDescent="0.3">
      <c r="A31" s="9" t="s">
        <v>27</v>
      </c>
      <c r="B31" s="10">
        <v>8</v>
      </c>
      <c r="C31" s="10">
        <v>1</v>
      </c>
      <c r="D31" s="10">
        <v>4</v>
      </c>
      <c r="E31" s="10">
        <v>2</v>
      </c>
      <c r="F31" s="10">
        <v>1</v>
      </c>
      <c r="H31" s="9" t="s">
        <v>27</v>
      </c>
      <c r="I31" s="10">
        <v>19</v>
      </c>
      <c r="J31" s="10">
        <v>2</v>
      </c>
      <c r="K31" s="10">
        <v>5</v>
      </c>
      <c r="L31" s="10">
        <v>8</v>
      </c>
      <c r="M31" s="10">
        <v>4</v>
      </c>
      <c r="O31" s="9" t="s">
        <v>27</v>
      </c>
      <c r="P31" s="10">
        <v>6</v>
      </c>
      <c r="Q31" s="10">
        <v>6</v>
      </c>
      <c r="R31" s="10">
        <v>0</v>
      </c>
      <c r="S31" s="10">
        <v>0</v>
      </c>
      <c r="T31" s="10">
        <v>0</v>
      </c>
    </row>
    <row r="32" spans="1:20" x14ac:dyDescent="0.3">
      <c r="A32" s="9" t="s">
        <v>28</v>
      </c>
      <c r="B32" s="10">
        <v>9</v>
      </c>
      <c r="C32" s="10">
        <v>3</v>
      </c>
      <c r="D32" s="10">
        <v>6</v>
      </c>
      <c r="E32" s="10">
        <v>0</v>
      </c>
      <c r="F32" s="10">
        <v>0</v>
      </c>
      <c r="H32" s="9" t="s">
        <v>28</v>
      </c>
      <c r="I32" s="10">
        <v>8</v>
      </c>
      <c r="J32" s="10">
        <v>0</v>
      </c>
      <c r="K32" s="10">
        <v>0</v>
      </c>
      <c r="L32" s="10">
        <v>7</v>
      </c>
      <c r="M32" s="10">
        <v>1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H33" s="9" t="s">
        <v>29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O33" s="9" t="s">
        <v>29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3">
      <c r="A34" s="9" t="s">
        <v>30</v>
      </c>
      <c r="B34" s="10">
        <v>35</v>
      </c>
      <c r="C34" s="10">
        <v>6</v>
      </c>
      <c r="D34" s="10">
        <v>27</v>
      </c>
      <c r="E34" s="10">
        <v>0</v>
      </c>
      <c r="F34" s="10">
        <v>2</v>
      </c>
      <c r="H34" s="9" t="s">
        <v>30</v>
      </c>
      <c r="I34" s="10">
        <v>48</v>
      </c>
      <c r="J34" s="10">
        <v>0</v>
      </c>
      <c r="K34" s="10">
        <v>39</v>
      </c>
      <c r="L34" s="10">
        <v>7</v>
      </c>
      <c r="M34" s="10">
        <v>2</v>
      </c>
      <c r="O34" s="9" t="s">
        <v>30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</v>
      </c>
      <c r="C36" s="12">
        <v>0</v>
      </c>
      <c r="D36" s="12">
        <v>0</v>
      </c>
      <c r="E36" s="12">
        <v>0</v>
      </c>
      <c r="F36" s="12">
        <v>1</v>
      </c>
      <c r="H36" s="11" t="s">
        <v>32</v>
      </c>
      <c r="I36" s="12">
        <v>45</v>
      </c>
      <c r="J36" s="12">
        <v>2</v>
      </c>
      <c r="K36" s="12">
        <v>8</v>
      </c>
      <c r="L36" s="12">
        <v>17</v>
      </c>
      <c r="M36" s="12">
        <v>9</v>
      </c>
      <c r="O36" s="11" t="s">
        <v>32</v>
      </c>
      <c r="P36" s="12">
        <v>5</v>
      </c>
      <c r="Q36" s="12">
        <v>1</v>
      </c>
      <c r="R36" s="12">
        <v>0</v>
      </c>
      <c r="S36" s="12">
        <v>4</v>
      </c>
      <c r="T36" s="12">
        <v>0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9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</v>
      </c>
      <c r="C38" s="14">
        <v>0</v>
      </c>
      <c r="D38" s="14">
        <v>0</v>
      </c>
      <c r="E38" s="14">
        <v>0</v>
      </c>
      <c r="F38" s="14">
        <v>1</v>
      </c>
      <c r="H38" s="13" t="s">
        <v>34</v>
      </c>
      <c r="I38" s="14">
        <v>36</v>
      </c>
      <c r="J38" s="14">
        <v>2</v>
      </c>
      <c r="K38" s="14">
        <v>8</v>
      </c>
      <c r="L38" s="14">
        <v>17</v>
      </c>
      <c r="M38" s="14">
        <v>9</v>
      </c>
      <c r="O38" s="13" t="s">
        <v>34</v>
      </c>
      <c r="P38" s="14">
        <v>5</v>
      </c>
      <c r="Q38" s="14">
        <v>1</v>
      </c>
      <c r="R38" s="14">
        <v>0</v>
      </c>
      <c r="S38" s="14">
        <v>4</v>
      </c>
      <c r="T38" s="14">
        <v>0</v>
      </c>
    </row>
    <row r="39" spans="1:20" x14ac:dyDescent="0.3">
      <c r="A39" s="15" t="s">
        <v>35</v>
      </c>
      <c r="B39" s="16">
        <v>2</v>
      </c>
      <c r="C39" s="16">
        <v>0</v>
      </c>
      <c r="D39" s="16">
        <v>1</v>
      </c>
      <c r="E39" s="16">
        <v>0</v>
      </c>
      <c r="F39" s="16">
        <v>1</v>
      </c>
      <c r="H39" s="15" t="s">
        <v>35</v>
      </c>
      <c r="I39" s="16">
        <v>16</v>
      </c>
      <c r="J39" s="16">
        <v>0</v>
      </c>
      <c r="K39" s="16">
        <v>0</v>
      </c>
      <c r="L39" s="16">
        <v>11</v>
      </c>
      <c r="M39" s="16">
        <v>5</v>
      </c>
      <c r="O39" s="15" t="s">
        <v>35</v>
      </c>
      <c r="P39" s="16">
        <v>4</v>
      </c>
      <c r="Q39" s="16">
        <v>0</v>
      </c>
      <c r="R39" s="16">
        <v>0</v>
      </c>
      <c r="S39" s="16">
        <v>4</v>
      </c>
      <c r="T39" s="16">
        <v>0</v>
      </c>
    </row>
    <row r="40" spans="1:20" x14ac:dyDescent="0.3">
      <c r="A40" s="17" t="s">
        <v>36</v>
      </c>
      <c r="B40" s="18">
        <v>1</v>
      </c>
      <c r="C40" s="18">
        <v>0</v>
      </c>
      <c r="D40" s="18">
        <v>0</v>
      </c>
      <c r="E40" s="18">
        <v>0</v>
      </c>
      <c r="F40" s="18">
        <v>1</v>
      </c>
      <c r="H40" s="17" t="s">
        <v>36</v>
      </c>
      <c r="I40" s="56">
        <v>16</v>
      </c>
      <c r="J40" s="56">
        <v>0</v>
      </c>
      <c r="K40" s="56">
        <v>0</v>
      </c>
      <c r="L40" s="56">
        <v>11</v>
      </c>
      <c r="M40" s="56">
        <v>5</v>
      </c>
      <c r="O40" s="17" t="s">
        <v>36</v>
      </c>
      <c r="P40" s="112">
        <v>4</v>
      </c>
      <c r="Q40" s="112">
        <v>0</v>
      </c>
      <c r="R40" s="112">
        <v>0</v>
      </c>
      <c r="S40" s="112">
        <v>4</v>
      </c>
      <c r="T40" s="112">
        <v>0</v>
      </c>
    </row>
    <row r="41" spans="1:20" x14ac:dyDescent="0.3">
      <c r="A41" s="17" t="s">
        <v>37</v>
      </c>
      <c r="B41" s="18">
        <v>1</v>
      </c>
      <c r="C41" s="18">
        <v>0</v>
      </c>
      <c r="D41" s="18">
        <v>1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7" t="s">
        <v>123</v>
      </c>
      <c r="C42" s="168"/>
      <c r="D42" s="168"/>
      <c r="E42" s="168"/>
      <c r="F42" s="168"/>
      <c r="H42" s="17" t="s">
        <v>38</v>
      </c>
      <c r="I42" s="167" t="s">
        <v>751</v>
      </c>
      <c r="J42" s="168"/>
      <c r="K42" s="168"/>
      <c r="L42" s="168"/>
      <c r="M42" s="168"/>
      <c r="O42" s="17" t="s">
        <v>38</v>
      </c>
      <c r="P42" s="175" t="s">
        <v>1307</v>
      </c>
      <c r="Q42" s="176"/>
      <c r="R42" s="176"/>
      <c r="S42" s="176"/>
      <c r="T42" s="176"/>
    </row>
    <row r="43" spans="1:20" ht="19.8" x14ac:dyDescent="0.3">
      <c r="A43" s="170">
        <v>46085</v>
      </c>
      <c r="B43" s="168"/>
      <c r="C43" s="168"/>
      <c r="D43" s="168"/>
      <c r="E43" s="168"/>
      <c r="F43" s="168"/>
      <c r="H43" s="170">
        <v>46115</v>
      </c>
      <c r="I43" s="168"/>
      <c r="J43" s="168"/>
      <c r="K43" s="168"/>
      <c r="L43" s="168"/>
      <c r="M43" s="168"/>
      <c r="O43" s="170">
        <v>46147</v>
      </c>
      <c r="P43" s="170"/>
      <c r="Q43" s="170"/>
      <c r="R43" s="170"/>
      <c r="S43" s="170"/>
      <c r="T43" s="170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3</v>
      </c>
      <c r="S44" s="1" t="s">
        <v>40</v>
      </c>
      <c r="T44" s="1" t="s">
        <v>871</v>
      </c>
    </row>
    <row r="45" spans="1:20" x14ac:dyDescent="0.3">
      <c r="A45" s="2" t="s">
        <v>5</v>
      </c>
      <c r="B45" s="3">
        <v>2973</v>
      </c>
      <c r="C45" s="3">
        <v>962</v>
      </c>
      <c r="D45" s="3">
        <v>745</v>
      </c>
      <c r="E45" s="3">
        <v>650</v>
      </c>
      <c r="F45" s="3">
        <v>616</v>
      </c>
      <c r="H45" s="2" t="s">
        <v>5</v>
      </c>
      <c r="I45" s="3">
        <v>6063</v>
      </c>
      <c r="J45" s="3">
        <v>1815</v>
      </c>
      <c r="K45" s="3">
        <v>1449</v>
      </c>
      <c r="L45" s="3">
        <v>1400</v>
      </c>
      <c r="M45" s="3">
        <v>1399</v>
      </c>
      <c r="O45" s="2" t="s">
        <v>5</v>
      </c>
      <c r="P45" s="3">
        <v>3953</v>
      </c>
      <c r="Q45" s="3">
        <v>1900</v>
      </c>
      <c r="R45" s="3">
        <v>1</v>
      </c>
      <c r="S45" s="3">
        <v>2052</v>
      </c>
      <c r="T45" s="3">
        <v>0</v>
      </c>
    </row>
    <row r="46" spans="1:20" x14ac:dyDescent="0.3">
      <c r="A46" s="2" t="s">
        <v>6</v>
      </c>
      <c r="B46" s="3">
        <v>49</v>
      </c>
      <c r="C46" s="6">
        <v>15</v>
      </c>
      <c r="D46" s="5">
        <v>19</v>
      </c>
      <c r="E46" s="4">
        <v>9</v>
      </c>
      <c r="F46" s="3">
        <v>6</v>
      </c>
      <c r="H46" s="2" t="s">
        <v>6</v>
      </c>
      <c r="I46" s="3">
        <v>89</v>
      </c>
      <c r="J46" s="4">
        <v>18</v>
      </c>
      <c r="K46" s="4">
        <v>18</v>
      </c>
      <c r="L46" s="6">
        <v>26</v>
      </c>
      <c r="M46" s="5">
        <v>27</v>
      </c>
      <c r="O46" s="2" t="s">
        <v>6</v>
      </c>
      <c r="P46" s="3">
        <v>38</v>
      </c>
      <c r="Q46" s="6">
        <v>13</v>
      </c>
      <c r="R46" s="4">
        <v>1</v>
      </c>
      <c r="S46" s="5">
        <v>24</v>
      </c>
      <c r="T46" s="3">
        <v>0</v>
      </c>
    </row>
    <row r="47" spans="1:20" x14ac:dyDescent="0.3">
      <c r="A47" s="2" t="s">
        <v>7</v>
      </c>
      <c r="B47" s="3" t="s">
        <v>182</v>
      </c>
      <c r="C47" s="6" t="s">
        <v>183</v>
      </c>
      <c r="D47" s="5" t="s">
        <v>184</v>
      </c>
      <c r="E47" s="4" t="s">
        <v>185</v>
      </c>
      <c r="F47" s="3" t="s">
        <v>186</v>
      </c>
      <c r="H47" s="2" t="s">
        <v>7</v>
      </c>
      <c r="I47" s="3" t="s">
        <v>236</v>
      </c>
      <c r="J47" s="3" t="s">
        <v>794</v>
      </c>
      <c r="K47" s="4" t="s">
        <v>1255</v>
      </c>
      <c r="L47" s="6" t="s">
        <v>282</v>
      </c>
      <c r="M47" s="5" t="s">
        <v>581</v>
      </c>
      <c r="O47" s="2" t="s">
        <v>7</v>
      </c>
      <c r="P47" s="3" t="s">
        <v>869</v>
      </c>
      <c r="Q47" s="4" t="s">
        <v>492</v>
      </c>
      <c r="R47" s="5" t="s">
        <v>48</v>
      </c>
      <c r="S47" s="6" t="s">
        <v>346</v>
      </c>
      <c r="T47" s="3">
        <v>0</v>
      </c>
    </row>
    <row r="48" spans="1:20" x14ac:dyDescent="0.3">
      <c r="A48" s="2" t="s">
        <v>12</v>
      </c>
      <c r="B48" s="3" t="s">
        <v>187</v>
      </c>
      <c r="C48" s="6" t="s">
        <v>183</v>
      </c>
      <c r="D48" s="5" t="s">
        <v>184</v>
      </c>
      <c r="E48" s="4" t="s">
        <v>156</v>
      </c>
      <c r="F48" s="3" t="s">
        <v>186</v>
      </c>
      <c r="H48" s="2" t="s">
        <v>12</v>
      </c>
      <c r="I48" s="3" t="s">
        <v>1087</v>
      </c>
      <c r="J48" s="4" t="s">
        <v>416</v>
      </c>
      <c r="K48" s="3" t="s">
        <v>153</v>
      </c>
      <c r="L48" s="5" t="s">
        <v>443</v>
      </c>
      <c r="M48" s="6" t="s">
        <v>850</v>
      </c>
      <c r="O48" s="2" t="s">
        <v>12</v>
      </c>
      <c r="P48" s="3" t="s">
        <v>152</v>
      </c>
      <c r="Q48" s="6" t="s">
        <v>466</v>
      </c>
      <c r="R48" s="3" t="s">
        <v>25</v>
      </c>
      <c r="S48" s="5" t="s">
        <v>300</v>
      </c>
      <c r="T48" s="3">
        <v>0</v>
      </c>
    </row>
    <row r="49" spans="1:20" x14ac:dyDescent="0.3">
      <c r="A49" s="2" t="s">
        <v>17</v>
      </c>
      <c r="B49" s="48">
        <f>B47-B48</f>
        <v>6.9999999999999923E-4</v>
      </c>
      <c r="C49" s="3" t="s">
        <v>25</v>
      </c>
      <c r="D49" s="3" t="s">
        <v>25</v>
      </c>
      <c r="E49" s="50">
        <f>E47-E48</f>
        <v>2.9999999999999992E-3</v>
      </c>
      <c r="F49" s="3" t="s">
        <v>25</v>
      </c>
      <c r="H49" s="2" t="s">
        <v>17</v>
      </c>
      <c r="I49" s="48">
        <f>I47-I48</f>
        <v>6.8999999999999999E-3</v>
      </c>
      <c r="J49" s="60" t="s">
        <v>418</v>
      </c>
      <c r="K49" s="59" t="s">
        <v>580</v>
      </c>
      <c r="L49" s="50">
        <f>L47-L48</f>
        <v>7.899999999999999E-3</v>
      </c>
      <c r="M49" s="50">
        <f>M47-M48</f>
        <v>1.0000000000000002E-2</v>
      </c>
      <c r="O49" s="2" t="s">
        <v>17</v>
      </c>
      <c r="P49" s="48">
        <f>P57/P45</f>
        <v>3.2886415380723503E-3</v>
      </c>
      <c r="Q49" s="6" t="s">
        <v>154</v>
      </c>
      <c r="R49" s="5" t="s">
        <v>48</v>
      </c>
      <c r="S49" s="50">
        <f>S57/S45</f>
        <v>4.3859649122807015E-3</v>
      </c>
      <c r="T49" s="3" t="s">
        <v>25</v>
      </c>
    </row>
    <row r="50" spans="1:20" x14ac:dyDescent="0.3">
      <c r="A50" s="2" t="s">
        <v>22</v>
      </c>
      <c r="B50" s="3" t="s">
        <v>81</v>
      </c>
      <c r="C50" s="3" t="s">
        <v>25</v>
      </c>
      <c r="D50" s="6" t="s">
        <v>75</v>
      </c>
      <c r="E50" s="5" t="s">
        <v>74</v>
      </c>
      <c r="F50" s="3" t="s">
        <v>25</v>
      </c>
      <c r="H50" s="2" t="s">
        <v>22</v>
      </c>
      <c r="I50" s="3" t="s">
        <v>266</v>
      </c>
      <c r="J50" s="4" t="s">
        <v>268</v>
      </c>
      <c r="K50" s="3" t="s">
        <v>25</v>
      </c>
      <c r="L50" s="6" t="s">
        <v>134</v>
      </c>
      <c r="M50" s="5" t="s">
        <v>596</v>
      </c>
      <c r="O50" s="2" t="s">
        <v>22</v>
      </c>
      <c r="P50" s="3" t="s">
        <v>75</v>
      </c>
      <c r="Q50" s="3" t="s">
        <v>25</v>
      </c>
      <c r="R50" s="5" t="s">
        <v>48</v>
      </c>
      <c r="S50" s="6" t="s">
        <v>136</v>
      </c>
      <c r="T50" s="3" t="s">
        <v>25</v>
      </c>
    </row>
    <row r="51" spans="1:20" x14ac:dyDescent="0.3">
      <c r="A51" s="7" t="s">
        <v>26</v>
      </c>
      <c r="B51" s="8">
        <v>47</v>
      </c>
      <c r="C51" s="8">
        <v>15</v>
      </c>
      <c r="D51" s="8">
        <v>19</v>
      </c>
      <c r="E51" s="8">
        <v>7</v>
      </c>
      <c r="F51" s="8">
        <v>6</v>
      </c>
      <c r="H51" s="7" t="s">
        <v>26</v>
      </c>
      <c r="I51" s="8">
        <v>47</v>
      </c>
      <c r="J51" s="8">
        <v>12</v>
      </c>
      <c r="K51" s="8">
        <v>7</v>
      </c>
      <c r="L51" s="8">
        <v>15</v>
      </c>
      <c r="M51" s="8">
        <v>13</v>
      </c>
      <c r="O51" s="7" t="s">
        <v>26</v>
      </c>
      <c r="P51" s="8">
        <v>25</v>
      </c>
      <c r="Q51" s="8">
        <v>10</v>
      </c>
      <c r="R51" s="8">
        <v>0</v>
      </c>
      <c r="S51" s="8">
        <v>15</v>
      </c>
      <c r="T51" s="8">
        <v>0</v>
      </c>
    </row>
    <row r="52" spans="1:20" x14ac:dyDescent="0.3">
      <c r="A52" s="9" t="s">
        <v>27</v>
      </c>
      <c r="B52" s="10">
        <v>7</v>
      </c>
      <c r="C52" s="10">
        <v>3</v>
      </c>
      <c r="D52" s="10">
        <v>1</v>
      </c>
      <c r="E52" s="10">
        <v>1</v>
      </c>
      <c r="F52" s="10">
        <v>2</v>
      </c>
      <c r="H52" s="9" t="s">
        <v>27</v>
      </c>
      <c r="I52" s="10">
        <v>28</v>
      </c>
      <c r="J52" s="10">
        <v>8</v>
      </c>
      <c r="K52" s="10">
        <v>6</v>
      </c>
      <c r="L52" s="10">
        <v>7</v>
      </c>
      <c r="M52" s="10">
        <v>7</v>
      </c>
      <c r="O52" s="9" t="s">
        <v>27</v>
      </c>
      <c r="P52" s="10">
        <v>17</v>
      </c>
      <c r="Q52" s="10">
        <v>7</v>
      </c>
      <c r="R52" s="10">
        <v>0</v>
      </c>
      <c r="S52" s="10">
        <v>10</v>
      </c>
      <c r="T52" s="10">
        <v>0</v>
      </c>
    </row>
    <row r="53" spans="1:20" x14ac:dyDescent="0.3">
      <c r="A53" s="9" t="s">
        <v>28</v>
      </c>
      <c r="B53" s="10">
        <v>15</v>
      </c>
      <c r="C53" s="10">
        <v>6</v>
      </c>
      <c r="D53" s="10">
        <v>4</v>
      </c>
      <c r="E53" s="10">
        <v>3</v>
      </c>
      <c r="F53" s="10">
        <v>2</v>
      </c>
      <c r="H53" s="9" t="s">
        <v>28</v>
      </c>
      <c r="I53" s="10">
        <v>6</v>
      </c>
      <c r="J53" s="10">
        <v>2</v>
      </c>
      <c r="K53" s="10">
        <v>0</v>
      </c>
      <c r="L53" s="10">
        <v>3</v>
      </c>
      <c r="M53" s="10">
        <v>1</v>
      </c>
      <c r="O53" s="9" t="s">
        <v>28</v>
      </c>
      <c r="P53" s="10">
        <v>2</v>
      </c>
      <c r="Q53" s="10">
        <v>0</v>
      </c>
      <c r="R53" s="10">
        <v>0</v>
      </c>
      <c r="S53" s="10">
        <v>2</v>
      </c>
      <c r="T53" s="10">
        <v>0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O54" s="9" t="s">
        <v>29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</row>
    <row r="55" spans="1:20" x14ac:dyDescent="0.3">
      <c r="A55" s="9" t="s">
        <v>30</v>
      </c>
      <c r="B55" s="10">
        <v>25</v>
      </c>
      <c r="C55" s="10">
        <v>6</v>
      </c>
      <c r="D55" s="10">
        <v>14</v>
      </c>
      <c r="E55" s="10">
        <v>3</v>
      </c>
      <c r="F55" s="10">
        <v>2</v>
      </c>
      <c r="H55" s="9" t="s">
        <v>30</v>
      </c>
      <c r="I55" s="10">
        <v>13</v>
      </c>
      <c r="J55" s="10">
        <v>2</v>
      </c>
      <c r="K55" s="10">
        <v>1</v>
      </c>
      <c r="L55" s="10">
        <v>5</v>
      </c>
      <c r="M55" s="10">
        <v>5</v>
      </c>
      <c r="O55" s="9" t="s">
        <v>30</v>
      </c>
      <c r="P55" s="10">
        <v>6</v>
      </c>
      <c r="Q55" s="10">
        <v>3</v>
      </c>
      <c r="R55" s="10">
        <v>0</v>
      </c>
      <c r="S55" s="10">
        <v>3</v>
      </c>
      <c r="T55" s="10">
        <v>0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2</v>
      </c>
      <c r="C57" s="12">
        <v>0</v>
      </c>
      <c r="D57" s="12">
        <v>0</v>
      </c>
      <c r="E57" s="12">
        <v>2</v>
      </c>
      <c r="F57" s="12">
        <v>0</v>
      </c>
      <c r="H57" s="11" t="s">
        <v>32</v>
      </c>
      <c r="I57" s="12">
        <v>39</v>
      </c>
      <c r="J57" s="12">
        <v>6</v>
      </c>
      <c r="K57" s="12">
        <v>10</v>
      </c>
      <c r="L57" s="12">
        <v>10</v>
      </c>
      <c r="M57" s="12">
        <v>13</v>
      </c>
      <c r="O57" s="11" t="s">
        <v>32</v>
      </c>
      <c r="P57" s="12">
        <v>13</v>
      </c>
      <c r="Q57" s="12">
        <v>3</v>
      </c>
      <c r="R57" s="12">
        <v>1</v>
      </c>
      <c r="S57" s="12">
        <v>9</v>
      </c>
      <c r="T57" s="12">
        <v>0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x14ac:dyDescent="0.3">
      <c r="A59" s="13" t="s">
        <v>34</v>
      </c>
      <c r="B59" s="14">
        <v>2</v>
      </c>
      <c r="C59" s="14">
        <v>0</v>
      </c>
      <c r="D59" s="14">
        <v>0</v>
      </c>
      <c r="E59" s="14">
        <v>2</v>
      </c>
      <c r="F59" s="14">
        <v>0</v>
      </c>
      <c r="H59" s="13" t="s">
        <v>34</v>
      </c>
      <c r="I59" s="14">
        <v>39</v>
      </c>
      <c r="J59" s="14">
        <v>6</v>
      </c>
      <c r="K59" s="14">
        <v>10</v>
      </c>
      <c r="L59" s="14">
        <v>10</v>
      </c>
      <c r="M59" s="14">
        <v>13</v>
      </c>
      <c r="O59" s="13" t="s">
        <v>34</v>
      </c>
      <c r="P59" s="14">
        <v>13</v>
      </c>
      <c r="Q59" s="14">
        <v>3</v>
      </c>
      <c r="R59" s="14">
        <v>1</v>
      </c>
      <c r="S59" s="14">
        <v>9</v>
      </c>
      <c r="T59" s="14">
        <v>0</v>
      </c>
    </row>
    <row r="60" spans="1:20" x14ac:dyDescent="0.3">
      <c r="A60" s="15" t="s">
        <v>35</v>
      </c>
      <c r="B60" s="16">
        <v>3</v>
      </c>
      <c r="C60" s="16">
        <v>0</v>
      </c>
      <c r="D60" s="16">
        <v>1</v>
      </c>
      <c r="E60" s="16">
        <v>2</v>
      </c>
      <c r="F60" s="16">
        <v>0</v>
      </c>
      <c r="H60" s="15" t="s">
        <v>35</v>
      </c>
      <c r="I60" s="16">
        <v>14</v>
      </c>
      <c r="J60" s="16">
        <v>1</v>
      </c>
      <c r="K60" s="16">
        <v>0</v>
      </c>
      <c r="L60" s="16">
        <v>5</v>
      </c>
      <c r="M60" s="16">
        <v>8</v>
      </c>
      <c r="O60" s="15" t="s">
        <v>35</v>
      </c>
      <c r="P60" s="16">
        <v>5</v>
      </c>
      <c r="Q60" s="16">
        <v>0</v>
      </c>
      <c r="R60" s="16">
        <v>1</v>
      </c>
      <c r="S60" s="16">
        <v>4</v>
      </c>
      <c r="T60" s="16">
        <v>0</v>
      </c>
    </row>
    <row r="61" spans="1:20" x14ac:dyDescent="0.3">
      <c r="A61" s="17" t="s">
        <v>36</v>
      </c>
      <c r="B61" s="18">
        <v>2</v>
      </c>
      <c r="C61" s="18">
        <v>0</v>
      </c>
      <c r="D61" s="18">
        <v>0</v>
      </c>
      <c r="E61" s="18">
        <v>2</v>
      </c>
      <c r="F61" s="18">
        <v>0</v>
      </c>
      <c r="H61" s="17" t="s">
        <v>36</v>
      </c>
      <c r="I61" s="78">
        <v>13</v>
      </c>
      <c r="J61" s="78">
        <v>0</v>
      </c>
      <c r="K61" s="78">
        <v>0</v>
      </c>
      <c r="L61" s="78">
        <v>5</v>
      </c>
      <c r="M61" s="78">
        <v>8</v>
      </c>
      <c r="O61" s="17" t="s">
        <v>36</v>
      </c>
      <c r="P61" s="112">
        <v>4</v>
      </c>
      <c r="Q61" s="112">
        <v>0</v>
      </c>
      <c r="R61" s="112">
        <v>0</v>
      </c>
      <c r="S61" s="112">
        <v>4</v>
      </c>
      <c r="T61" s="112">
        <v>0</v>
      </c>
    </row>
    <row r="62" spans="1:20" x14ac:dyDescent="0.3">
      <c r="A62" s="17" t="s">
        <v>37</v>
      </c>
      <c r="B62" s="18">
        <v>1</v>
      </c>
      <c r="C62" s="18">
        <v>0</v>
      </c>
      <c r="D62" s="18">
        <v>1</v>
      </c>
      <c r="E62" s="18">
        <v>0</v>
      </c>
      <c r="F62" s="18">
        <v>0</v>
      </c>
      <c r="H62" s="17" t="s">
        <v>37</v>
      </c>
      <c r="I62" s="78">
        <v>1</v>
      </c>
      <c r="J62" s="78">
        <v>1</v>
      </c>
      <c r="K62" s="78">
        <v>0</v>
      </c>
      <c r="L62" s="78">
        <v>0</v>
      </c>
      <c r="M62" s="78">
        <v>0</v>
      </c>
      <c r="O62" s="17" t="s">
        <v>37</v>
      </c>
      <c r="P62" s="112">
        <v>1</v>
      </c>
      <c r="Q62" s="112">
        <v>0</v>
      </c>
      <c r="R62" s="112">
        <v>1</v>
      </c>
      <c r="S62" s="112">
        <v>0</v>
      </c>
      <c r="T62" s="112">
        <v>0</v>
      </c>
    </row>
    <row r="63" spans="1:20" x14ac:dyDescent="0.3">
      <c r="A63" s="17" t="s">
        <v>38</v>
      </c>
      <c r="B63" s="167" t="s">
        <v>188</v>
      </c>
      <c r="C63" s="168"/>
      <c r="D63" s="168"/>
      <c r="E63" s="168"/>
      <c r="F63" s="168"/>
      <c r="H63" s="17" t="s">
        <v>38</v>
      </c>
      <c r="I63" s="167" t="s">
        <v>751</v>
      </c>
      <c r="J63" s="168"/>
      <c r="K63" s="168"/>
      <c r="L63" s="168"/>
      <c r="M63" s="168"/>
      <c r="O63" s="17" t="s">
        <v>38</v>
      </c>
      <c r="P63" s="175" t="s">
        <v>1809</v>
      </c>
      <c r="Q63" s="176"/>
      <c r="R63" s="176"/>
      <c r="S63" s="176"/>
      <c r="T63" s="176"/>
    </row>
    <row r="64" spans="1:20" ht="19.8" x14ac:dyDescent="0.3">
      <c r="A64" s="170">
        <v>46086</v>
      </c>
      <c r="B64" s="168"/>
      <c r="C64" s="168"/>
      <c r="D64" s="168"/>
      <c r="E64" s="168"/>
      <c r="F64" s="168"/>
      <c r="H64" s="170">
        <v>46116</v>
      </c>
      <c r="I64" s="168"/>
      <c r="J64" s="168"/>
      <c r="K64" s="168"/>
      <c r="L64" s="168"/>
      <c r="M64" s="168"/>
      <c r="O64" s="170">
        <v>46148</v>
      </c>
      <c r="P64" s="170"/>
      <c r="Q64" s="170"/>
      <c r="R64" s="170"/>
      <c r="S64" s="170"/>
      <c r="T64" s="170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871</v>
      </c>
    </row>
    <row r="66" spans="1:20" x14ac:dyDescent="0.3">
      <c r="A66" s="2" t="s">
        <v>5</v>
      </c>
      <c r="B66" s="3">
        <v>3273</v>
      </c>
      <c r="C66" s="3">
        <v>1029</v>
      </c>
      <c r="D66" s="3">
        <v>839</v>
      </c>
      <c r="E66" s="3">
        <v>732</v>
      </c>
      <c r="F66" s="3">
        <v>673</v>
      </c>
      <c r="H66" s="2" t="s">
        <v>5</v>
      </c>
      <c r="I66" s="3">
        <v>5456</v>
      </c>
      <c r="J66" s="3">
        <v>1712</v>
      </c>
      <c r="K66" s="3">
        <v>1362</v>
      </c>
      <c r="L66" s="3">
        <v>1198</v>
      </c>
      <c r="M66" s="3">
        <v>1184</v>
      </c>
      <c r="O66" s="2" t="s">
        <v>5</v>
      </c>
      <c r="P66" s="3">
        <v>4537</v>
      </c>
      <c r="Q66" s="3">
        <v>2337</v>
      </c>
      <c r="R66" s="3">
        <v>0</v>
      </c>
      <c r="S66" s="3">
        <v>2200</v>
      </c>
      <c r="T66" s="3">
        <v>0</v>
      </c>
    </row>
    <row r="67" spans="1:20" x14ac:dyDescent="0.3">
      <c r="A67" s="2" t="s">
        <v>6</v>
      </c>
      <c r="B67" s="3">
        <v>48</v>
      </c>
      <c r="C67" s="4">
        <v>10</v>
      </c>
      <c r="D67" s="5">
        <v>21</v>
      </c>
      <c r="E67" s="6">
        <v>12</v>
      </c>
      <c r="F67" s="3">
        <v>5</v>
      </c>
      <c r="H67" s="2" t="s">
        <v>6</v>
      </c>
      <c r="I67" s="3">
        <v>69</v>
      </c>
      <c r="J67" s="3">
        <v>13</v>
      </c>
      <c r="K67" s="4">
        <v>15</v>
      </c>
      <c r="L67" s="5">
        <v>22</v>
      </c>
      <c r="M67" s="6">
        <v>19</v>
      </c>
      <c r="O67" s="2" t="s">
        <v>6</v>
      </c>
      <c r="P67" s="3">
        <v>136</v>
      </c>
      <c r="Q67" s="6">
        <v>63</v>
      </c>
      <c r="R67" s="3">
        <v>0</v>
      </c>
      <c r="S67" s="5">
        <v>73</v>
      </c>
      <c r="T67" s="3">
        <v>0</v>
      </c>
    </row>
    <row r="68" spans="1:20" x14ac:dyDescent="0.3">
      <c r="A68" s="2" t="s">
        <v>7</v>
      </c>
      <c r="B68" s="3" t="s">
        <v>236</v>
      </c>
      <c r="C68" s="4" t="s">
        <v>186</v>
      </c>
      <c r="D68" s="5" t="s">
        <v>237</v>
      </c>
      <c r="E68" s="6" t="s">
        <v>238</v>
      </c>
      <c r="F68" s="3" t="s">
        <v>80</v>
      </c>
      <c r="H68" s="2" t="s">
        <v>7</v>
      </c>
      <c r="I68" s="3" t="s">
        <v>277</v>
      </c>
      <c r="J68" s="3" t="s">
        <v>607</v>
      </c>
      <c r="K68" s="4" t="s">
        <v>406</v>
      </c>
      <c r="L68" s="5" t="s">
        <v>314</v>
      </c>
      <c r="M68" s="6" t="s">
        <v>432</v>
      </c>
      <c r="O68" s="2" t="s">
        <v>7</v>
      </c>
      <c r="P68" s="3" t="s">
        <v>1248</v>
      </c>
      <c r="Q68" s="6" t="s">
        <v>388</v>
      </c>
      <c r="R68" s="3">
        <v>0</v>
      </c>
      <c r="S68" s="5" t="s">
        <v>666</v>
      </c>
      <c r="T68" s="3">
        <v>0</v>
      </c>
    </row>
    <row r="69" spans="1:20" x14ac:dyDescent="0.3">
      <c r="A69" s="2" t="s">
        <v>12</v>
      </c>
      <c r="B69" s="3" t="s">
        <v>239</v>
      </c>
      <c r="C69" s="4" t="s">
        <v>186</v>
      </c>
      <c r="D69" s="5" t="s">
        <v>237</v>
      </c>
      <c r="E69" s="6" t="s">
        <v>240</v>
      </c>
      <c r="F69" s="3" t="s">
        <v>241</v>
      </c>
      <c r="H69" s="2" t="s">
        <v>12</v>
      </c>
      <c r="I69" s="3" t="s">
        <v>1282</v>
      </c>
      <c r="J69" s="3" t="s">
        <v>484</v>
      </c>
      <c r="K69" s="4" t="s">
        <v>1283</v>
      </c>
      <c r="L69" s="6" t="s">
        <v>346</v>
      </c>
      <c r="M69" s="5" t="s">
        <v>851</v>
      </c>
      <c r="O69" s="2" t="s">
        <v>12</v>
      </c>
      <c r="P69" s="3" t="s">
        <v>1178</v>
      </c>
      <c r="Q69" s="6" t="s">
        <v>202</v>
      </c>
      <c r="R69" s="3">
        <v>0</v>
      </c>
      <c r="S69" s="5" t="s">
        <v>184</v>
      </c>
      <c r="T69" s="3">
        <v>0</v>
      </c>
    </row>
    <row r="70" spans="1:20" x14ac:dyDescent="0.3">
      <c r="A70" s="2" t="s">
        <v>17</v>
      </c>
      <c r="B70" s="3" t="s">
        <v>102</v>
      </c>
      <c r="C70" s="3" t="s">
        <v>25</v>
      </c>
      <c r="D70" s="3" t="s">
        <v>25</v>
      </c>
      <c r="E70" s="50">
        <f>E68-E69</f>
        <v>2.700000000000001E-3</v>
      </c>
      <c r="F70" s="5" t="s">
        <v>147</v>
      </c>
      <c r="H70" s="2" t="s">
        <v>17</v>
      </c>
      <c r="I70" s="48">
        <f>I68-I69</f>
        <v>2.5000000000000005E-3</v>
      </c>
      <c r="J70" s="60" t="s">
        <v>268</v>
      </c>
      <c r="K70" s="59" t="s">
        <v>138</v>
      </c>
      <c r="L70" s="50">
        <f>L68-L69</f>
        <v>6.6999999999999994E-3</v>
      </c>
      <c r="M70" s="50">
        <f>M68-M69</f>
        <v>3.3000000000000008E-3</v>
      </c>
      <c r="O70" s="2" t="s">
        <v>17</v>
      </c>
      <c r="P70" s="48">
        <f>P78/P66</f>
        <v>4.8490191756667403E-3</v>
      </c>
      <c r="Q70" s="6" t="s">
        <v>101</v>
      </c>
      <c r="R70" s="3" t="s">
        <v>25</v>
      </c>
      <c r="S70" s="50">
        <f>S78/S66</f>
        <v>7.2727272727272727E-3</v>
      </c>
      <c r="T70" s="3" t="s">
        <v>25</v>
      </c>
    </row>
    <row r="71" spans="1:20" x14ac:dyDescent="0.3">
      <c r="A71" s="2" t="s">
        <v>22</v>
      </c>
      <c r="B71" s="3" t="s">
        <v>102</v>
      </c>
      <c r="C71" s="3" t="s">
        <v>25</v>
      </c>
      <c r="D71" s="3" t="s">
        <v>25</v>
      </c>
      <c r="E71" s="6" t="s">
        <v>88</v>
      </c>
      <c r="F71" s="5" t="s">
        <v>147</v>
      </c>
      <c r="H71" s="2" t="s">
        <v>22</v>
      </c>
      <c r="I71" s="3" t="s">
        <v>75</v>
      </c>
      <c r="J71" s="3" t="s">
        <v>25</v>
      </c>
      <c r="K71" s="3" t="s">
        <v>25</v>
      </c>
      <c r="L71" s="5" t="s">
        <v>78</v>
      </c>
      <c r="M71" s="6" t="s">
        <v>108</v>
      </c>
      <c r="O71" s="2" t="s">
        <v>22</v>
      </c>
      <c r="P71" s="3" t="s">
        <v>121</v>
      </c>
      <c r="Q71" s="3" t="s">
        <v>25</v>
      </c>
      <c r="R71" s="3" t="s">
        <v>25</v>
      </c>
      <c r="S71" s="5" t="s">
        <v>146</v>
      </c>
      <c r="T71" s="3" t="s">
        <v>25</v>
      </c>
    </row>
    <row r="72" spans="1:20" x14ac:dyDescent="0.3">
      <c r="A72" s="7" t="s">
        <v>26</v>
      </c>
      <c r="B72" s="8">
        <v>44</v>
      </c>
      <c r="C72" s="8">
        <v>10</v>
      </c>
      <c r="D72" s="8">
        <v>21</v>
      </c>
      <c r="E72" s="8">
        <v>10</v>
      </c>
      <c r="F72" s="8">
        <v>3</v>
      </c>
      <c r="H72" s="7" t="s">
        <v>26</v>
      </c>
      <c r="I72" s="8">
        <v>55</v>
      </c>
      <c r="J72" s="8">
        <v>12</v>
      </c>
      <c r="K72" s="8">
        <v>14</v>
      </c>
      <c r="L72" s="8">
        <v>14</v>
      </c>
      <c r="M72" s="8">
        <v>15</v>
      </c>
      <c r="O72" s="7" t="s">
        <v>26</v>
      </c>
      <c r="P72" s="8">
        <v>113</v>
      </c>
      <c r="Q72" s="8">
        <v>57</v>
      </c>
      <c r="R72" s="8">
        <v>0</v>
      </c>
      <c r="S72" s="8">
        <v>56</v>
      </c>
      <c r="T72" s="8">
        <v>0</v>
      </c>
    </row>
    <row r="73" spans="1:20" x14ac:dyDescent="0.3">
      <c r="A73" s="9" t="s">
        <v>27</v>
      </c>
      <c r="B73" s="10">
        <v>6</v>
      </c>
      <c r="C73" s="10">
        <v>2</v>
      </c>
      <c r="D73" s="10">
        <v>2</v>
      </c>
      <c r="E73" s="10">
        <v>1</v>
      </c>
      <c r="F73" s="10">
        <v>1</v>
      </c>
      <c r="H73" s="9" t="s">
        <v>27</v>
      </c>
      <c r="I73" s="10">
        <v>41</v>
      </c>
      <c r="J73" s="10">
        <v>8</v>
      </c>
      <c r="K73" s="10">
        <v>12</v>
      </c>
      <c r="L73" s="10">
        <v>11</v>
      </c>
      <c r="M73" s="10">
        <v>10</v>
      </c>
      <c r="O73" s="9" t="s">
        <v>27</v>
      </c>
      <c r="P73" s="10">
        <v>94</v>
      </c>
      <c r="Q73" s="10">
        <v>50</v>
      </c>
      <c r="R73" s="10">
        <v>0</v>
      </c>
      <c r="S73" s="10">
        <v>44</v>
      </c>
      <c r="T73" s="10">
        <v>0</v>
      </c>
    </row>
    <row r="74" spans="1:20" x14ac:dyDescent="0.3">
      <c r="A74" s="9" t="s">
        <v>28</v>
      </c>
      <c r="B74" s="10">
        <v>13</v>
      </c>
      <c r="C74" s="10">
        <v>3</v>
      </c>
      <c r="D74" s="10">
        <v>7</v>
      </c>
      <c r="E74" s="10">
        <v>3</v>
      </c>
      <c r="F74" s="10">
        <v>0</v>
      </c>
      <c r="H74" s="9" t="s">
        <v>28</v>
      </c>
      <c r="I74" s="10">
        <v>3</v>
      </c>
      <c r="J74" s="10">
        <v>1</v>
      </c>
      <c r="K74" s="10">
        <v>0</v>
      </c>
      <c r="L74" s="10">
        <v>1</v>
      </c>
      <c r="M74" s="10">
        <v>1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3">
      <c r="A76" s="9" t="s">
        <v>30</v>
      </c>
      <c r="B76" s="10">
        <v>25</v>
      </c>
      <c r="C76" s="10">
        <v>5</v>
      </c>
      <c r="D76" s="10">
        <v>12</v>
      </c>
      <c r="E76" s="10">
        <v>6</v>
      </c>
      <c r="F76" s="10">
        <v>2</v>
      </c>
      <c r="H76" s="9" t="s">
        <v>30</v>
      </c>
      <c r="I76" s="10">
        <v>11</v>
      </c>
      <c r="J76" s="10">
        <v>3</v>
      </c>
      <c r="K76" s="10">
        <v>2</v>
      </c>
      <c r="L76" s="10">
        <v>2</v>
      </c>
      <c r="M76" s="10">
        <v>4</v>
      </c>
      <c r="O76" s="9" t="s">
        <v>30</v>
      </c>
      <c r="P76" s="10">
        <v>19</v>
      </c>
      <c r="Q76" s="10">
        <v>7</v>
      </c>
      <c r="R76" s="10">
        <v>0</v>
      </c>
      <c r="S76" s="10">
        <v>12</v>
      </c>
      <c r="T76" s="10">
        <v>0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4</v>
      </c>
      <c r="C78" s="12">
        <v>0</v>
      </c>
      <c r="D78" s="12">
        <v>0</v>
      </c>
      <c r="E78" s="12">
        <v>2</v>
      </c>
      <c r="F78" s="12">
        <v>2</v>
      </c>
      <c r="H78" s="11" t="s">
        <v>32</v>
      </c>
      <c r="I78" s="12">
        <v>13</v>
      </c>
      <c r="J78" s="12">
        <v>1</v>
      </c>
      <c r="K78" s="12">
        <v>1</v>
      </c>
      <c r="L78" s="12">
        <v>7</v>
      </c>
      <c r="M78" s="12">
        <v>4</v>
      </c>
      <c r="O78" s="11" t="s">
        <v>32</v>
      </c>
      <c r="P78" s="12">
        <v>22</v>
      </c>
      <c r="Q78" s="12">
        <v>6</v>
      </c>
      <c r="R78" s="12">
        <v>0</v>
      </c>
      <c r="S78" s="12">
        <v>16</v>
      </c>
      <c r="T78" s="12">
        <v>0</v>
      </c>
    </row>
    <row r="79" spans="1:20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1</v>
      </c>
      <c r="Q79" s="14">
        <v>1</v>
      </c>
      <c r="R79" s="14">
        <v>0</v>
      </c>
      <c r="S79" s="14">
        <v>0</v>
      </c>
      <c r="T79" s="14">
        <v>0</v>
      </c>
    </row>
    <row r="80" spans="1:20" x14ac:dyDescent="0.3">
      <c r="A80" s="13" t="s">
        <v>34</v>
      </c>
      <c r="B80" s="14">
        <v>4</v>
      </c>
      <c r="C80" s="14">
        <v>0</v>
      </c>
      <c r="D80" s="14">
        <v>0</v>
      </c>
      <c r="E80" s="14">
        <v>2</v>
      </c>
      <c r="F80" s="14">
        <v>2</v>
      </c>
      <c r="H80" s="13" t="s">
        <v>34</v>
      </c>
      <c r="I80" s="14">
        <v>13</v>
      </c>
      <c r="J80" s="14">
        <v>1</v>
      </c>
      <c r="K80" s="14">
        <v>1</v>
      </c>
      <c r="L80" s="14">
        <v>7</v>
      </c>
      <c r="M80" s="14">
        <v>4</v>
      </c>
      <c r="O80" s="13" t="s">
        <v>34</v>
      </c>
      <c r="P80" s="14">
        <v>21</v>
      </c>
      <c r="Q80" s="14">
        <v>5</v>
      </c>
      <c r="R80" s="14">
        <v>0</v>
      </c>
      <c r="S80" s="14">
        <v>16</v>
      </c>
      <c r="T80" s="14">
        <v>0</v>
      </c>
    </row>
    <row r="81" spans="1:20" x14ac:dyDescent="0.3">
      <c r="A81" s="15" t="s">
        <v>35</v>
      </c>
      <c r="B81" s="16">
        <v>4</v>
      </c>
      <c r="C81" s="16">
        <v>0</v>
      </c>
      <c r="D81" s="16">
        <v>0</v>
      </c>
      <c r="E81" s="16">
        <v>2</v>
      </c>
      <c r="F81" s="16">
        <v>2</v>
      </c>
      <c r="H81" s="15" t="s">
        <v>35</v>
      </c>
      <c r="I81" s="16">
        <v>7</v>
      </c>
      <c r="J81" s="16">
        <v>0</v>
      </c>
      <c r="K81" s="16">
        <v>0</v>
      </c>
      <c r="L81" s="16">
        <v>5</v>
      </c>
      <c r="M81" s="16">
        <v>2</v>
      </c>
      <c r="O81" s="15" t="s">
        <v>35</v>
      </c>
      <c r="P81" s="16">
        <v>7</v>
      </c>
      <c r="Q81" s="16">
        <v>0</v>
      </c>
      <c r="R81" s="16">
        <v>0</v>
      </c>
      <c r="S81" s="16">
        <v>7</v>
      </c>
      <c r="T81" s="16">
        <v>0</v>
      </c>
    </row>
    <row r="82" spans="1:20" x14ac:dyDescent="0.3">
      <c r="A82" s="17" t="s">
        <v>36</v>
      </c>
      <c r="B82" s="18">
        <v>4</v>
      </c>
      <c r="C82" s="18">
        <v>0</v>
      </c>
      <c r="D82" s="18">
        <v>0</v>
      </c>
      <c r="E82" s="18">
        <v>2</v>
      </c>
      <c r="F82" s="18">
        <v>2</v>
      </c>
      <c r="H82" s="17" t="s">
        <v>36</v>
      </c>
      <c r="I82" s="78">
        <v>7</v>
      </c>
      <c r="J82" s="78">
        <v>0</v>
      </c>
      <c r="K82" s="78">
        <v>0</v>
      </c>
      <c r="L82" s="78">
        <v>5</v>
      </c>
      <c r="M82" s="78">
        <v>2</v>
      </c>
      <c r="O82" s="17" t="s">
        <v>36</v>
      </c>
      <c r="P82" s="112">
        <v>7</v>
      </c>
      <c r="Q82" s="112">
        <v>0</v>
      </c>
      <c r="R82" s="112">
        <v>0</v>
      </c>
      <c r="S82" s="112">
        <v>7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7" t="s">
        <v>188</v>
      </c>
      <c r="C84" s="168"/>
      <c r="D84" s="168"/>
      <c r="E84" s="168"/>
      <c r="F84" s="168"/>
      <c r="H84" s="17" t="s">
        <v>38</v>
      </c>
      <c r="I84" s="167" t="s">
        <v>1284</v>
      </c>
      <c r="J84" s="168"/>
      <c r="K84" s="168"/>
      <c r="L84" s="168"/>
      <c r="M84" s="168"/>
      <c r="O84" s="17" t="s">
        <v>38</v>
      </c>
      <c r="P84" s="175" t="s">
        <v>1820</v>
      </c>
      <c r="Q84" s="176"/>
      <c r="R84" s="176"/>
      <c r="S84" s="176"/>
      <c r="T84" s="176"/>
    </row>
    <row r="85" spans="1:20" ht="19.8" x14ac:dyDescent="0.3">
      <c r="A85" s="170">
        <v>46087</v>
      </c>
      <c r="B85" s="168"/>
      <c r="C85" s="168"/>
      <c r="D85" s="168"/>
      <c r="E85" s="168"/>
      <c r="F85" s="168"/>
      <c r="H85" s="170">
        <v>46118</v>
      </c>
      <c r="I85" s="168"/>
      <c r="J85" s="168"/>
      <c r="K85" s="168"/>
      <c r="L85" s="168"/>
      <c r="M85" s="168"/>
      <c r="O85" s="170">
        <v>46149</v>
      </c>
      <c r="P85" s="170"/>
      <c r="Q85" s="170"/>
      <c r="R85" s="170"/>
      <c r="S85" s="170"/>
      <c r="T85" s="170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40</v>
      </c>
      <c r="T86" s="1" t="s">
        <v>871</v>
      </c>
    </row>
    <row r="87" spans="1:20" x14ac:dyDescent="0.3">
      <c r="A87" s="2" t="s">
        <v>5</v>
      </c>
      <c r="B87" s="3">
        <v>2959</v>
      </c>
      <c r="C87" s="3">
        <v>964</v>
      </c>
      <c r="D87" s="3">
        <v>792</v>
      </c>
      <c r="E87" s="3">
        <v>665</v>
      </c>
      <c r="F87" s="3">
        <v>538</v>
      </c>
      <c r="H87" s="2" t="s">
        <v>5</v>
      </c>
      <c r="I87" s="3">
        <v>1336</v>
      </c>
      <c r="J87" s="3">
        <v>354</v>
      </c>
      <c r="K87" s="3">
        <v>352</v>
      </c>
      <c r="L87" s="3">
        <v>319</v>
      </c>
      <c r="M87" s="3">
        <v>311</v>
      </c>
      <c r="O87" s="2" t="s">
        <v>5</v>
      </c>
      <c r="P87" s="3">
        <v>3420</v>
      </c>
      <c r="Q87" s="3">
        <v>1843</v>
      </c>
      <c r="R87" s="3">
        <v>0</v>
      </c>
      <c r="S87" s="3">
        <v>1577</v>
      </c>
      <c r="T87" s="3">
        <v>0</v>
      </c>
    </row>
    <row r="88" spans="1:20" x14ac:dyDescent="0.3">
      <c r="A88" s="2" t="s">
        <v>6</v>
      </c>
      <c r="B88" s="3">
        <v>56</v>
      </c>
      <c r="C88" s="5">
        <v>21</v>
      </c>
      <c r="D88" s="3">
        <v>10</v>
      </c>
      <c r="E88" s="6">
        <v>14</v>
      </c>
      <c r="F88" s="4">
        <v>11</v>
      </c>
      <c r="H88" s="2" t="s">
        <v>6</v>
      </c>
      <c r="I88" s="3">
        <v>23</v>
      </c>
      <c r="J88" s="4">
        <v>5</v>
      </c>
      <c r="K88" s="6">
        <v>6</v>
      </c>
      <c r="L88" s="5">
        <v>7</v>
      </c>
      <c r="M88" s="4">
        <v>5</v>
      </c>
      <c r="O88" s="2" t="s">
        <v>6</v>
      </c>
      <c r="P88" s="3">
        <v>72</v>
      </c>
      <c r="Q88" s="6">
        <v>26</v>
      </c>
      <c r="R88" s="3">
        <v>0</v>
      </c>
      <c r="S88" s="5">
        <v>46</v>
      </c>
      <c r="T88" s="3">
        <v>0</v>
      </c>
    </row>
    <row r="89" spans="1:20" x14ac:dyDescent="0.3">
      <c r="A89" s="2" t="s">
        <v>7</v>
      </c>
      <c r="B89" s="3" t="s">
        <v>276</v>
      </c>
      <c r="C89" s="5" t="s">
        <v>59</v>
      </c>
      <c r="D89" s="3" t="s">
        <v>277</v>
      </c>
      <c r="E89" s="6" t="s">
        <v>278</v>
      </c>
      <c r="F89" s="4" t="s">
        <v>279</v>
      </c>
      <c r="H89" s="2" t="s">
        <v>7</v>
      </c>
      <c r="I89" s="3" t="s">
        <v>280</v>
      </c>
      <c r="J89" s="3" t="s">
        <v>431</v>
      </c>
      <c r="K89" s="6" t="s">
        <v>714</v>
      </c>
      <c r="L89" s="5" t="s">
        <v>802</v>
      </c>
      <c r="M89" s="4" t="s">
        <v>353</v>
      </c>
      <c r="O89" s="2" t="s">
        <v>7</v>
      </c>
      <c r="P89" s="3" t="s">
        <v>278</v>
      </c>
      <c r="Q89" s="6" t="s">
        <v>431</v>
      </c>
      <c r="R89" s="3">
        <v>0</v>
      </c>
      <c r="S89" s="5" t="s">
        <v>479</v>
      </c>
      <c r="T89" s="3">
        <v>0</v>
      </c>
    </row>
    <row r="90" spans="1:20" x14ac:dyDescent="0.3">
      <c r="A90" s="2" t="s">
        <v>12</v>
      </c>
      <c r="B90" s="3" t="s">
        <v>280</v>
      </c>
      <c r="C90" s="5" t="s">
        <v>59</v>
      </c>
      <c r="D90" s="3" t="s">
        <v>277</v>
      </c>
      <c r="E90" s="4" t="s">
        <v>281</v>
      </c>
      <c r="F90" s="6" t="s">
        <v>282</v>
      </c>
      <c r="H90" s="2" t="s">
        <v>12</v>
      </c>
      <c r="I90" s="3" t="s">
        <v>655</v>
      </c>
      <c r="J90" s="6" t="s">
        <v>41</v>
      </c>
      <c r="K90" s="3" t="s">
        <v>63</v>
      </c>
      <c r="L90" s="5" t="s">
        <v>1306</v>
      </c>
      <c r="M90" s="4" t="s">
        <v>869</v>
      </c>
      <c r="O90" s="2" t="s">
        <v>12</v>
      </c>
      <c r="P90" s="3" t="s">
        <v>546</v>
      </c>
      <c r="Q90" s="6" t="s">
        <v>1246</v>
      </c>
      <c r="R90" s="3">
        <v>0</v>
      </c>
      <c r="S90" s="5" t="s">
        <v>323</v>
      </c>
      <c r="T90" s="3">
        <v>0</v>
      </c>
    </row>
    <row r="91" spans="1:20" x14ac:dyDescent="0.3">
      <c r="A91" s="2" t="s">
        <v>17</v>
      </c>
      <c r="B91" s="48">
        <f>B89-B90</f>
        <v>1.7000000000000001E-3</v>
      </c>
      <c r="C91" s="3" t="s">
        <v>25</v>
      </c>
      <c r="D91" s="3" t="s">
        <v>25</v>
      </c>
      <c r="E91" s="5" t="s">
        <v>174</v>
      </c>
      <c r="F91" s="6" t="s">
        <v>136</v>
      </c>
      <c r="H91" s="2" t="s">
        <v>17</v>
      </c>
      <c r="I91" s="48">
        <f>I89-I90</f>
        <v>5.1999999999999998E-3</v>
      </c>
      <c r="J91" s="60" t="s">
        <v>595</v>
      </c>
      <c r="K91" s="59" t="s">
        <v>63</v>
      </c>
      <c r="L91" s="50">
        <f>L89-L90</f>
        <v>3.0999999999999986E-3</v>
      </c>
      <c r="M91" s="50">
        <f>M89-M90</f>
        <v>6.5000000000000006E-3</v>
      </c>
      <c r="O91" s="2" t="s">
        <v>17</v>
      </c>
      <c r="P91" s="48">
        <f>P99/P87</f>
        <v>3.2163742690058481E-3</v>
      </c>
      <c r="Q91" s="6" t="s">
        <v>49</v>
      </c>
      <c r="R91" s="3" t="s">
        <v>25</v>
      </c>
      <c r="S91" s="50">
        <f>S99/S87</f>
        <v>5.7070386810399495E-3</v>
      </c>
      <c r="T91" s="3" t="s">
        <v>25</v>
      </c>
    </row>
    <row r="92" spans="1:20" x14ac:dyDescent="0.3">
      <c r="A92" s="2" t="s">
        <v>22</v>
      </c>
      <c r="B92" s="3" t="s">
        <v>108</v>
      </c>
      <c r="C92" s="3" t="s">
        <v>25</v>
      </c>
      <c r="D92" s="3" t="s">
        <v>25</v>
      </c>
      <c r="E92" s="5" t="s">
        <v>174</v>
      </c>
      <c r="F92" s="6" t="s">
        <v>136</v>
      </c>
      <c r="H92" s="2" t="s">
        <v>22</v>
      </c>
      <c r="I92" s="3" t="s">
        <v>138</v>
      </c>
      <c r="J92" s="3" t="s">
        <v>25</v>
      </c>
      <c r="K92" s="3" t="s">
        <v>25</v>
      </c>
      <c r="L92" s="3" t="s">
        <v>25</v>
      </c>
      <c r="M92" s="5" t="s">
        <v>146</v>
      </c>
      <c r="O92" s="2" t="s">
        <v>22</v>
      </c>
      <c r="P92" s="3" t="s">
        <v>101</v>
      </c>
      <c r="Q92" s="3" t="s">
        <v>25</v>
      </c>
      <c r="R92" s="3" t="s">
        <v>25</v>
      </c>
      <c r="S92" s="5" t="s">
        <v>596</v>
      </c>
      <c r="T92" s="3" t="s">
        <v>25</v>
      </c>
    </row>
    <row r="93" spans="1:20" x14ac:dyDescent="0.3">
      <c r="A93" s="7" t="s">
        <v>26</v>
      </c>
      <c r="B93" s="8">
        <v>51</v>
      </c>
      <c r="C93" s="8">
        <v>21</v>
      </c>
      <c r="D93" s="8">
        <v>10</v>
      </c>
      <c r="E93" s="8">
        <v>10</v>
      </c>
      <c r="F93" s="8">
        <v>10</v>
      </c>
      <c r="H93" s="7" t="s">
        <v>26</v>
      </c>
      <c r="I93" s="8">
        <v>16</v>
      </c>
      <c r="J93" s="8">
        <v>4</v>
      </c>
      <c r="K93" s="8">
        <v>3</v>
      </c>
      <c r="L93" s="8">
        <v>6</v>
      </c>
      <c r="M93" s="8">
        <v>3</v>
      </c>
      <c r="O93" s="7" t="s">
        <v>26</v>
      </c>
      <c r="P93" s="8">
        <v>61</v>
      </c>
      <c r="Q93" s="8">
        <v>24</v>
      </c>
      <c r="R93" s="8">
        <v>0</v>
      </c>
      <c r="S93" s="8">
        <v>37</v>
      </c>
      <c r="T93" s="8">
        <v>0</v>
      </c>
    </row>
    <row r="94" spans="1:20" x14ac:dyDescent="0.3">
      <c r="A94" s="9" t="s">
        <v>27</v>
      </c>
      <c r="B94" s="10">
        <v>10</v>
      </c>
      <c r="C94" s="10">
        <v>7</v>
      </c>
      <c r="D94" s="10">
        <v>1</v>
      </c>
      <c r="E94" s="10">
        <v>2</v>
      </c>
      <c r="F94" s="10">
        <v>0</v>
      </c>
      <c r="H94" s="9" t="s">
        <v>27</v>
      </c>
      <c r="I94" s="10">
        <v>14</v>
      </c>
      <c r="J94" s="10">
        <v>4</v>
      </c>
      <c r="K94" s="10">
        <v>3</v>
      </c>
      <c r="L94" s="10">
        <v>4</v>
      </c>
      <c r="M94" s="10">
        <v>3</v>
      </c>
      <c r="O94" s="9" t="s">
        <v>27</v>
      </c>
      <c r="P94" s="10">
        <v>34</v>
      </c>
      <c r="Q94" s="10">
        <v>13</v>
      </c>
      <c r="R94" s="10">
        <v>0</v>
      </c>
      <c r="S94" s="10">
        <v>21</v>
      </c>
      <c r="T94" s="10">
        <v>0</v>
      </c>
    </row>
    <row r="95" spans="1:20" x14ac:dyDescent="0.3">
      <c r="A95" s="9" t="s">
        <v>28</v>
      </c>
      <c r="B95" s="10">
        <v>20</v>
      </c>
      <c r="C95" s="10">
        <v>8</v>
      </c>
      <c r="D95" s="10">
        <v>6</v>
      </c>
      <c r="E95" s="10">
        <v>2</v>
      </c>
      <c r="F95" s="10">
        <v>4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12</v>
      </c>
      <c r="Q95" s="10">
        <v>4</v>
      </c>
      <c r="R95" s="10">
        <v>0</v>
      </c>
      <c r="S95" s="10">
        <v>8</v>
      </c>
      <c r="T95" s="10">
        <v>0</v>
      </c>
    </row>
    <row r="96" spans="1:20" x14ac:dyDescent="0.3">
      <c r="A96" s="9" t="s">
        <v>29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H96" s="9" t="s">
        <v>29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O96" s="9" t="s">
        <v>29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3">
      <c r="A97" s="9" t="s">
        <v>30</v>
      </c>
      <c r="B97" s="10">
        <v>21</v>
      </c>
      <c r="C97" s="10">
        <v>6</v>
      </c>
      <c r="D97" s="10">
        <v>3</v>
      </c>
      <c r="E97" s="10">
        <v>6</v>
      </c>
      <c r="F97" s="10">
        <v>6</v>
      </c>
      <c r="H97" s="9" t="s">
        <v>30</v>
      </c>
      <c r="I97" s="10">
        <v>2</v>
      </c>
      <c r="J97" s="10">
        <v>0</v>
      </c>
      <c r="K97" s="10">
        <v>0</v>
      </c>
      <c r="L97" s="10">
        <v>2</v>
      </c>
      <c r="M97" s="10">
        <v>0</v>
      </c>
      <c r="O97" s="9" t="s">
        <v>30</v>
      </c>
      <c r="P97" s="10">
        <v>15</v>
      </c>
      <c r="Q97" s="10">
        <v>7</v>
      </c>
      <c r="R97" s="10">
        <v>0</v>
      </c>
      <c r="S97" s="10">
        <v>8</v>
      </c>
      <c r="T97" s="10">
        <v>0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5</v>
      </c>
      <c r="C99" s="12">
        <v>0</v>
      </c>
      <c r="D99" s="12">
        <v>0</v>
      </c>
      <c r="E99" s="12">
        <v>4</v>
      </c>
      <c r="F99" s="12">
        <v>1</v>
      </c>
      <c r="H99" s="11" t="s">
        <v>32</v>
      </c>
      <c r="I99" s="12">
        <v>7</v>
      </c>
      <c r="J99" s="12">
        <v>1</v>
      </c>
      <c r="K99" s="12">
        <v>3</v>
      </c>
      <c r="L99" s="12">
        <v>1</v>
      </c>
      <c r="M99" s="12">
        <v>2</v>
      </c>
      <c r="O99" s="11" t="s">
        <v>32</v>
      </c>
      <c r="P99" s="12">
        <v>11</v>
      </c>
      <c r="Q99" s="12">
        <v>2</v>
      </c>
      <c r="R99" s="12">
        <v>0</v>
      </c>
      <c r="S99" s="12">
        <v>9</v>
      </c>
      <c r="T99" s="12">
        <v>0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5</v>
      </c>
      <c r="C101" s="14">
        <v>0</v>
      </c>
      <c r="D101" s="14">
        <v>0</v>
      </c>
      <c r="E101" s="14">
        <v>4</v>
      </c>
      <c r="F101" s="14">
        <v>1</v>
      </c>
      <c r="H101" s="13" t="s">
        <v>34</v>
      </c>
      <c r="I101" s="14">
        <v>7</v>
      </c>
      <c r="J101" s="14">
        <v>1</v>
      </c>
      <c r="K101" s="14">
        <v>3</v>
      </c>
      <c r="L101" s="14">
        <v>1</v>
      </c>
      <c r="M101" s="14">
        <v>2</v>
      </c>
      <c r="O101" s="13" t="s">
        <v>34</v>
      </c>
      <c r="P101" s="14">
        <v>11</v>
      </c>
      <c r="Q101" s="14">
        <v>2</v>
      </c>
      <c r="R101" s="14">
        <v>0</v>
      </c>
      <c r="S101" s="14">
        <v>9</v>
      </c>
      <c r="T101" s="14">
        <v>0</v>
      </c>
    </row>
    <row r="102" spans="1:20" x14ac:dyDescent="0.3">
      <c r="A102" s="15" t="s">
        <v>35</v>
      </c>
      <c r="B102" s="16">
        <v>5</v>
      </c>
      <c r="C102" s="16">
        <v>0</v>
      </c>
      <c r="D102" s="16">
        <v>0</v>
      </c>
      <c r="E102" s="16">
        <v>4</v>
      </c>
      <c r="F102" s="16">
        <v>1</v>
      </c>
      <c r="H102" s="15" t="s">
        <v>35</v>
      </c>
      <c r="I102" s="16">
        <v>1</v>
      </c>
      <c r="J102" s="16">
        <v>0</v>
      </c>
      <c r="K102" s="16">
        <v>0</v>
      </c>
      <c r="L102" s="16">
        <v>0</v>
      </c>
      <c r="M102" s="16">
        <v>1</v>
      </c>
      <c r="O102" s="15" t="s">
        <v>35</v>
      </c>
      <c r="P102" s="16">
        <v>9</v>
      </c>
      <c r="Q102" s="16">
        <v>0</v>
      </c>
      <c r="R102" s="16">
        <v>0</v>
      </c>
      <c r="S102" s="16">
        <v>9</v>
      </c>
      <c r="T102" s="16">
        <v>0</v>
      </c>
    </row>
    <row r="103" spans="1:20" x14ac:dyDescent="0.3">
      <c r="A103" s="17" t="s">
        <v>36</v>
      </c>
      <c r="B103" s="18">
        <v>5</v>
      </c>
      <c r="C103" s="18">
        <v>0</v>
      </c>
      <c r="D103" s="18">
        <v>0</v>
      </c>
      <c r="E103" s="18">
        <v>4</v>
      </c>
      <c r="F103" s="18">
        <v>1</v>
      </c>
      <c r="H103" s="17" t="s">
        <v>36</v>
      </c>
      <c r="I103" s="78">
        <v>1</v>
      </c>
      <c r="J103" s="78">
        <v>0</v>
      </c>
      <c r="K103" s="78">
        <v>0</v>
      </c>
      <c r="L103" s="78">
        <v>0</v>
      </c>
      <c r="M103" s="78">
        <v>1</v>
      </c>
      <c r="O103" s="17" t="s">
        <v>36</v>
      </c>
      <c r="P103" s="112">
        <v>9</v>
      </c>
      <c r="Q103" s="112">
        <v>0</v>
      </c>
      <c r="R103" s="112">
        <v>0</v>
      </c>
      <c r="S103" s="112">
        <v>9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7" t="s">
        <v>188</v>
      </c>
      <c r="C105" s="168"/>
      <c r="D105" s="168"/>
      <c r="E105" s="168"/>
      <c r="F105" s="168"/>
      <c r="H105" s="17" t="s">
        <v>38</v>
      </c>
      <c r="I105" s="167" t="s">
        <v>1307</v>
      </c>
      <c r="J105" s="168"/>
      <c r="K105" s="168"/>
      <c r="L105" s="168"/>
      <c r="M105" s="168"/>
      <c r="O105" s="17" t="s">
        <v>38</v>
      </c>
      <c r="P105" s="175" t="s">
        <v>1831</v>
      </c>
      <c r="Q105" s="176"/>
      <c r="R105" s="176"/>
      <c r="S105" s="176"/>
      <c r="T105" s="176"/>
    </row>
    <row r="106" spans="1:20" ht="19.8" x14ac:dyDescent="0.3">
      <c r="A106" s="170">
        <v>46090</v>
      </c>
      <c r="B106" s="168"/>
      <c r="C106" s="168"/>
      <c r="D106" s="168"/>
      <c r="E106" s="168"/>
      <c r="F106" s="168"/>
      <c r="H106" s="170">
        <v>46119</v>
      </c>
      <c r="I106" s="168"/>
      <c r="J106" s="168"/>
      <c r="K106" s="168"/>
      <c r="L106" s="168"/>
      <c r="M106" s="168"/>
      <c r="O106" s="170">
        <v>46150</v>
      </c>
      <c r="P106" s="170"/>
      <c r="Q106" s="170"/>
      <c r="R106" s="170"/>
      <c r="S106" s="170"/>
      <c r="T106" s="170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760</v>
      </c>
      <c r="S107" s="1" t="s">
        <v>40</v>
      </c>
      <c r="T107" s="1" t="s">
        <v>871</v>
      </c>
    </row>
    <row r="108" spans="1:20" x14ac:dyDescent="0.3">
      <c r="A108" s="2" t="s">
        <v>5</v>
      </c>
      <c r="B108" s="3">
        <v>3207</v>
      </c>
      <c r="C108" s="3">
        <v>1048</v>
      </c>
      <c r="D108" s="3">
        <v>731</v>
      </c>
      <c r="E108" s="3">
        <v>683</v>
      </c>
      <c r="F108" s="3">
        <v>745</v>
      </c>
      <c r="H108" s="2" t="s">
        <v>5</v>
      </c>
      <c r="I108" s="3">
        <v>3156</v>
      </c>
      <c r="J108" s="3">
        <v>701</v>
      </c>
      <c r="K108" s="3">
        <v>873</v>
      </c>
      <c r="L108" s="3">
        <v>804</v>
      </c>
      <c r="M108" s="3">
        <v>778</v>
      </c>
      <c r="O108" s="2" t="s">
        <v>5</v>
      </c>
      <c r="P108" s="3">
        <v>3690</v>
      </c>
      <c r="Q108" s="3">
        <v>1871</v>
      </c>
      <c r="R108" s="3">
        <v>0</v>
      </c>
      <c r="S108" s="3">
        <v>1819</v>
      </c>
      <c r="T108" s="3">
        <v>0</v>
      </c>
    </row>
    <row r="109" spans="1:20" x14ac:dyDescent="0.3">
      <c r="A109" s="2" t="s">
        <v>6</v>
      </c>
      <c r="B109" s="3">
        <v>54</v>
      </c>
      <c r="C109" s="5">
        <v>18</v>
      </c>
      <c r="D109" s="4">
        <v>11</v>
      </c>
      <c r="E109" s="3">
        <v>9</v>
      </c>
      <c r="F109" s="6">
        <v>16</v>
      </c>
      <c r="H109" s="2" t="s">
        <v>6</v>
      </c>
      <c r="I109" s="3">
        <v>76</v>
      </c>
      <c r="J109" s="3">
        <v>15</v>
      </c>
      <c r="K109" s="6">
        <v>18</v>
      </c>
      <c r="L109" s="5">
        <v>27</v>
      </c>
      <c r="M109" s="4">
        <v>16</v>
      </c>
      <c r="O109" s="2" t="s">
        <v>6</v>
      </c>
      <c r="P109" s="3">
        <v>52</v>
      </c>
      <c r="Q109" s="6">
        <v>17</v>
      </c>
      <c r="R109" s="3">
        <v>0</v>
      </c>
      <c r="S109" s="5">
        <v>35</v>
      </c>
      <c r="T109" s="3">
        <v>0</v>
      </c>
    </row>
    <row r="110" spans="1:20" x14ac:dyDescent="0.3">
      <c r="A110" s="2" t="s">
        <v>7</v>
      </c>
      <c r="B110" s="3" t="s">
        <v>342</v>
      </c>
      <c r="C110" s="6" t="s">
        <v>280</v>
      </c>
      <c r="D110" s="4" t="s">
        <v>281</v>
      </c>
      <c r="E110" s="3" t="s">
        <v>351</v>
      </c>
      <c r="F110" s="5" t="s">
        <v>352</v>
      </c>
      <c r="H110" s="2" t="s">
        <v>7</v>
      </c>
      <c r="I110" s="3" t="s">
        <v>447</v>
      </c>
      <c r="J110" s="6" t="s">
        <v>1333</v>
      </c>
      <c r="K110" s="4" t="s">
        <v>1334</v>
      </c>
      <c r="L110" s="5" t="s">
        <v>653</v>
      </c>
      <c r="M110" s="3" t="s">
        <v>1334</v>
      </c>
      <c r="O110" s="2" t="s">
        <v>7</v>
      </c>
      <c r="P110" s="3" t="s">
        <v>431</v>
      </c>
      <c r="Q110" s="6" t="s">
        <v>887</v>
      </c>
      <c r="R110" s="3">
        <v>0</v>
      </c>
      <c r="S110" s="5" t="s">
        <v>475</v>
      </c>
      <c r="T110" s="3">
        <v>0</v>
      </c>
    </row>
    <row r="111" spans="1:20" x14ac:dyDescent="0.3">
      <c r="A111" s="2" t="s">
        <v>12</v>
      </c>
      <c r="B111" s="3" t="s">
        <v>236</v>
      </c>
      <c r="C111" s="5" t="s">
        <v>280</v>
      </c>
      <c r="D111" s="4" t="s">
        <v>281</v>
      </c>
      <c r="E111" s="3" t="s">
        <v>272</v>
      </c>
      <c r="F111" s="6" t="s">
        <v>353</v>
      </c>
      <c r="H111" s="2" t="s">
        <v>12</v>
      </c>
      <c r="I111" s="3" t="s">
        <v>482</v>
      </c>
      <c r="J111" s="6" t="s">
        <v>196</v>
      </c>
      <c r="K111" s="4" t="s">
        <v>1168</v>
      </c>
      <c r="L111" s="5" t="s">
        <v>54</v>
      </c>
      <c r="M111" s="3" t="s">
        <v>581</v>
      </c>
      <c r="O111" s="2" t="s">
        <v>12</v>
      </c>
      <c r="P111" s="3" t="s">
        <v>45</v>
      </c>
      <c r="Q111" s="5" t="s">
        <v>887</v>
      </c>
      <c r="R111" s="3">
        <v>0</v>
      </c>
      <c r="S111" s="6" t="s">
        <v>371</v>
      </c>
      <c r="T111" s="3">
        <v>0</v>
      </c>
    </row>
    <row r="112" spans="1:20" x14ac:dyDescent="0.3">
      <c r="A112" s="2" t="s">
        <v>17</v>
      </c>
      <c r="B112" s="3" t="s">
        <v>122</v>
      </c>
      <c r="C112" s="3" t="s">
        <v>25</v>
      </c>
      <c r="D112" s="3" t="s">
        <v>25</v>
      </c>
      <c r="E112" s="50">
        <f>E110-E111</f>
        <v>4.3999999999999994E-3</v>
      </c>
      <c r="F112" s="50">
        <f>F110-F111</f>
        <v>5.3999999999999986E-3</v>
      </c>
      <c r="H112" s="2" t="s">
        <v>17</v>
      </c>
      <c r="I112" s="48">
        <f>I110-I111</f>
        <v>1.8999999999999989E-3</v>
      </c>
      <c r="J112" s="59" t="s">
        <v>310</v>
      </c>
      <c r="K112" s="60" t="s">
        <v>49</v>
      </c>
      <c r="L112" s="50">
        <f>L110-L111</f>
        <v>3.6999999999999984E-3</v>
      </c>
      <c r="M112" s="50">
        <f>M110-M111</f>
        <v>1.2999999999999991E-3</v>
      </c>
      <c r="O112" s="2" t="s">
        <v>17</v>
      </c>
      <c r="P112" s="48">
        <f>P120/P108</f>
        <v>5.4200542005420054E-3</v>
      </c>
      <c r="Q112" s="3" t="s">
        <v>25</v>
      </c>
      <c r="R112" s="3" t="s">
        <v>25</v>
      </c>
      <c r="S112" s="50">
        <f>S120/S108</f>
        <v>1.0995052226498075E-2</v>
      </c>
      <c r="T112" s="3" t="s">
        <v>25</v>
      </c>
    </row>
    <row r="113" spans="1:20" x14ac:dyDescent="0.3">
      <c r="A113" s="2" t="s">
        <v>22</v>
      </c>
      <c r="B113" s="3" t="s">
        <v>122</v>
      </c>
      <c r="C113" s="3" t="s">
        <v>25</v>
      </c>
      <c r="D113" s="3" t="s">
        <v>25</v>
      </c>
      <c r="E113" s="6" t="s">
        <v>119</v>
      </c>
      <c r="F113" s="5" t="s">
        <v>354</v>
      </c>
      <c r="H113" s="2" t="s">
        <v>22</v>
      </c>
      <c r="I113" s="3" t="s">
        <v>81</v>
      </c>
      <c r="J113" s="3" t="s">
        <v>25</v>
      </c>
      <c r="K113" s="3" t="s">
        <v>25</v>
      </c>
      <c r="L113" s="5" t="s">
        <v>200</v>
      </c>
      <c r="M113" s="3" t="s">
        <v>25</v>
      </c>
      <c r="O113" s="2" t="s">
        <v>22</v>
      </c>
      <c r="P113" s="3" t="s">
        <v>354</v>
      </c>
      <c r="Q113" s="3" t="s">
        <v>25</v>
      </c>
      <c r="R113" s="3" t="s">
        <v>25</v>
      </c>
      <c r="S113" s="5" t="s">
        <v>406</v>
      </c>
      <c r="T113" s="3" t="s">
        <v>25</v>
      </c>
    </row>
    <row r="114" spans="1:20" x14ac:dyDescent="0.3">
      <c r="A114" s="7" t="s">
        <v>26</v>
      </c>
      <c r="B114" s="8">
        <v>47</v>
      </c>
      <c r="C114" s="8">
        <v>18</v>
      </c>
      <c r="D114" s="8">
        <v>11</v>
      </c>
      <c r="E114" s="8">
        <v>6</v>
      </c>
      <c r="F114" s="8">
        <v>12</v>
      </c>
      <c r="H114" s="7" t="s">
        <v>26</v>
      </c>
      <c r="I114" s="8">
        <v>70</v>
      </c>
      <c r="J114" s="8">
        <v>14</v>
      </c>
      <c r="K114" s="8">
        <v>17</v>
      </c>
      <c r="L114" s="8">
        <v>24</v>
      </c>
      <c r="M114" s="8">
        <v>15</v>
      </c>
      <c r="O114" s="7" t="s">
        <v>26</v>
      </c>
      <c r="P114" s="8">
        <v>32</v>
      </c>
      <c r="Q114" s="8">
        <v>17</v>
      </c>
      <c r="R114" s="8">
        <v>0</v>
      </c>
      <c r="S114" s="8">
        <v>15</v>
      </c>
      <c r="T114" s="8">
        <v>0</v>
      </c>
    </row>
    <row r="115" spans="1:20" x14ac:dyDescent="0.3">
      <c r="A115" s="9" t="s">
        <v>27</v>
      </c>
      <c r="B115" s="10">
        <v>13</v>
      </c>
      <c r="C115" s="10">
        <v>6</v>
      </c>
      <c r="D115" s="10">
        <v>1</v>
      </c>
      <c r="E115" s="10">
        <v>1</v>
      </c>
      <c r="F115" s="10">
        <v>5</v>
      </c>
      <c r="H115" s="9" t="s">
        <v>27</v>
      </c>
      <c r="I115" s="10">
        <v>56</v>
      </c>
      <c r="J115" s="10">
        <v>13</v>
      </c>
      <c r="K115" s="10">
        <v>12</v>
      </c>
      <c r="L115" s="10">
        <v>20</v>
      </c>
      <c r="M115" s="10">
        <v>11</v>
      </c>
      <c r="O115" s="9" t="s">
        <v>27</v>
      </c>
      <c r="P115" s="10">
        <v>15</v>
      </c>
      <c r="Q115" s="10">
        <v>7</v>
      </c>
      <c r="R115" s="10">
        <v>0</v>
      </c>
      <c r="S115" s="10">
        <v>8</v>
      </c>
      <c r="T115" s="10">
        <v>0</v>
      </c>
    </row>
    <row r="116" spans="1:20" x14ac:dyDescent="0.3">
      <c r="A116" s="9" t="s">
        <v>28</v>
      </c>
      <c r="B116" s="10">
        <v>21</v>
      </c>
      <c r="C116" s="10">
        <v>9</v>
      </c>
      <c r="D116" s="10">
        <v>5</v>
      </c>
      <c r="E116" s="10">
        <v>3</v>
      </c>
      <c r="F116" s="10">
        <v>4</v>
      </c>
      <c r="H116" s="9" t="s">
        <v>28</v>
      </c>
      <c r="I116" s="10">
        <v>2</v>
      </c>
      <c r="J116" s="10">
        <v>0</v>
      </c>
      <c r="K116" s="10">
        <v>0</v>
      </c>
      <c r="L116" s="10">
        <v>1</v>
      </c>
      <c r="M116" s="10">
        <v>1</v>
      </c>
      <c r="O116" s="9" t="s">
        <v>28</v>
      </c>
      <c r="P116" s="10">
        <v>11</v>
      </c>
      <c r="Q116" s="10">
        <v>5</v>
      </c>
      <c r="R116" s="10">
        <v>0</v>
      </c>
      <c r="S116" s="10">
        <v>6</v>
      </c>
      <c r="T116" s="10">
        <v>0</v>
      </c>
    </row>
    <row r="117" spans="1:20" x14ac:dyDescent="0.3">
      <c r="A117" s="9" t="s">
        <v>29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H117" s="9" t="s">
        <v>29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O117" s="9" t="s">
        <v>29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3">
      <c r="A118" s="9" t="s">
        <v>30</v>
      </c>
      <c r="B118" s="10">
        <v>13</v>
      </c>
      <c r="C118" s="10">
        <v>3</v>
      </c>
      <c r="D118" s="10">
        <v>5</v>
      </c>
      <c r="E118" s="10">
        <v>2</v>
      </c>
      <c r="F118" s="10">
        <v>3</v>
      </c>
      <c r="H118" s="9" t="s">
        <v>30</v>
      </c>
      <c r="I118" s="10">
        <v>12</v>
      </c>
      <c r="J118" s="10">
        <v>1</v>
      </c>
      <c r="K118" s="10">
        <v>5</v>
      </c>
      <c r="L118" s="10">
        <v>3</v>
      </c>
      <c r="M118" s="10">
        <v>3</v>
      </c>
      <c r="O118" s="9" t="s">
        <v>30</v>
      </c>
      <c r="P118" s="10">
        <v>6</v>
      </c>
      <c r="Q118" s="10">
        <v>5</v>
      </c>
      <c r="R118" s="10">
        <v>0</v>
      </c>
      <c r="S118" s="10">
        <v>1</v>
      </c>
      <c r="T118" s="10">
        <v>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7</v>
      </c>
      <c r="C120" s="12">
        <v>0</v>
      </c>
      <c r="D120" s="12">
        <v>0</v>
      </c>
      <c r="E120" s="12">
        <v>3</v>
      </c>
      <c r="F120" s="12">
        <v>4</v>
      </c>
      <c r="H120" s="11" t="s">
        <v>32</v>
      </c>
      <c r="I120" s="12">
        <v>6</v>
      </c>
      <c r="J120" s="12">
        <v>1</v>
      </c>
      <c r="K120" s="12">
        <v>1</v>
      </c>
      <c r="L120" s="12">
        <v>3</v>
      </c>
      <c r="M120" s="12">
        <v>1</v>
      </c>
      <c r="O120" s="11" t="s">
        <v>32</v>
      </c>
      <c r="P120" s="12">
        <v>20</v>
      </c>
      <c r="Q120" s="12">
        <v>0</v>
      </c>
      <c r="R120" s="12">
        <v>0</v>
      </c>
      <c r="S120" s="12">
        <v>20</v>
      </c>
      <c r="T120" s="12">
        <v>0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7</v>
      </c>
      <c r="C122" s="14">
        <v>0</v>
      </c>
      <c r="D122" s="14">
        <v>0</v>
      </c>
      <c r="E122" s="14">
        <v>3</v>
      </c>
      <c r="F122" s="14">
        <v>4</v>
      </c>
      <c r="H122" s="13" t="s">
        <v>34</v>
      </c>
      <c r="I122" s="14">
        <v>6</v>
      </c>
      <c r="J122" s="14">
        <v>1</v>
      </c>
      <c r="K122" s="14">
        <v>1</v>
      </c>
      <c r="L122" s="14">
        <v>3</v>
      </c>
      <c r="M122" s="14">
        <v>1</v>
      </c>
      <c r="O122" s="13" t="s">
        <v>34</v>
      </c>
      <c r="P122" s="14">
        <v>20</v>
      </c>
      <c r="Q122" s="14">
        <v>0</v>
      </c>
      <c r="R122" s="14">
        <v>0</v>
      </c>
      <c r="S122" s="14">
        <v>20</v>
      </c>
      <c r="T122" s="14">
        <v>0</v>
      </c>
    </row>
    <row r="123" spans="1:20" x14ac:dyDescent="0.3">
      <c r="A123" s="15" t="s">
        <v>35</v>
      </c>
      <c r="B123" s="16">
        <v>7</v>
      </c>
      <c r="C123" s="16">
        <v>0</v>
      </c>
      <c r="D123" s="16">
        <v>0</v>
      </c>
      <c r="E123" s="16">
        <v>3</v>
      </c>
      <c r="F123" s="16">
        <v>4</v>
      </c>
      <c r="H123" s="15" t="s">
        <v>35</v>
      </c>
      <c r="I123" s="16">
        <v>3</v>
      </c>
      <c r="J123" s="16">
        <v>0</v>
      </c>
      <c r="K123" s="16">
        <v>0</v>
      </c>
      <c r="L123" s="16">
        <v>3</v>
      </c>
      <c r="M123" s="16">
        <v>0</v>
      </c>
      <c r="O123" s="15" t="s">
        <v>35</v>
      </c>
      <c r="P123" s="16">
        <v>20</v>
      </c>
      <c r="Q123" s="16">
        <v>0</v>
      </c>
      <c r="R123" s="16">
        <v>0</v>
      </c>
      <c r="S123" s="16">
        <v>20</v>
      </c>
      <c r="T123" s="16">
        <v>0</v>
      </c>
    </row>
    <row r="124" spans="1:20" x14ac:dyDescent="0.3">
      <c r="A124" s="17" t="s">
        <v>36</v>
      </c>
      <c r="B124" s="18">
        <v>7</v>
      </c>
      <c r="C124" s="18">
        <v>0</v>
      </c>
      <c r="D124" s="18">
        <v>0</v>
      </c>
      <c r="E124" s="18">
        <v>3</v>
      </c>
      <c r="F124" s="18">
        <v>4</v>
      </c>
      <c r="H124" s="17" t="s">
        <v>36</v>
      </c>
      <c r="I124" s="78">
        <v>3</v>
      </c>
      <c r="J124" s="78">
        <v>0</v>
      </c>
      <c r="K124" s="78">
        <v>0</v>
      </c>
      <c r="L124" s="78">
        <v>3</v>
      </c>
      <c r="M124" s="78">
        <v>0</v>
      </c>
      <c r="O124" s="17" t="s">
        <v>36</v>
      </c>
      <c r="P124" s="112">
        <v>20</v>
      </c>
      <c r="Q124" s="112">
        <v>0</v>
      </c>
      <c r="R124" s="112">
        <v>0</v>
      </c>
      <c r="S124" s="112">
        <v>20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7" t="s">
        <v>188</v>
      </c>
      <c r="C126" s="168"/>
      <c r="D126" s="168"/>
      <c r="E126" s="168"/>
      <c r="F126" s="168"/>
      <c r="H126" s="17" t="s">
        <v>38</v>
      </c>
      <c r="I126" s="167" t="s">
        <v>1307</v>
      </c>
      <c r="J126" s="168"/>
      <c r="K126" s="168"/>
      <c r="L126" s="168"/>
      <c r="M126" s="168"/>
      <c r="O126" s="17" t="s">
        <v>38</v>
      </c>
      <c r="P126" s="175" t="s">
        <v>51</v>
      </c>
      <c r="Q126" s="176"/>
      <c r="R126" s="176"/>
      <c r="S126" s="176"/>
      <c r="T126" s="176"/>
    </row>
    <row r="127" spans="1:20" ht="19.8" x14ac:dyDescent="0.3">
      <c r="A127" s="170">
        <v>46091</v>
      </c>
      <c r="B127" s="168"/>
      <c r="C127" s="168"/>
      <c r="D127" s="168"/>
      <c r="E127" s="168"/>
      <c r="F127" s="168"/>
      <c r="H127" s="170">
        <v>46120</v>
      </c>
      <c r="I127" s="168"/>
      <c r="J127" s="168"/>
      <c r="K127" s="168"/>
      <c r="L127" s="168"/>
      <c r="M127" s="168"/>
      <c r="O127" s="170">
        <v>46151</v>
      </c>
      <c r="P127" s="170"/>
      <c r="Q127" s="170"/>
      <c r="R127" s="170"/>
      <c r="S127" s="170"/>
      <c r="T127" s="170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3</v>
      </c>
      <c r="S128" s="1" t="s">
        <v>40</v>
      </c>
      <c r="T128" s="1" t="s">
        <v>871</v>
      </c>
    </row>
    <row r="129" spans="1:20" x14ac:dyDescent="0.3">
      <c r="A129" s="2" t="s">
        <v>5</v>
      </c>
      <c r="B129" s="3">
        <v>3260</v>
      </c>
      <c r="C129" s="3">
        <v>1071</v>
      </c>
      <c r="D129" s="3">
        <v>732</v>
      </c>
      <c r="E129" s="3">
        <v>695</v>
      </c>
      <c r="F129" s="3">
        <v>762</v>
      </c>
      <c r="H129" s="2" t="s">
        <v>5</v>
      </c>
      <c r="I129" s="3">
        <v>3417</v>
      </c>
      <c r="J129" s="3">
        <v>950</v>
      </c>
      <c r="K129" s="3">
        <v>905</v>
      </c>
      <c r="L129" s="3">
        <v>796</v>
      </c>
      <c r="M129" s="3">
        <v>766</v>
      </c>
      <c r="O129" s="2" t="s">
        <v>5</v>
      </c>
      <c r="P129" s="3">
        <v>3943</v>
      </c>
      <c r="Q129" s="3">
        <v>1966</v>
      </c>
      <c r="R129" s="3">
        <v>12</v>
      </c>
      <c r="S129" s="3">
        <v>1965</v>
      </c>
      <c r="T129" s="3">
        <v>0</v>
      </c>
    </row>
    <row r="130" spans="1:20" x14ac:dyDescent="0.3">
      <c r="A130" s="2" t="s">
        <v>6</v>
      </c>
      <c r="B130" s="3">
        <v>88</v>
      </c>
      <c r="C130" s="3">
        <v>20</v>
      </c>
      <c r="D130" s="4">
        <v>21</v>
      </c>
      <c r="E130" s="5">
        <v>25</v>
      </c>
      <c r="F130" s="6">
        <v>22</v>
      </c>
      <c r="H130" s="2" t="s">
        <v>6</v>
      </c>
      <c r="I130" s="3">
        <v>137</v>
      </c>
      <c r="J130" s="3">
        <v>9</v>
      </c>
      <c r="K130" s="5">
        <v>94</v>
      </c>
      <c r="L130" s="6">
        <v>21</v>
      </c>
      <c r="M130" s="4">
        <v>13</v>
      </c>
      <c r="O130" s="2" t="s">
        <v>6</v>
      </c>
      <c r="P130" s="3">
        <v>64</v>
      </c>
      <c r="Q130" s="6">
        <v>11</v>
      </c>
      <c r="R130" s="4">
        <v>9</v>
      </c>
      <c r="S130" s="5">
        <v>44</v>
      </c>
      <c r="T130" s="3">
        <v>0</v>
      </c>
    </row>
    <row r="131" spans="1:20" x14ac:dyDescent="0.3">
      <c r="A131" s="2" t="s">
        <v>7</v>
      </c>
      <c r="B131" s="3" t="s">
        <v>388</v>
      </c>
      <c r="C131" s="3" t="s">
        <v>389</v>
      </c>
      <c r="D131" s="4" t="s">
        <v>390</v>
      </c>
      <c r="E131" s="5" t="s">
        <v>226</v>
      </c>
      <c r="F131" s="6" t="s">
        <v>70</v>
      </c>
      <c r="H131" s="2" t="s">
        <v>7</v>
      </c>
      <c r="I131" s="3" t="s">
        <v>1348</v>
      </c>
      <c r="J131" s="3" t="s">
        <v>404</v>
      </c>
      <c r="K131" s="5" t="s">
        <v>400</v>
      </c>
      <c r="L131" s="6" t="s">
        <v>105</v>
      </c>
      <c r="M131" s="4" t="s">
        <v>714</v>
      </c>
      <c r="O131" s="2" t="s">
        <v>7</v>
      </c>
      <c r="P131" s="3" t="s">
        <v>1502</v>
      </c>
      <c r="Q131" s="4" t="s">
        <v>65</v>
      </c>
      <c r="R131" s="5" t="s">
        <v>1707</v>
      </c>
      <c r="S131" s="6" t="s">
        <v>1019</v>
      </c>
      <c r="T131" s="3">
        <v>0</v>
      </c>
    </row>
    <row r="132" spans="1:20" x14ac:dyDescent="0.3">
      <c r="A132" s="2" t="s">
        <v>12</v>
      </c>
      <c r="B132" s="3" t="s">
        <v>391</v>
      </c>
      <c r="C132" s="3" t="s">
        <v>389</v>
      </c>
      <c r="D132" s="6" t="s">
        <v>390</v>
      </c>
      <c r="E132" s="5" t="s">
        <v>392</v>
      </c>
      <c r="F132" s="4" t="s">
        <v>393</v>
      </c>
      <c r="H132" s="2" t="s">
        <v>12</v>
      </c>
      <c r="I132" s="3" t="s">
        <v>992</v>
      </c>
      <c r="J132" s="3" t="s">
        <v>404</v>
      </c>
      <c r="K132" s="5" t="s">
        <v>1349</v>
      </c>
      <c r="L132" s="6" t="s">
        <v>403</v>
      </c>
      <c r="M132" s="4" t="s">
        <v>559</v>
      </c>
      <c r="O132" s="2" t="s">
        <v>12</v>
      </c>
      <c r="P132" s="3" t="s">
        <v>505</v>
      </c>
      <c r="Q132" s="4" t="s">
        <v>65</v>
      </c>
      <c r="R132" s="5" t="s">
        <v>1707</v>
      </c>
      <c r="S132" s="6" t="s">
        <v>240</v>
      </c>
      <c r="T132" s="3">
        <v>0</v>
      </c>
    </row>
    <row r="133" spans="1:20" x14ac:dyDescent="0.3">
      <c r="A133" s="2" t="s">
        <v>17</v>
      </c>
      <c r="B133" s="48">
        <f>B131-B132</f>
        <v>1.1999999999999997E-3</v>
      </c>
      <c r="C133" s="3" t="s">
        <v>25</v>
      </c>
      <c r="D133" s="3" t="s">
        <v>25</v>
      </c>
      <c r="E133" s="50">
        <f>E131-E132</f>
        <v>4.2999999999999983E-3</v>
      </c>
      <c r="F133" s="50">
        <f>F131-F132</f>
        <v>1.2999999999999991E-3</v>
      </c>
      <c r="H133" s="2" t="s">
        <v>17</v>
      </c>
      <c r="I133" s="48">
        <f>I131-I132</f>
        <v>2.5999999999999981E-3</v>
      </c>
      <c r="J133" s="48" t="s">
        <v>25</v>
      </c>
      <c r="K133" s="59" t="s">
        <v>418</v>
      </c>
      <c r="L133" s="50">
        <f>L131-L132</f>
        <v>3.8000000000000013E-3</v>
      </c>
      <c r="M133" s="50">
        <f>M131-M132</f>
        <v>3.9000000000000007E-3</v>
      </c>
      <c r="O133" s="2" t="s">
        <v>17</v>
      </c>
      <c r="P133" s="48">
        <f>P141/P129</f>
        <v>4.3114379913771241E-3</v>
      </c>
      <c r="Q133" s="3" t="s">
        <v>25</v>
      </c>
      <c r="R133" s="3" t="s">
        <v>25</v>
      </c>
      <c r="S133" s="50">
        <f>S141/S129</f>
        <v>8.6513994910941468E-3</v>
      </c>
      <c r="T133" s="3" t="s">
        <v>25</v>
      </c>
    </row>
    <row r="134" spans="1:20" x14ac:dyDescent="0.3">
      <c r="A134" s="2" t="s">
        <v>22</v>
      </c>
      <c r="B134" s="3" t="s">
        <v>102</v>
      </c>
      <c r="C134" s="3" t="s">
        <v>25</v>
      </c>
      <c r="D134" s="3" t="s">
        <v>25</v>
      </c>
      <c r="E134" s="5" t="s">
        <v>157</v>
      </c>
      <c r="F134" s="6" t="s">
        <v>75</v>
      </c>
      <c r="H134" s="2" t="s">
        <v>22</v>
      </c>
      <c r="I134" s="3" t="s">
        <v>84</v>
      </c>
      <c r="J134" s="3" t="s">
        <v>25</v>
      </c>
      <c r="K134" s="3" t="s">
        <v>25</v>
      </c>
      <c r="L134" s="6" t="s">
        <v>75</v>
      </c>
      <c r="M134" s="5" t="s">
        <v>101</v>
      </c>
      <c r="O134" s="2" t="s">
        <v>22</v>
      </c>
      <c r="P134" s="3" t="s">
        <v>317</v>
      </c>
      <c r="Q134" s="3" t="s">
        <v>25</v>
      </c>
      <c r="R134" s="5" t="s">
        <v>173</v>
      </c>
      <c r="S134" s="6" t="s">
        <v>45</v>
      </c>
      <c r="T134" s="3" t="s">
        <v>25</v>
      </c>
    </row>
    <row r="135" spans="1:20" x14ac:dyDescent="0.3">
      <c r="A135" s="7" t="s">
        <v>26</v>
      </c>
      <c r="B135" s="8">
        <v>84</v>
      </c>
      <c r="C135" s="8">
        <v>20</v>
      </c>
      <c r="D135" s="8">
        <v>21</v>
      </c>
      <c r="E135" s="8">
        <v>22</v>
      </c>
      <c r="F135" s="8">
        <v>21</v>
      </c>
      <c r="H135" s="7" t="s">
        <v>26</v>
      </c>
      <c r="I135" s="8">
        <v>128</v>
      </c>
      <c r="J135" s="8">
        <v>9</v>
      </c>
      <c r="K135" s="8">
        <v>91</v>
      </c>
      <c r="L135" s="8">
        <v>18</v>
      </c>
      <c r="M135" s="8">
        <v>10</v>
      </c>
      <c r="O135" s="7" t="s">
        <v>26</v>
      </c>
      <c r="P135" s="8">
        <v>47</v>
      </c>
      <c r="Q135" s="8">
        <v>11</v>
      </c>
      <c r="R135" s="8">
        <v>9</v>
      </c>
      <c r="S135" s="8">
        <v>27</v>
      </c>
      <c r="T135" s="8">
        <v>0</v>
      </c>
    </row>
    <row r="136" spans="1:20" x14ac:dyDescent="0.3">
      <c r="A136" s="9" t="s">
        <v>27</v>
      </c>
      <c r="B136" s="10">
        <v>19</v>
      </c>
      <c r="C136" s="10">
        <v>4</v>
      </c>
      <c r="D136" s="10">
        <v>3</v>
      </c>
      <c r="E136" s="10">
        <v>5</v>
      </c>
      <c r="F136" s="10">
        <v>7</v>
      </c>
      <c r="H136" s="9" t="s">
        <v>27</v>
      </c>
      <c r="I136" s="10">
        <v>46</v>
      </c>
      <c r="J136" s="10">
        <v>9</v>
      </c>
      <c r="K136" s="10">
        <v>17</v>
      </c>
      <c r="L136" s="10">
        <v>13</v>
      </c>
      <c r="M136" s="10">
        <v>7</v>
      </c>
      <c r="O136" s="9" t="s">
        <v>27</v>
      </c>
      <c r="P136" s="10">
        <v>18</v>
      </c>
      <c r="Q136" s="10">
        <v>7</v>
      </c>
      <c r="R136" s="10">
        <v>0</v>
      </c>
      <c r="S136" s="10">
        <v>11</v>
      </c>
      <c r="T136" s="10">
        <v>0</v>
      </c>
    </row>
    <row r="137" spans="1:20" x14ac:dyDescent="0.3">
      <c r="A137" s="9" t="s">
        <v>28</v>
      </c>
      <c r="B137" s="10">
        <v>35</v>
      </c>
      <c r="C137" s="10">
        <v>12</v>
      </c>
      <c r="D137" s="10">
        <v>8</v>
      </c>
      <c r="E137" s="10">
        <v>10</v>
      </c>
      <c r="F137" s="10">
        <v>5</v>
      </c>
      <c r="H137" s="9" t="s">
        <v>28</v>
      </c>
      <c r="I137" s="10">
        <v>6</v>
      </c>
      <c r="J137" s="10">
        <v>0</v>
      </c>
      <c r="K137" s="10">
        <v>0</v>
      </c>
      <c r="L137" s="10">
        <v>4</v>
      </c>
      <c r="M137" s="10">
        <v>2</v>
      </c>
      <c r="O137" s="9" t="s">
        <v>28</v>
      </c>
      <c r="P137" s="10">
        <v>8</v>
      </c>
      <c r="Q137" s="10">
        <v>1</v>
      </c>
      <c r="R137" s="10">
        <v>0</v>
      </c>
      <c r="S137" s="10">
        <v>7</v>
      </c>
      <c r="T137" s="10">
        <v>0</v>
      </c>
    </row>
    <row r="138" spans="1:20" x14ac:dyDescent="0.3">
      <c r="A138" s="9" t="s">
        <v>29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H138" s="9" t="s">
        <v>29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30</v>
      </c>
      <c r="C139" s="10">
        <v>4</v>
      </c>
      <c r="D139" s="10">
        <v>10</v>
      </c>
      <c r="E139" s="10">
        <v>7</v>
      </c>
      <c r="F139" s="10">
        <v>9</v>
      </c>
      <c r="H139" s="9" t="s">
        <v>30</v>
      </c>
      <c r="I139" s="10">
        <v>76</v>
      </c>
      <c r="J139" s="10">
        <v>0</v>
      </c>
      <c r="K139" s="10">
        <v>74</v>
      </c>
      <c r="L139" s="10">
        <v>1</v>
      </c>
      <c r="M139" s="10">
        <v>1</v>
      </c>
      <c r="O139" s="9" t="s">
        <v>30</v>
      </c>
      <c r="P139" s="10">
        <v>21</v>
      </c>
      <c r="Q139" s="10">
        <v>3</v>
      </c>
      <c r="R139" s="10">
        <v>9</v>
      </c>
      <c r="S139" s="10">
        <v>9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</v>
      </c>
      <c r="C141" s="12">
        <v>0</v>
      </c>
      <c r="D141" s="12">
        <v>0</v>
      </c>
      <c r="E141" s="12">
        <v>3</v>
      </c>
      <c r="F141" s="12">
        <v>1</v>
      </c>
      <c r="H141" s="11" t="s">
        <v>32</v>
      </c>
      <c r="I141" s="12">
        <v>8</v>
      </c>
      <c r="J141" s="12">
        <v>0</v>
      </c>
      <c r="K141" s="12">
        <v>3</v>
      </c>
      <c r="L141" s="12">
        <v>2</v>
      </c>
      <c r="M141" s="12">
        <v>3</v>
      </c>
      <c r="O141" s="11" t="s">
        <v>32</v>
      </c>
      <c r="P141" s="12">
        <v>17</v>
      </c>
      <c r="Q141" s="12">
        <v>0</v>
      </c>
      <c r="R141" s="12">
        <v>0</v>
      </c>
      <c r="S141" s="12">
        <v>17</v>
      </c>
      <c r="T141" s="12">
        <v>0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4</v>
      </c>
      <c r="C143" s="14">
        <v>0</v>
      </c>
      <c r="D143" s="14">
        <v>0</v>
      </c>
      <c r="E143" s="14">
        <v>3</v>
      </c>
      <c r="F143" s="14">
        <v>1</v>
      </c>
      <c r="H143" s="13" t="s">
        <v>34</v>
      </c>
      <c r="I143" s="14">
        <v>8</v>
      </c>
      <c r="J143" s="14">
        <v>0</v>
      </c>
      <c r="K143" s="14">
        <v>3</v>
      </c>
      <c r="L143" s="14">
        <v>2</v>
      </c>
      <c r="M143" s="14">
        <v>3</v>
      </c>
      <c r="O143" s="13" t="s">
        <v>34</v>
      </c>
      <c r="P143" s="14">
        <v>17</v>
      </c>
      <c r="Q143" s="14">
        <v>0</v>
      </c>
      <c r="R143" s="14">
        <v>0</v>
      </c>
      <c r="S143" s="14">
        <v>17</v>
      </c>
      <c r="T143" s="14">
        <v>0</v>
      </c>
    </row>
    <row r="144" spans="1:20" x14ac:dyDescent="0.3">
      <c r="A144" s="15" t="s">
        <v>35</v>
      </c>
      <c r="B144" s="16">
        <v>4</v>
      </c>
      <c r="C144" s="16">
        <v>0</v>
      </c>
      <c r="D144" s="16">
        <v>0</v>
      </c>
      <c r="E144" s="16">
        <v>3</v>
      </c>
      <c r="F144" s="16">
        <v>1</v>
      </c>
      <c r="H144" s="15" t="s">
        <v>35</v>
      </c>
      <c r="I144" s="16">
        <v>3</v>
      </c>
      <c r="J144" s="16">
        <v>0</v>
      </c>
      <c r="K144" s="16">
        <v>0</v>
      </c>
      <c r="L144" s="16">
        <v>1</v>
      </c>
      <c r="M144" s="16">
        <v>2</v>
      </c>
      <c r="O144" s="15" t="s">
        <v>35</v>
      </c>
      <c r="P144" s="16">
        <v>18</v>
      </c>
      <c r="Q144" s="16">
        <v>0</v>
      </c>
      <c r="R144" s="16">
        <v>1</v>
      </c>
      <c r="S144" s="16">
        <v>17</v>
      </c>
      <c r="T144" s="16">
        <v>0</v>
      </c>
    </row>
    <row r="145" spans="1:20" x14ac:dyDescent="0.3">
      <c r="A145" s="17" t="s">
        <v>36</v>
      </c>
      <c r="B145" s="18">
        <v>4</v>
      </c>
      <c r="C145" s="18">
        <v>0</v>
      </c>
      <c r="D145" s="18">
        <v>0</v>
      </c>
      <c r="E145" s="18">
        <v>3</v>
      </c>
      <c r="F145" s="18">
        <v>1</v>
      </c>
      <c r="H145" s="17" t="s">
        <v>36</v>
      </c>
      <c r="I145" s="78">
        <v>3</v>
      </c>
      <c r="J145" s="78">
        <v>0</v>
      </c>
      <c r="K145" s="78">
        <v>0</v>
      </c>
      <c r="L145" s="78">
        <v>1</v>
      </c>
      <c r="M145" s="78">
        <v>2</v>
      </c>
      <c r="O145" s="17" t="s">
        <v>36</v>
      </c>
      <c r="P145" s="112">
        <v>17</v>
      </c>
      <c r="Q145" s="112">
        <v>0</v>
      </c>
      <c r="R145" s="112">
        <v>0</v>
      </c>
      <c r="S145" s="112">
        <v>17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O146" s="17" t="s">
        <v>37</v>
      </c>
      <c r="P146" s="112">
        <v>1</v>
      </c>
      <c r="Q146" s="112">
        <v>0</v>
      </c>
      <c r="R146" s="112">
        <v>1</v>
      </c>
      <c r="S146" s="112">
        <v>0</v>
      </c>
      <c r="T146" s="112">
        <v>0</v>
      </c>
    </row>
    <row r="147" spans="1:20" x14ac:dyDescent="0.3">
      <c r="A147" s="17" t="s">
        <v>38</v>
      </c>
      <c r="B147" s="167" t="s">
        <v>188</v>
      </c>
      <c r="C147" s="168"/>
      <c r="D147" s="168"/>
      <c r="E147" s="168"/>
      <c r="F147" s="168"/>
      <c r="H147" s="17" t="s">
        <v>38</v>
      </c>
      <c r="I147" s="167" t="s">
        <v>1307</v>
      </c>
      <c r="J147" s="168"/>
      <c r="K147" s="168"/>
      <c r="L147" s="168"/>
      <c r="M147" s="168"/>
      <c r="O147" s="17" t="s">
        <v>38</v>
      </c>
      <c r="P147" s="175" t="s">
        <v>51</v>
      </c>
      <c r="Q147" s="176"/>
      <c r="R147" s="176"/>
      <c r="S147" s="176"/>
      <c r="T147" s="176"/>
    </row>
    <row r="148" spans="1:20" ht="19.8" x14ac:dyDescent="0.3">
      <c r="A148" s="170">
        <v>46092</v>
      </c>
      <c r="B148" s="168"/>
      <c r="C148" s="168"/>
      <c r="D148" s="168"/>
      <c r="E148" s="168"/>
      <c r="F148" s="168"/>
      <c r="H148" s="170">
        <v>46121</v>
      </c>
      <c r="I148" s="168"/>
      <c r="J148" s="168"/>
      <c r="K148" s="168"/>
      <c r="L148" s="168"/>
      <c r="M148" s="168"/>
      <c r="O148" s="174" t="s">
        <v>1516</v>
      </c>
      <c r="P148" s="174"/>
      <c r="Q148" s="174"/>
      <c r="R148" s="174"/>
      <c r="S148" s="174"/>
      <c r="T148" s="174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760</v>
      </c>
      <c r="S149" s="1" t="s">
        <v>40</v>
      </c>
      <c r="T149" s="1" t="s">
        <v>871</v>
      </c>
    </row>
    <row r="150" spans="1:20" x14ac:dyDescent="0.3">
      <c r="A150" s="2" t="s">
        <v>5</v>
      </c>
      <c r="B150" s="3">
        <v>2060</v>
      </c>
      <c r="C150" s="3">
        <v>702</v>
      </c>
      <c r="D150" s="3">
        <v>551</v>
      </c>
      <c r="E150" s="3">
        <v>495</v>
      </c>
      <c r="F150" s="3">
        <v>312</v>
      </c>
      <c r="H150" s="2" t="s">
        <v>5</v>
      </c>
      <c r="I150" s="3">
        <v>3337</v>
      </c>
      <c r="J150" s="3">
        <v>953</v>
      </c>
      <c r="K150" s="3">
        <v>885</v>
      </c>
      <c r="L150" s="3">
        <v>771</v>
      </c>
      <c r="M150" s="3">
        <v>728</v>
      </c>
      <c r="O150" s="2" t="s">
        <v>5</v>
      </c>
      <c r="P150" s="3">
        <v>3063</v>
      </c>
      <c r="Q150" s="3">
        <v>1609</v>
      </c>
      <c r="R150" s="3">
        <v>0</v>
      </c>
      <c r="S150" s="3">
        <v>1454</v>
      </c>
      <c r="T150" s="3">
        <v>0</v>
      </c>
    </row>
    <row r="151" spans="1:20" x14ac:dyDescent="0.3">
      <c r="A151" s="2" t="s">
        <v>6</v>
      </c>
      <c r="B151" s="3">
        <v>50</v>
      </c>
      <c r="C151" s="5">
        <v>16</v>
      </c>
      <c r="D151" s="6">
        <v>9</v>
      </c>
      <c r="E151" s="5">
        <v>16</v>
      </c>
      <c r="F151" s="6">
        <v>9</v>
      </c>
      <c r="H151" s="2" t="s">
        <v>6</v>
      </c>
      <c r="I151" s="3">
        <v>139</v>
      </c>
      <c r="J151" s="6">
        <v>46</v>
      </c>
      <c r="K151" s="5">
        <v>61</v>
      </c>
      <c r="L151" s="4">
        <v>20</v>
      </c>
      <c r="M151" s="3">
        <v>12</v>
      </c>
      <c r="O151" s="2" t="s">
        <v>6</v>
      </c>
      <c r="P151" s="3">
        <v>60</v>
      </c>
      <c r="Q151" s="6">
        <v>24</v>
      </c>
      <c r="R151" s="3">
        <v>0</v>
      </c>
      <c r="S151" s="5">
        <v>36</v>
      </c>
      <c r="T151" s="3">
        <v>0</v>
      </c>
    </row>
    <row r="152" spans="1:20" x14ac:dyDescent="0.3">
      <c r="A152" s="2" t="s">
        <v>7</v>
      </c>
      <c r="B152" s="3" t="s">
        <v>427</v>
      </c>
      <c r="C152" s="4" t="s">
        <v>201</v>
      </c>
      <c r="D152" s="3" t="s">
        <v>428</v>
      </c>
      <c r="E152" s="5" t="s">
        <v>429</v>
      </c>
      <c r="F152" s="6" t="s">
        <v>430</v>
      </c>
      <c r="H152" s="2" t="s">
        <v>7</v>
      </c>
      <c r="I152" s="3" t="s">
        <v>489</v>
      </c>
      <c r="J152" s="6" t="s">
        <v>1365</v>
      </c>
      <c r="K152" s="5" t="s">
        <v>658</v>
      </c>
      <c r="L152" s="4" t="s">
        <v>357</v>
      </c>
      <c r="M152" s="3" t="s">
        <v>182</v>
      </c>
      <c r="O152" s="2" t="s">
        <v>7</v>
      </c>
      <c r="P152" s="3" t="s">
        <v>1072</v>
      </c>
      <c r="Q152" s="6" t="s">
        <v>362</v>
      </c>
      <c r="R152" s="3">
        <v>0</v>
      </c>
      <c r="S152" s="5" t="s">
        <v>541</v>
      </c>
      <c r="T152" s="3">
        <v>0</v>
      </c>
    </row>
    <row r="153" spans="1:20" x14ac:dyDescent="0.3">
      <c r="A153" s="2" t="s">
        <v>12</v>
      </c>
      <c r="B153" s="3" t="s">
        <v>338</v>
      </c>
      <c r="C153" s="5" t="s">
        <v>201</v>
      </c>
      <c r="D153" s="6" t="s">
        <v>428</v>
      </c>
      <c r="E153" s="3" t="s">
        <v>431</v>
      </c>
      <c r="F153" s="4" t="s">
        <v>432</v>
      </c>
      <c r="H153" s="2" t="s">
        <v>12</v>
      </c>
      <c r="I153" s="3" t="s">
        <v>849</v>
      </c>
      <c r="J153" s="6" t="s">
        <v>1366</v>
      </c>
      <c r="K153" s="5" t="s">
        <v>315</v>
      </c>
      <c r="L153" s="4" t="s">
        <v>577</v>
      </c>
      <c r="M153" s="3" t="s">
        <v>240</v>
      </c>
      <c r="O153" s="2" t="s">
        <v>12</v>
      </c>
      <c r="P153" s="3" t="s">
        <v>282</v>
      </c>
      <c r="Q153" s="6" t="s">
        <v>362</v>
      </c>
      <c r="R153" s="3">
        <v>0</v>
      </c>
      <c r="S153" s="5" t="s">
        <v>1396</v>
      </c>
      <c r="T153" s="3">
        <v>0</v>
      </c>
    </row>
    <row r="154" spans="1:20" x14ac:dyDescent="0.3">
      <c r="A154" s="2" t="s">
        <v>17</v>
      </c>
      <c r="B154" s="3" t="s">
        <v>152</v>
      </c>
      <c r="C154" s="3" t="s">
        <v>25</v>
      </c>
      <c r="D154" s="3" t="s">
        <v>25</v>
      </c>
      <c r="E154" s="5" t="s">
        <v>433</v>
      </c>
      <c r="F154" s="6" t="s">
        <v>434</v>
      </c>
      <c r="H154" s="2" t="s">
        <v>17</v>
      </c>
      <c r="I154" s="48">
        <f>I152-I153</f>
        <v>1.5000000000000013E-3</v>
      </c>
      <c r="J154" s="60" t="s">
        <v>81</v>
      </c>
      <c r="K154" s="59" t="s">
        <v>49</v>
      </c>
      <c r="L154" s="50">
        <f>L152-L153</f>
        <v>1.2999999999999991E-3</v>
      </c>
      <c r="M154" s="50">
        <f>M152-M153</f>
        <v>2.8000000000000004E-3</v>
      </c>
      <c r="O154" s="2" t="s">
        <v>17</v>
      </c>
      <c r="P154" s="48">
        <f>P162/P150</f>
        <v>9.7943192948090111E-4</v>
      </c>
      <c r="Q154" s="3" t="s">
        <v>25</v>
      </c>
      <c r="R154" s="3" t="s">
        <v>25</v>
      </c>
      <c r="S154" s="50">
        <f>S162/S150</f>
        <v>2.0632737276478678E-3</v>
      </c>
      <c r="T154" s="3" t="s">
        <v>25</v>
      </c>
    </row>
    <row r="155" spans="1:20" x14ac:dyDescent="0.3">
      <c r="A155" s="2" t="s">
        <v>22</v>
      </c>
      <c r="B155" s="3" t="s">
        <v>152</v>
      </c>
      <c r="C155" s="3" t="s">
        <v>25</v>
      </c>
      <c r="D155" s="3" t="s">
        <v>25</v>
      </c>
      <c r="E155" s="5" t="s">
        <v>433</v>
      </c>
      <c r="F155" s="6" t="s">
        <v>434</v>
      </c>
      <c r="H155" s="2" t="s">
        <v>22</v>
      </c>
      <c r="I155" s="3" t="s">
        <v>268</v>
      </c>
      <c r="J155" s="3" t="s">
        <v>25</v>
      </c>
      <c r="K155" s="3" t="s">
        <v>25</v>
      </c>
      <c r="L155" s="6" t="s">
        <v>75</v>
      </c>
      <c r="M155" s="5" t="s">
        <v>310</v>
      </c>
      <c r="O155" s="2" t="s">
        <v>22</v>
      </c>
      <c r="P155" s="3" t="s">
        <v>81</v>
      </c>
      <c r="Q155" s="3" t="s">
        <v>25</v>
      </c>
      <c r="R155" s="3" t="s">
        <v>25</v>
      </c>
      <c r="S155" s="5" t="s">
        <v>77</v>
      </c>
      <c r="T155" s="3" t="s">
        <v>25</v>
      </c>
    </row>
    <row r="156" spans="1:20" x14ac:dyDescent="0.3">
      <c r="A156" s="7" t="s">
        <v>26</v>
      </c>
      <c r="B156" s="8">
        <v>37</v>
      </c>
      <c r="C156" s="8">
        <v>16</v>
      </c>
      <c r="D156" s="8">
        <v>9</v>
      </c>
      <c r="E156" s="8">
        <v>7</v>
      </c>
      <c r="F156" s="8">
        <v>5</v>
      </c>
      <c r="H156" s="7" t="s">
        <v>26</v>
      </c>
      <c r="I156" s="8">
        <v>134</v>
      </c>
      <c r="J156" s="8">
        <v>45</v>
      </c>
      <c r="K156" s="8">
        <v>60</v>
      </c>
      <c r="L156" s="8">
        <v>19</v>
      </c>
      <c r="M156" s="8">
        <v>10</v>
      </c>
      <c r="O156" s="7" t="s">
        <v>26</v>
      </c>
      <c r="P156" s="8">
        <v>57</v>
      </c>
      <c r="Q156" s="8">
        <v>24</v>
      </c>
      <c r="R156" s="8">
        <v>0</v>
      </c>
      <c r="S156" s="8">
        <v>33</v>
      </c>
      <c r="T156" s="8">
        <v>0</v>
      </c>
    </row>
    <row r="157" spans="1:20" x14ac:dyDescent="0.3">
      <c r="A157" s="9" t="s">
        <v>27</v>
      </c>
      <c r="B157" s="10">
        <v>8</v>
      </c>
      <c r="C157" s="10">
        <v>1</v>
      </c>
      <c r="D157" s="10">
        <v>2</v>
      </c>
      <c r="E157" s="10">
        <v>3</v>
      </c>
      <c r="F157" s="10">
        <v>2</v>
      </c>
      <c r="H157" s="9" t="s">
        <v>27</v>
      </c>
      <c r="I157" s="10">
        <v>48</v>
      </c>
      <c r="J157" s="10">
        <v>13</v>
      </c>
      <c r="K157" s="10">
        <v>16</v>
      </c>
      <c r="L157" s="10">
        <v>12</v>
      </c>
      <c r="M157" s="10">
        <v>7</v>
      </c>
      <c r="O157" s="9" t="s">
        <v>27</v>
      </c>
      <c r="P157" s="10">
        <v>6</v>
      </c>
      <c r="Q157" s="10">
        <v>3</v>
      </c>
      <c r="R157" s="10">
        <v>0</v>
      </c>
      <c r="S157" s="10">
        <v>3</v>
      </c>
      <c r="T157" s="10">
        <v>0</v>
      </c>
    </row>
    <row r="158" spans="1:20" x14ac:dyDescent="0.3">
      <c r="A158" s="9" t="s">
        <v>28</v>
      </c>
      <c r="B158" s="10">
        <v>18</v>
      </c>
      <c r="C158" s="10">
        <v>10</v>
      </c>
      <c r="D158" s="10">
        <v>4</v>
      </c>
      <c r="E158" s="10">
        <v>3</v>
      </c>
      <c r="F158" s="10">
        <v>1</v>
      </c>
      <c r="H158" s="9" t="s">
        <v>28</v>
      </c>
      <c r="I158" s="10">
        <v>2</v>
      </c>
      <c r="J158" s="10">
        <v>0</v>
      </c>
      <c r="K158" s="10">
        <v>1</v>
      </c>
      <c r="L158" s="10">
        <v>1</v>
      </c>
      <c r="M158" s="10">
        <v>0</v>
      </c>
      <c r="O158" s="9" t="s">
        <v>28</v>
      </c>
      <c r="P158" s="10">
        <v>32</v>
      </c>
      <c r="Q158" s="10">
        <v>16</v>
      </c>
      <c r="R158" s="10">
        <v>0</v>
      </c>
      <c r="S158" s="10">
        <v>16</v>
      </c>
      <c r="T158" s="10">
        <v>0</v>
      </c>
    </row>
    <row r="159" spans="1:20" x14ac:dyDescent="0.3">
      <c r="A159" s="9" t="s">
        <v>29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H159" s="9" t="s">
        <v>29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O159" s="9" t="s">
        <v>29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3">
      <c r="A160" s="9" t="s">
        <v>30</v>
      </c>
      <c r="B160" s="10">
        <v>11</v>
      </c>
      <c r="C160" s="10">
        <v>5</v>
      </c>
      <c r="D160" s="10">
        <v>3</v>
      </c>
      <c r="E160" s="10">
        <v>1</v>
      </c>
      <c r="F160" s="10">
        <v>2</v>
      </c>
      <c r="H160" s="9" t="s">
        <v>30</v>
      </c>
      <c r="I160" s="10">
        <v>84</v>
      </c>
      <c r="J160" s="10">
        <v>32</v>
      </c>
      <c r="K160" s="10">
        <v>43</v>
      </c>
      <c r="L160" s="10">
        <v>6</v>
      </c>
      <c r="M160" s="10">
        <v>3</v>
      </c>
      <c r="O160" s="9" t="s">
        <v>30</v>
      </c>
      <c r="P160" s="10">
        <v>19</v>
      </c>
      <c r="Q160" s="10">
        <v>5</v>
      </c>
      <c r="R160" s="10">
        <v>0</v>
      </c>
      <c r="S160" s="10">
        <v>14</v>
      </c>
      <c r="T160" s="10">
        <v>0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13</v>
      </c>
      <c r="C162" s="12">
        <v>0</v>
      </c>
      <c r="D162" s="12">
        <v>0</v>
      </c>
      <c r="E162" s="12">
        <v>9</v>
      </c>
      <c r="F162" s="12">
        <v>4</v>
      </c>
      <c r="H162" s="11" t="s">
        <v>32</v>
      </c>
      <c r="I162" s="12">
        <v>5</v>
      </c>
      <c r="J162" s="12">
        <v>1</v>
      </c>
      <c r="K162" s="12">
        <v>1</v>
      </c>
      <c r="L162" s="12">
        <v>1</v>
      </c>
      <c r="M162" s="12">
        <v>2</v>
      </c>
      <c r="O162" s="11" t="s">
        <v>32</v>
      </c>
      <c r="P162" s="12">
        <v>3</v>
      </c>
      <c r="Q162" s="12">
        <v>0</v>
      </c>
      <c r="R162" s="12">
        <v>0</v>
      </c>
      <c r="S162" s="12">
        <v>3</v>
      </c>
      <c r="T162" s="12">
        <v>0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13</v>
      </c>
      <c r="C164" s="14">
        <v>0</v>
      </c>
      <c r="D164" s="14">
        <v>0</v>
      </c>
      <c r="E164" s="14">
        <v>9</v>
      </c>
      <c r="F164" s="14">
        <v>4</v>
      </c>
      <c r="H164" s="13" t="s">
        <v>34</v>
      </c>
      <c r="I164" s="14">
        <v>5</v>
      </c>
      <c r="J164" s="14">
        <v>1</v>
      </c>
      <c r="K164" s="14">
        <v>1</v>
      </c>
      <c r="L164" s="14">
        <v>1</v>
      </c>
      <c r="M164" s="14">
        <v>2</v>
      </c>
      <c r="O164" s="13" t="s">
        <v>34</v>
      </c>
      <c r="P164" s="14">
        <v>3</v>
      </c>
      <c r="Q164" s="14">
        <v>0</v>
      </c>
      <c r="R164" s="14">
        <v>0</v>
      </c>
      <c r="S164" s="14">
        <v>3</v>
      </c>
      <c r="T164" s="14">
        <v>0</v>
      </c>
    </row>
    <row r="165" spans="1:20" x14ac:dyDescent="0.3">
      <c r="A165" s="15" t="s">
        <v>35</v>
      </c>
      <c r="B165" s="16">
        <v>13</v>
      </c>
      <c r="C165" s="16">
        <v>0</v>
      </c>
      <c r="D165" s="16">
        <v>0</v>
      </c>
      <c r="E165" s="16">
        <v>9</v>
      </c>
      <c r="F165" s="16">
        <v>4</v>
      </c>
      <c r="H165" s="15" t="s">
        <v>35</v>
      </c>
      <c r="I165" s="16">
        <v>2</v>
      </c>
      <c r="J165" s="16">
        <v>0</v>
      </c>
      <c r="K165" s="16">
        <v>0</v>
      </c>
      <c r="L165" s="16">
        <v>1</v>
      </c>
      <c r="M165" s="16">
        <v>1</v>
      </c>
      <c r="O165" s="15" t="s">
        <v>35</v>
      </c>
      <c r="P165" s="16">
        <v>3</v>
      </c>
      <c r="Q165" s="16">
        <v>0</v>
      </c>
      <c r="R165" s="16">
        <v>0</v>
      </c>
      <c r="S165" s="16">
        <v>3</v>
      </c>
      <c r="T165" s="16">
        <v>0</v>
      </c>
    </row>
    <row r="166" spans="1:20" x14ac:dyDescent="0.3">
      <c r="A166" s="17" t="s">
        <v>36</v>
      </c>
      <c r="B166" s="18">
        <v>13</v>
      </c>
      <c r="C166" s="18">
        <v>0</v>
      </c>
      <c r="D166" s="18">
        <v>0</v>
      </c>
      <c r="E166" s="18">
        <v>9</v>
      </c>
      <c r="F166" s="18">
        <v>4</v>
      </c>
      <c r="H166" s="17" t="s">
        <v>36</v>
      </c>
      <c r="I166" s="78">
        <v>2</v>
      </c>
      <c r="J166" s="78">
        <v>0</v>
      </c>
      <c r="K166" s="78">
        <v>0</v>
      </c>
      <c r="L166" s="78">
        <v>1</v>
      </c>
      <c r="M166" s="78">
        <v>1</v>
      </c>
      <c r="O166" s="17" t="s">
        <v>36</v>
      </c>
      <c r="P166" s="112">
        <v>3</v>
      </c>
      <c r="Q166" s="112">
        <v>0</v>
      </c>
      <c r="R166" s="112">
        <v>0</v>
      </c>
      <c r="S166" s="112">
        <v>3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67" t="s">
        <v>188</v>
      </c>
      <c r="C168" s="168"/>
      <c r="D168" s="168"/>
      <c r="E168" s="168"/>
      <c r="F168" s="168"/>
      <c r="H168" s="17" t="s">
        <v>38</v>
      </c>
      <c r="I168" s="167" t="s">
        <v>1307</v>
      </c>
      <c r="J168" s="168"/>
      <c r="K168" s="168"/>
      <c r="L168" s="168"/>
      <c r="M168" s="168"/>
      <c r="O168" s="17" t="s">
        <v>38</v>
      </c>
      <c r="P168" s="172" t="s">
        <v>188</v>
      </c>
      <c r="Q168" s="173"/>
      <c r="R168" s="173"/>
      <c r="S168" s="173"/>
      <c r="T168" s="173"/>
    </row>
    <row r="169" spans="1:20" ht="19.8" x14ac:dyDescent="0.3">
      <c r="A169" s="170">
        <v>46093</v>
      </c>
      <c r="B169" s="168"/>
      <c r="C169" s="168"/>
      <c r="D169" s="168"/>
      <c r="E169" s="168"/>
      <c r="F169" s="168"/>
      <c r="H169" s="170">
        <v>46122</v>
      </c>
      <c r="I169" s="168"/>
      <c r="J169" s="168"/>
      <c r="K169" s="168"/>
      <c r="L169" s="168"/>
      <c r="M169" s="168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760</v>
      </c>
      <c r="S170" s="1" t="s">
        <v>40</v>
      </c>
      <c r="T170" s="1" t="s">
        <v>871</v>
      </c>
    </row>
    <row r="171" spans="1:20" x14ac:dyDescent="0.3">
      <c r="A171" s="2" t="s">
        <v>5</v>
      </c>
      <c r="B171" s="3">
        <v>2244</v>
      </c>
      <c r="C171" s="3">
        <v>604</v>
      </c>
      <c r="D171" s="3">
        <v>840</v>
      </c>
      <c r="E171" s="3">
        <v>797</v>
      </c>
      <c r="F171" s="3">
        <v>3</v>
      </c>
      <c r="H171" s="2" t="s">
        <v>5</v>
      </c>
      <c r="I171" s="3">
        <v>3148</v>
      </c>
      <c r="J171" s="3">
        <v>910</v>
      </c>
      <c r="K171" s="3">
        <v>839</v>
      </c>
      <c r="L171" s="3">
        <v>739</v>
      </c>
      <c r="M171" s="3">
        <v>660</v>
      </c>
      <c r="O171" s="2" t="s">
        <v>5</v>
      </c>
      <c r="P171" s="3">
        <v>4067</v>
      </c>
      <c r="Q171" s="3">
        <v>2063</v>
      </c>
      <c r="R171" s="3">
        <v>0</v>
      </c>
      <c r="S171" s="3">
        <v>2004</v>
      </c>
      <c r="T171" s="3">
        <v>0</v>
      </c>
    </row>
    <row r="172" spans="1:20" x14ac:dyDescent="0.3">
      <c r="A172" s="2" t="s">
        <v>6</v>
      </c>
      <c r="B172" s="3">
        <v>53</v>
      </c>
      <c r="C172" s="4">
        <v>10</v>
      </c>
      <c r="D172" s="5">
        <v>24</v>
      </c>
      <c r="E172" s="6">
        <v>16</v>
      </c>
      <c r="F172" s="3">
        <v>3</v>
      </c>
      <c r="H172" s="2" t="s">
        <v>6</v>
      </c>
      <c r="I172" s="3">
        <v>160</v>
      </c>
      <c r="J172" s="4">
        <v>14</v>
      </c>
      <c r="K172" s="5">
        <v>119</v>
      </c>
      <c r="L172" s="6">
        <v>16</v>
      </c>
      <c r="M172" s="3">
        <v>11</v>
      </c>
      <c r="O172" s="2" t="s">
        <v>6</v>
      </c>
      <c r="P172" s="3">
        <v>73</v>
      </c>
      <c r="Q172" s="6">
        <v>30</v>
      </c>
      <c r="R172" s="3">
        <v>0</v>
      </c>
      <c r="S172" s="5">
        <v>43</v>
      </c>
      <c r="T172" s="3">
        <v>0</v>
      </c>
    </row>
    <row r="173" spans="1:20" x14ac:dyDescent="0.3">
      <c r="A173" s="2" t="s">
        <v>7</v>
      </c>
      <c r="B173" s="3" t="s">
        <v>471</v>
      </c>
      <c r="C173" s="3" t="s">
        <v>472</v>
      </c>
      <c r="D173" s="6" t="s">
        <v>473</v>
      </c>
      <c r="E173" s="4" t="s">
        <v>474</v>
      </c>
      <c r="F173" s="5" t="s">
        <v>48</v>
      </c>
      <c r="H173" s="2" t="s">
        <v>7</v>
      </c>
      <c r="I173" s="3" t="s">
        <v>399</v>
      </c>
      <c r="J173" s="3" t="s">
        <v>510</v>
      </c>
      <c r="K173" s="5" t="s">
        <v>1304</v>
      </c>
      <c r="L173" s="6" t="s">
        <v>715</v>
      </c>
      <c r="M173" s="4" t="s">
        <v>748</v>
      </c>
      <c r="O173" s="2" t="s">
        <v>7</v>
      </c>
      <c r="P173" s="3" t="s">
        <v>210</v>
      </c>
      <c r="Q173" s="6" t="s">
        <v>773</v>
      </c>
      <c r="R173" s="3">
        <v>0</v>
      </c>
      <c r="S173" s="5" t="s">
        <v>352</v>
      </c>
      <c r="T173" s="3">
        <v>0</v>
      </c>
    </row>
    <row r="174" spans="1:20" x14ac:dyDescent="0.3">
      <c r="A174" s="2" t="s">
        <v>12</v>
      </c>
      <c r="B174" s="3" t="s">
        <v>475</v>
      </c>
      <c r="C174" s="6" t="s">
        <v>362</v>
      </c>
      <c r="D174" s="5" t="s">
        <v>473</v>
      </c>
      <c r="E174" s="4" t="s">
        <v>476</v>
      </c>
      <c r="F174" s="3" t="s">
        <v>25</v>
      </c>
      <c r="H174" s="2" t="s">
        <v>12</v>
      </c>
      <c r="I174" s="3" t="s">
        <v>1384</v>
      </c>
      <c r="J174" s="3" t="s">
        <v>635</v>
      </c>
      <c r="K174" s="5" t="s">
        <v>1385</v>
      </c>
      <c r="L174" s="4" t="s">
        <v>582</v>
      </c>
      <c r="M174" s="6" t="s">
        <v>248</v>
      </c>
      <c r="O174" s="2" t="s">
        <v>12</v>
      </c>
      <c r="P174" s="3" t="s">
        <v>117</v>
      </c>
      <c r="Q174" s="6" t="s">
        <v>773</v>
      </c>
      <c r="R174" s="3">
        <v>0</v>
      </c>
      <c r="S174" s="5" t="s">
        <v>525</v>
      </c>
      <c r="T174" s="3">
        <v>0</v>
      </c>
    </row>
    <row r="175" spans="1:20" x14ac:dyDescent="0.3">
      <c r="A175" s="2" t="s">
        <v>17</v>
      </c>
      <c r="B175" s="51">
        <v>4.4999999999999997E-3</v>
      </c>
      <c r="C175" s="6" t="s">
        <v>108</v>
      </c>
      <c r="D175" s="3" t="s">
        <v>25</v>
      </c>
      <c r="E175" s="6" t="s">
        <v>44</v>
      </c>
      <c r="F175" s="5" t="s">
        <v>48</v>
      </c>
      <c r="H175" s="2" t="s">
        <v>17</v>
      </c>
      <c r="I175" s="48">
        <f>I173-I174</f>
        <v>4.0999999999999995E-3</v>
      </c>
      <c r="J175" s="59" t="s">
        <v>418</v>
      </c>
      <c r="K175" s="60" t="s">
        <v>347</v>
      </c>
      <c r="L175" s="50">
        <f>L173-L174</f>
        <v>8.2000000000000007E-3</v>
      </c>
      <c r="M175" s="50">
        <f>M173-M174</f>
        <v>3.1000000000000003E-3</v>
      </c>
      <c r="N175" s="89"/>
      <c r="O175" s="2" t="s">
        <v>17</v>
      </c>
      <c r="P175" s="48">
        <f>P183/P171</f>
        <v>4.917629702483403E-4</v>
      </c>
      <c r="Q175" s="48" t="s">
        <v>25</v>
      </c>
      <c r="R175" s="48" t="s">
        <v>25</v>
      </c>
      <c r="S175" s="50">
        <f>S183/S171</f>
        <v>9.9800399201596798E-4</v>
      </c>
      <c r="T175" s="3" t="s">
        <v>25</v>
      </c>
    </row>
    <row r="176" spans="1:20" x14ac:dyDescent="0.3">
      <c r="A176" s="2" t="s">
        <v>22</v>
      </c>
      <c r="B176" s="51">
        <v>4.4999999999999997E-3</v>
      </c>
      <c r="C176" s="4" t="s">
        <v>108</v>
      </c>
      <c r="D176" s="3" t="s">
        <v>25</v>
      </c>
      <c r="E176" s="6" t="s">
        <v>44</v>
      </c>
      <c r="F176" s="5" t="s">
        <v>48</v>
      </c>
      <c r="H176" s="2" t="s">
        <v>22</v>
      </c>
      <c r="I176" s="3" t="s">
        <v>81</v>
      </c>
      <c r="J176" s="3" t="s">
        <v>25</v>
      </c>
      <c r="K176" s="4" t="s">
        <v>102</v>
      </c>
      <c r="L176" s="6" t="s">
        <v>310</v>
      </c>
      <c r="M176" s="5" t="s">
        <v>121</v>
      </c>
      <c r="O176" s="2" t="s">
        <v>22</v>
      </c>
      <c r="P176" s="3" t="s">
        <v>158</v>
      </c>
      <c r="Q176" s="3" t="s">
        <v>25</v>
      </c>
      <c r="R176" s="3" t="s">
        <v>25</v>
      </c>
      <c r="S176" s="5" t="s">
        <v>81</v>
      </c>
      <c r="T176" s="3" t="s">
        <v>25</v>
      </c>
    </row>
    <row r="177" spans="1:20" x14ac:dyDescent="0.3">
      <c r="A177" s="7" t="s">
        <v>26</v>
      </c>
      <c r="B177" s="8">
        <v>43</v>
      </c>
      <c r="C177" s="8">
        <v>9</v>
      </c>
      <c r="D177" s="8">
        <v>24</v>
      </c>
      <c r="E177" s="8">
        <v>10</v>
      </c>
      <c r="F177" s="8">
        <v>0</v>
      </c>
      <c r="H177" s="7" t="s">
        <v>26</v>
      </c>
      <c r="I177" s="8">
        <v>147</v>
      </c>
      <c r="J177" s="8">
        <v>11</v>
      </c>
      <c r="K177" s="8">
        <v>117</v>
      </c>
      <c r="L177" s="8">
        <v>10</v>
      </c>
      <c r="M177" s="8">
        <v>9</v>
      </c>
      <c r="O177" s="7" t="s">
        <v>26</v>
      </c>
      <c r="P177" s="8">
        <v>71</v>
      </c>
      <c r="Q177" s="8">
        <v>30</v>
      </c>
      <c r="R177" s="8">
        <v>0</v>
      </c>
      <c r="S177" s="8">
        <v>41</v>
      </c>
      <c r="T177" s="8">
        <v>0</v>
      </c>
    </row>
    <row r="178" spans="1:20" x14ac:dyDescent="0.3">
      <c r="A178" s="9" t="s">
        <v>27</v>
      </c>
      <c r="B178" s="10">
        <v>14</v>
      </c>
      <c r="C178" s="10">
        <v>5</v>
      </c>
      <c r="D178" s="10">
        <v>5</v>
      </c>
      <c r="E178" s="10">
        <v>4</v>
      </c>
      <c r="F178" s="10">
        <v>0</v>
      </c>
      <c r="H178" s="9" t="s">
        <v>27</v>
      </c>
      <c r="I178" s="10">
        <v>38</v>
      </c>
      <c r="J178" s="10">
        <v>10</v>
      </c>
      <c r="K178" s="10">
        <v>13</v>
      </c>
      <c r="L178" s="10">
        <v>8</v>
      </c>
      <c r="M178" s="10">
        <v>7</v>
      </c>
      <c r="O178" s="9" t="s">
        <v>27</v>
      </c>
      <c r="P178" s="10">
        <v>18</v>
      </c>
      <c r="Q178" s="10">
        <v>7</v>
      </c>
      <c r="R178" s="10">
        <v>0</v>
      </c>
      <c r="S178" s="10">
        <v>11</v>
      </c>
      <c r="T178" s="10">
        <v>0</v>
      </c>
    </row>
    <row r="179" spans="1:20" x14ac:dyDescent="0.3">
      <c r="A179" s="9" t="s">
        <v>28</v>
      </c>
      <c r="B179" s="10">
        <v>12</v>
      </c>
      <c r="C179" s="10">
        <v>4</v>
      </c>
      <c r="D179" s="10">
        <v>4</v>
      </c>
      <c r="E179" s="10">
        <v>4</v>
      </c>
      <c r="F179" s="10">
        <v>0</v>
      </c>
      <c r="H179" s="9" t="s">
        <v>28</v>
      </c>
      <c r="I179" s="10">
        <v>2</v>
      </c>
      <c r="J179" s="10">
        <v>0</v>
      </c>
      <c r="K179" s="10">
        <v>2</v>
      </c>
      <c r="L179" s="10">
        <v>0</v>
      </c>
      <c r="M179" s="10">
        <v>0</v>
      </c>
      <c r="O179" s="9" t="s">
        <v>28</v>
      </c>
      <c r="P179" s="10">
        <v>40</v>
      </c>
      <c r="Q179" s="10">
        <v>20</v>
      </c>
      <c r="R179" s="10">
        <v>0</v>
      </c>
      <c r="S179" s="10">
        <v>20</v>
      </c>
      <c r="T179" s="10">
        <v>0</v>
      </c>
    </row>
    <row r="180" spans="1:20" x14ac:dyDescent="0.3">
      <c r="A180" s="9" t="s">
        <v>29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H180" s="9" t="s">
        <v>29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17</v>
      </c>
      <c r="C181" s="10">
        <v>0</v>
      </c>
      <c r="D181" s="10">
        <v>15</v>
      </c>
      <c r="E181" s="10">
        <v>2</v>
      </c>
      <c r="F181" s="10">
        <v>0</v>
      </c>
      <c r="H181" s="9" t="s">
        <v>30</v>
      </c>
      <c r="I181" s="10">
        <v>107</v>
      </c>
      <c r="J181" s="10">
        <v>1</v>
      </c>
      <c r="K181" s="10">
        <v>102</v>
      </c>
      <c r="L181" s="10">
        <v>2</v>
      </c>
      <c r="M181" s="10">
        <v>2</v>
      </c>
      <c r="O181" s="9" t="s">
        <v>30</v>
      </c>
      <c r="P181" s="10">
        <v>13</v>
      </c>
      <c r="Q181" s="10">
        <v>3</v>
      </c>
      <c r="R181" s="10">
        <v>0</v>
      </c>
      <c r="S181" s="10">
        <v>10</v>
      </c>
      <c r="T181" s="10">
        <v>0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10</v>
      </c>
      <c r="C183" s="12">
        <v>1</v>
      </c>
      <c r="D183" s="12">
        <v>0</v>
      </c>
      <c r="E183" s="12">
        <v>6</v>
      </c>
      <c r="F183" s="12">
        <v>3</v>
      </c>
      <c r="H183" s="11" t="s">
        <v>32</v>
      </c>
      <c r="I183" s="12">
        <v>13</v>
      </c>
      <c r="J183" s="12">
        <v>3</v>
      </c>
      <c r="K183" s="12">
        <v>2</v>
      </c>
      <c r="L183" s="12">
        <v>6</v>
      </c>
      <c r="M183" s="12">
        <v>2</v>
      </c>
      <c r="O183" s="11" t="s">
        <v>32</v>
      </c>
      <c r="P183" s="12">
        <v>2</v>
      </c>
      <c r="Q183" s="12">
        <v>0</v>
      </c>
      <c r="R183" s="12">
        <v>0</v>
      </c>
      <c r="S183" s="12">
        <v>2</v>
      </c>
      <c r="T183" s="12">
        <v>0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1</v>
      </c>
      <c r="J184" s="14">
        <v>1</v>
      </c>
      <c r="K184" s="14">
        <v>0</v>
      </c>
      <c r="L184" s="14">
        <v>0</v>
      </c>
      <c r="M184" s="14">
        <v>0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10</v>
      </c>
      <c r="C185" s="14">
        <v>1</v>
      </c>
      <c r="D185" s="14">
        <v>0</v>
      </c>
      <c r="E185" s="14">
        <v>6</v>
      </c>
      <c r="F185" s="14">
        <v>3</v>
      </c>
      <c r="H185" s="13" t="s">
        <v>34</v>
      </c>
      <c r="I185" s="14">
        <v>12</v>
      </c>
      <c r="J185" s="14">
        <v>2</v>
      </c>
      <c r="K185" s="14">
        <v>2</v>
      </c>
      <c r="L185" s="14">
        <v>6</v>
      </c>
      <c r="M185" s="14">
        <v>2</v>
      </c>
      <c r="O185" s="13" t="s">
        <v>34</v>
      </c>
      <c r="P185" s="14">
        <v>2</v>
      </c>
      <c r="Q185" s="14">
        <v>0</v>
      </c>
      <c r="R185" s="14">
        <v>0</v>
      </c>
      <c r="S185" s="14">
        <v>2</v>
      </c>
      <c r="T185" s="14">
        <v>0</v>
      </c>
    </row>
    <row r="186" spans="1:20" x14ac:dyDescent="0.3">
      <c r="A186" s="15" t="s">
        <v>35</v>
      </c>
      <c r="B186" s="16">
        <v>10</v>
      </c>
      <c r="C186" s="16">
        <v>1</v>
      </c>
      <c r="D186" s="16">
        <v>0</v>
      </c>
      <c r="E186" s="16">
        <v>6</v>
      </c>
      <c r="F186" s="16">
        <v>3</v>
      </c>
      <c r="H186" s="15" t="s">
        <v>35</v>
      </c>
      <c r="I186" s="16">
        <v>3</v>
      </c>
      <c r="J186" s="16">
        <v>0</v>
      </c>
      <c r="K186" s="16">
        <v>1</v>
      </c>
      <c r="L186" s="16">
        <v>1</v>
      </c>
      <c r="M186" s="16">
        <v>1</v>
      </c>
      <c r="O186" s="15" t="s">
        <v>35</v>
      </c>
      <c r="P186" s="16">
        <v>2</v>
      </c>
      <c r="Q186" s="16">
        <v>0</v>
      </c>
      <c r="R186" s="16">
        <v>0</v>
      </c>
      <c r="S186" s="16">
        <v>2</v>
      </c>
      <c r="T186" s="16">
        <v>0</v>
      </c>
    </row>
    <row r="187" spans="1:20" x14ac:dyDescent="0.3">
      <c r="A187" s="17" t="s">
        <v>36</v>
      </c>
      <c r="B187" s="18">
        <v>10</v>
      </c>
      <c r="C187" s="18">
        <v>1</v>
      </c>
      <c r="D187" s="18">
        <v>0</v>
      </c>
      <c r="E187" s="18">
        <v>6</v>
      </c>
      <c r="F187" s="18">
        <v>3</v>
      </c>
      <c r="H187" s="17" t="s">
        <v>36</v>
      </c>
      <c r="I187" s="78">
        <v>2</v>
      </c>
      <c r="J187" s="78">
        <v>0</v>
      </c>
      <c r="K187" s="78">
        <v>0</v>
      </c>
      <c r="L187" s="78">
        <v>1</v>
      </c>
      <c r="M187" s="78">
        <v>1</v>
      </c>
      <c r="O187" s="17" t="s">
        <v>36</v>
      </c>
      <c r="P187" s="112">
        <v>2</v>
      </c>
      <c r="Q187" s="112">
        <v>0</v>
      </c>
      <c r="R187" s="112">
        <v>0</v>
      </c>
      <c r="S187" s="112">
        <v>2</v>
      </c>
      <c r="T187" s="112">
        <v>0</v>
      </c>
    </row>
    <row r="188" spans="1:20" x14ac:dyDescent="0.3">
      <c r="A188" s="17" t="s">
        <v>37</v>
      </c>
      <c r="B188" s="18">
        <v>1</v>
      </c>
      <c r="C188" s="18">
        <v>0</v>
      </c>
      <c r="D188" s="18">
        <v>0</v>
      </c>
      <c r="E188" s="18">
        <v>1</v>
      </c>
      <c r="F188" s="18">
        <v>0</v>
      </c>
      <c r="H188" s="17" t="s">
        <v>37</v>
      </c>
      <c r="I188" s="78">
        <v>1</v>
      </c>
      <c r="J188" s="78">
        <v>0</v>
      </c>
      <c r="K188" s="78">
        <v>1</v>
      </c>
      <c r="L188" s="78">
        <v>0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7" t="s">
        <v>188</v>
      </c>
      <c r="C189" s="168"/>
      <c r="D189" s="168"/>
      <c r="E189" s="168"/>
      <c r="F189" s="168"/>
      <c r="H189" s="17" t="s">
        <v>38</v>
      </c>
      <c r="I189" s="167" t="s">
        <v>1307</v>
      </c>
      <c r="J189" s="168"/>
      <c r="K189" s="168"/>
      <c r="L189" s="168"/>
      <c r="M189" s="168"/>
      <c r="O189" s="17" t="s">
        <v>38</v>
      </c>
      <c r="P189" s="172" t="s">
        <v>188</v>
      </c>
      <c r="Q189" s="173"/>
      <c r="R189" s="173"/>
      <c r="S189" s="173"/>
      <c r="T189" s="173"/>
    </row>
    <row r="190" spans="1:20" ht="19.8" x14ac:dyDescent="0.3">
      <c r="A190" s="170">
        <v>46094</v>
      </c>
      <c r="B190" s="168"/>
      <c r="C190" s="168"/>
      <c r="D190" s="168"/>
      <c r="E190" s="168"/>
      <c r="F190" s="168"/>
      <c r="H190" s="170">
        <v>46123</v>
      </c>
      <c r="I190" s="168"/>
      <c r="J190" s="168"/>
      <c r="K190" s="168"/>
      <c r="L190" s="168"/>
      <c r="M190" s="168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871</v>
      </c>
    </row>
    <row r="192" spans="1:20" x14ac:dyDescent="0.3">
      <c r="A192" s="2" t="s">
        <v>5</v>
      </c>
      <c r="B192" s="3">
        <v>3069</v>
      </c>
      <c r="C192" s="3">
        <v>980</v>
      </c>
      <c r="D192" s="3">
        <v>757</v>
      </c>
      <c r="E192" s="3">
        <v>660</v>
      </c>
      <c r="F192" s="3">
        <v>672</v>
      </c>
      <c r="H192" s="2" t="s">
        <v>5</v>
      </c>
      <c r="I192" s="3">
        <v>2531</v>
      </c>
      <c r="J192" s="3">
        <v>804</v>
      </c>
      <c r="K192" s="3">
        <v>476</v>
      </c>
      <c r="L192" s="3">
        <v>647</v>
      </c>
      <c r="M192" s="3">
        <v>604</v>
      </c>
      <c r="O192" s="2" t="s">
        <v>5</v>
      </c>
      <c r="P192" s="3">
        <v>3471</v>
      </c>
      <c r="Q192" s="3">
        <v>1758</v>
      </c>
      <c r="R192" s="3">
        <v>0</v>
      </c>
      <c r="S192" s="3">
        <v>1713</v>
      </c>
      <c r="T192" s="3">
        <v>0</v>
      </c>
    </row>
    <row r="193" spans="1:20" x14ac:dyDescent="0.3">
      <c r="A193" s="2" t="s">
        <v>6</v>
      </c>
      <c r="B193" s="3">
        <v>84</v>
      </c>
      <c r="C193" s="4">
        <v>19</v>
      </c>
      <c r="D193" s="5">
        <v>29</v>
      </c>
      <c r="E193" s="6">
        <v>25</v>
      </c>
      <c r="F193" s="3">
        <v>11</v>
      </c>
      <c r="H193" s="2" t="s">
        <v>6</v>
      </c>
      <c r="I193" s="3">
        <v>86</v>
      </c>
      <c r="J193" s="3">
        <v>14</v>
      </c>
      <c r="K193" s="5">
        <v>37</v>
      </c>
      <c r="L193" s="6">
        <v>19</v>
      </c>
      <c r="M193" s="4">
        <v>16</v>
      </c>
      <c r="O193" s="2" t="s">
        <v>6</v>
      </c>
      <c r="P193" s="3">
        <v>57</v>
      </c>
      <c r="Q193" s="6">
        <v>24</v>
      </c>
      <c r="R193" s="3">
        <v>0</v>
      </c>
      <c r="S193" s="5">
        <v>33</v>
      </c>
      <c r="T193" s="3">
        <v>0</v>
      </c>
    </row>
    <row r="194" spans="1:20" x14ac:dyDescent="0.3">
      <c r="A194" s="2" t="s">
        <v>7</v>
      </c>
      <c r="B194" s="3" t="s">
        <v>532</v>
      </c>
      <c r="C194" s="4" t="s">
        <v>131</v>
      </c>
      <c r="D194" s="5" t="s">
        <v>533</v>
      </c>
      <c r="E194" s="6" t="s">
        <v>139</v>
      </c>
      <c r="F194" s="3" t="s">
        <v>238</v>
      </c>
      <c r="H194" s="2" t="s">
        <v>7</v>
      </c>
      <c r="I194" s="3" t="s">
        <v>456</v>
      </c>
      <c r="J194" s="3" t="s">
        <v>606</v>
      </c>
      <c r="K194" s="5" t="s">
        <v>722</v>
      </c>
      <c r="L194" s="6" t="s">
        <v>1408</v>
      </c>
      <c r="M194" s="4" t="s">
        <v>441</v>
      </c>
      <c r="O194" s="2" t="s">
        <v>7</v>
      </c>
      <c r="P194" s="3" t="s">
        <v>238</v>
      </c>
      <c r="Q194" s="6" t="s">
        <v>240</v>
      </c>
      <c r="R194" s="3">
        <v>0</v>
      </c>
      <c r="S194" s="5" t="s">
        <v>581</v>
      </c>
      <c r="T194" s="3">
        <v>0</v>
      </c>
    </row>
    <row r="195" spans="1:20" x14ac:dyDescent="0.3">
      <c r="A195" s="2" t="s">
        <v>12</v>
      </c>
      <c r="B195" s="3" t="s">
        <v>534</v>
      </c>
      <c r="C195" s="4" t="s">
        <v>131</v>
      </c>
      <c r="D195" s="5" t="s">
        <v>533</v>
      </c>
      <c r="E195" s="6" t="s">
        <v>349</v>
      </c>
      <c r="F195" s="3" t="s">
        <v>505</v>
      </c>
      <c r="H195" s="2" t="s">
        <v>12</v>
      </c>
      <c r="I195" s="3" t="s">
        <v>503</v>
      </c>
      <c r="J195" s="3" t="s">
        <v>1409</v>
      </c>
      <c r="K195" s="5" t="s">
        <v>1173</v>
      </c>
      <c r="L195" s="4" t="s">
        <v>1255</v>
      </c>
      <c r="M195" s="6" t="s">
        <v>1073</v>
      </c>
      <c r="O195" s="2" t="s">
        <v>12</v>
      </c>
      <c r="P195" s="3" t="s">
        <v>187</v>
      </c>
      <c r="Q195" s="6" t="s">
        <v>240</v>
      </c>
      <c r="R195" s="3">
        <v>0</v>
      </c>
      <c r="S195" s="5" t="s">
        <v>775</v>
      </c>
      <c r="T195" s="3">
        <v>0</v>
      </c>
    </row>
    <row r="196" spans="1:20" x14ac:dyDescent="0.3">
      <c r="A196" s="2" t="s">
        <v>17</v>
      </c>
      <c r="B196" s="3" t="s">
        <v>76</v>
      </c>
      <c r="C196" s="3" t="s">
        <v>25</v>
      </c>
      <c r="D196" s="3" t="s">
        <v>25</v>
      </c>
      <c r="E196" s="5" t="s">
        <v>433</v>
      </c>
      <c r="F196" s="6" t="s">
        <v>241</v>
      </c>
      <c r="H196" s="2" t="s">
        <v>17</v>
      </c>
      <c r="I196" s="48">
        <f>I194-I195</f>
        <v>1.0300000000000004E-2</v>
      </c>
      <c r="J196" s="4" t="s">
        <v>44</v>
      </c>
      <c r="K196" s="6" t="s">
        <v>806</v>
      </c>
      <c r="L196" s="50">
        <f>L194-L195</f>
        <v>1.7000000000000001E-2</v>
      </c>
      <c r="M196" s="50">
        <f>M194-M195</f>
        <v>6.5999999999999982E-3</v>
      </c>
      <c r="O196" s="2" t="s">
        <v>17</v>
      </c>
      <c r="P196" s="48">
        <f>P204/P192</f>
        <v>5.7620282339383461E-4</v>
      </c>
      <c r="Q196" s="48" t="s">
        <v>25</v>
      </c>
      <c r="R196" s="48" t="s">
        <v>25</v>
      </c>
      <c r="S196" s="50">
        <f>S204/S192</f>
        <v>1.1675423234092236E-3</v>
      </c>
      <c r="T196" s="3" t="s">
        <v>25</v>
      </c>
    </row>
    <row r="197" spans="1:20" x14ac:dyDescent="0.3">
      <c r="A197" s="2" t="s">
        <v>22</v>
      </c>
      <c r="B197" s="3" t="s">
        <v>76</v>
      </c>
      <c r="C197" s="3" t="s">
        <v>25</v>
      </c>
      <c r="D197" s="3" t="s">
        <v>25</v>
      </c>
      <c r="E197" s="5" t="s">
        <v>433</v>
      </c>
      <c r="F197" s="6" t="s">
        <v>241</v>
      </c>
      <c r="H197" s="2" t="s">
        <v>22</v>
      </c>
      <c r="I197" s="3" t="s">
        <v>491</v>
      </c>
      <c r="J197" s="3" t="s">
        <v>25</v>
      </c>
      <c r="K197" s="3" t="s">
        <v>25</v>
      </c>
      <c r="L197" s="5" t="s">
        <v>1255</v>
      </c>
      <c r="M197" s="6" t="s">
        <v>418</v>
      </c>
      <c r="O197" s="2" t="s">
        <v>22</v>
      </c>
      <c r="P197" s="3" t="s">
        <v>268</v>
      </c>
      <c r="Q197" s="3" t="s">
        <v>25</v>
      </c>
      <c r="R197" s="3" t="s">
        <v>25</v>
      </c>
      <c r="S197" s="5" t="s">
        <v>102</v>
      </c>
      <c r="T197" s="3" t="s">
        <v>25</v>
      </c>
    </row>
    <row r="198" spans="1:20" x14ac:dyDescent="0.3">
      <c r="A198" s="7" t="s">
        <v>26</v>
      </c>
      <c r="B198" s="8">
        <v>69</v>
      </c>
      <c r="C198" s="8">
        <v>19</v>
      </c>
      <c r="D198" s="8">
        <v>29</v>
      </c>
      <c r="E198" s="8">
        <v>13</v>
      </c>
      <c r="F198" s="8">
        <v>8</v>
      </c>
      <c r="H198" s="7" t="s">
        <v>26</v>
      </c>
      <c r="I198" s="8">
        <v>60</v>
      </c>
      <c r="J198" s="8">
        <v>8</v>
      </c>
      <c r="K198" s="8">
        <v>32</v>
      </c>
      <c r="L198" s="8">
        <v>8</v>
      </c>
      <c r="M198" s="8">
        <v>12</v>
      </c>
      <c r="O198" s="7" t="s">
        <v>26</v>
      </c>
      <c r="P198" s="8">
        <v>55</v>
      </c>
      <c r="Q198" s="8">
        <v>24</v>
      </c>
      <c r="R198" s="8">
        <v>0</v>
      </c>
      <c r="S198" s="8">
        <v>31</v>
      </c>
      <c r="T198" s="8">
        <v>0</v>
      </c>
    </row>
    <row r="199" spans="1:20" x14ac:dyDescent="0.3">
      <c r="A199" s="9" t="s">
        <v>27</v>
      </c>
      <c r="B199" s="10">
        <v>19</v>
      </c>
      <c r="C199" s="10">
        <v>5</v>
      </c>
      <c r="D199" s="10">
        <v>3</v>
      </c>
      <c r="E199" s="10">
        <v>7</v>
      </c>
      <c r="F199" s="10">
        <v>4</v>
      </c>
      <c r="H199" s="9" t="s">
        <v>27</v>
      </c>
      <c r="I199" s="10">
        <v>26</v>
      </c>
      <c r="J199" s="10">
        <v>5</v>
      </c>
      <c r="K199" s="10">
        <v>8</v>
      </c>
      <c r="L199" s="10">
        <v>4</v>
      </c>
      <c r="M199" s="10">
        <v>9</v>
      </c>
      <c r="O199" s="9" t="s">
        <v>27</v>
      </c>
      <c r="P199" s="10">
        <v>17</v>
      </c>
      <c r="Q199" s="10">
        <v>9</v>
      </c>
      <c r="R199" s="10">
        <v>0</v>
      </c>
      <c r="S199" s="10">
        <v>8</v>
      </c>
      <c r="T199" s="10">
        <v>0</v>
      </c>
    </row>
    <row r="200" spans="1:20" x14ac:dyDescent="0.3">
      <c r="A200" s="9" t="s">
        <v>28</v>
      </c>
      <c r="B200" s="10">
        <v>18</v>
      </c>
      <c r="C200" s="10">
        <v>8</v>
      </c>
      <c r="D200" s="10">
        <v>4</v>
      </c>
      <c r="E200" s="10">
        <v>5</v>
      </c>
      <c r="F200" s="10">
        <v>1</v>
      </c>
      <c r="H200" s="9" t="s">
        <v>28</v>
      </c>
      <c r="I200" s="10">
        <v>3</v>
      </c>
      <c r="J200" s="10">
        <v>0</v>
      </c>
      <c r="K200" s="10">
        <v>0</v>
      </c>
      <c r="L200" s="10">
        <v>0</v>
      </c>
      <c r="M200" s="10">
        <v>3</v>
      </c>
      <c r="O200" s="9" t="s">
        <v>28</v>
      </c>
      <c r="P200" s="10">
        <v>19</v>
      </c>
      <c r="Q200" s="10">
        <v>8</v>
      </c>
      <c r="R200" s="10">
        <v>0</v>
      </c>
      <c r="S200" s="10">
        <v>11</v>
      </c>
      <c r="T200" s="10">
        <v>0</v>
      </c>
    </row>
    <row r="201" spans="1:20" x14ac:dyDescent="0.3">
      <c r="A201" s="9" t="s">
        <v>29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H201" s="9" t="s">
        <v>29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32</v>
      </c>
      <c r="C202" s="10">
        <v>6</v>
      </c>
      <c r="D202" s="10">
        <v>22</v>
      </c>
      <c r="E202" s="10">
        <v>1</v>
      </c>
      <c r="F202" s="10">
        <v>3</v>
      </c>
      <c r="H202" s="9" t="s">
        <v>30</v>
      </c>
      <c r="I202" s="10">
        <v>31</v>
      </c>
      <c r="J202" s="10">
        <v>3</v>
      </c>
      <c r="K202" s="10">
        <v>24</v>
      </c>
      <c r="L202" s="10">
        <v>4</v>
      </c>
      <c r="M202" s="10">
        <v>0</v>
      </c>
      <c r="O202" s="9" t="s">
        <v>30</v>
      </c>
      <c r="P202" s="10">
        <v>19</v>
      </c>
      <c r="Q202" s="10">
        <v>7</v>
      </c>
      <c r="R202" s="10">
        <v>0</v>
      </c>
      <c r="S202" s="10">
        <v>12</v>
      </c>
      <c r="T202" s="10">
        <v>0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15</v>
      </c>
      <c r="C204" s="12">
        <v>0</v>
      </c>
      <c r="D204" s="12">
        <v>0</v>
      </c>
      <c r="E204" s="12">
        <v>12</v>
      </c>
      <c r="F204" s="12">
        <v>3</v>
      </c>
      <c r="H204" s="11" t="s">
        <v>32</v>
      </c>
      <c r="I204" s="12">
        <v>26</v>
      </c>
      <c r="J204" s="12">
        <v>6</v>
      </c>
      <c r="K204" s="12">
        <v>5</v>
      </c>
      <c r="L204" s="12">
        <v>11</v>
      </c>
      <c r="M204" s="12">
        <v>4</v>
      </c>
      <c r="O204" s="11" t="s">
        <v>32</v>
      </c>
      <c r="P204" s="12">
        <v>2</v>
      </c>
      <c r="Q204" s="12">
        <v>0</v>
      </c>
      <c r="R204" s="12">
        <v>0</v>
      </c>
      <c r="S204" s="12">
        <v>2</v>
      </c>
      <c r="T204" s="12">
        <v>0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1</v>
      </c>
      <c r="J205" s="14">
        <v>1</v>
      </c>
      <c r="K205" s="14">
        <v>0</v>
      </c>
      <c r="L205" s="14">
        <v>0</v>
      </c>
      <c r="M205" s="14">
        <v>0</v>
      </c>
      <c r="O205" s="13" t="s">
        <v>33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15</v>
      </c>
      <c r="C206" s="14">
        <v>0</v>
      </c>
      <c r="D206" s="14">
        <v>0</v>
      </c>
      <c r="E206" s="14">
        <v>12</v>
      </c>
      <c r="F206" s="14">
        <v>3</v>
      </c>
      <c r="H206" s="13" t="s">
        <v>34</v>
      </c>
      <c r="I206" s="14">
        <v>25</v>
      </c>
      <c r="J206" s="14">
        <v>5</v>
      </c>
      <c r="K206" s="14">
        <v>5</v>
      </c>
      <c r="L206" s="14">
        <v>11</v>
      </c>
      <c r="M206" s="14">
        <v>4</v>
      </c>
      <c r="O206" s="13" t="s">
        <v>34</v>
      </c>
      <c r="P206" s="14">
        <v>2</v>
      </c>
      <c r="Q206" s="14">
        <v>0</v>
      </c>
      <c r="R206" s="14">
        <v>0</v>
      </c>
      <c r="S206" s="14">
        <v>2</v>
      </c>
      <c r="T206" s="14">
        <v>0</v>
      </c>
    </row>
    <row r="207" spans="1:20" x14ac:dyDescent="0.3">
      <c r="A207" s="15" t="s">
        <v>35</v>
      </c>
      <c r="B207" s="16">
        <v>15</v>
      </c>
      <c r="C207" s="16">
        <v>0</v>
      </c>
      <c r="D207" s="16">
        <v>0</v>
      </c>
      <c r="E207" s="16">
        <v>12</v>
      </c>
      <c r="F207" s="16">
        <v>3</v>
      </c>
      <c r="H207" s="15" t="s">
        <v>35</v>
      </c>
      <c r="I207" s="16">
        <v>10</v>
      </c>
      <c r="J207" s="16">
        <v>0</v>
      </c>
      <c r="K207" s="16">
        <v>0</v>
      </c>
      <c r="L207" s="16">
        <v>8</v>
      </c>
      <c r="M207" s="16">
        <v>2</v>
      </c>
      <c r="O207" s="15" t="s">
        <v>35</v>
      </c>
      <c r="P207" s="16">
        <v>2</v>
      </c>
      <c r="Q207" s="16">
        <v>0</v>
      </c>
      <c r="R207" s="16">
        <v>0</v>
      </c>
      <c r="S207" s="16">
        <v>2</v>
      </c>
      <c r="T207" s="16">
        <v>0</v>
      </c>
    </row>
    <row r="208" spans="1:20" x14ac:dyDescent="0.3">
      <c r="A208" s="17" t="s">
        <v>36</v>
      </c>
      <c r="B208" s="18">
        <v>15</v>
      </c>
      <c r="C208" s="18">
        <v>0</v>
      </c>
      <c r="D208" s="18">
        <v>0</v>
      </c>
      <c r="E208" s="18">
        <v>12</v>
      </c>
      <c r="F208" s="18">
        <v>3</v>
      </c>
      <c r="H208" s="17" t="s">
        <v>36</v>
      </c>
      <c r="I208" s="78">
        <v>10</v>
      </c>
      <c r="J208" s="78">
        <v>0</v>
      </c>
      <c r="K208" s="78">
        <v>0</v>
      </c>
      <c r="L208" s="78">
        <v>8</v>
      </c>
      <c r="M208" s="78">
        <v>2</v>
      </c>
      <c r="O208" s="17" t="s">
        <v>36</v>
      </c>
      <c r="P208" s="112">
        <v>2</v>
      </c>
      <c r="Q208" s="112">
        <v>0</v>
      </c>
      <c r="R208" s="112">
        <v>0</v>
      </c>
      <c r="S208" s="112">
        <v>2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7" t="s">
        <v>188</v>
      </c>
      <c r="C210" s="168"/>
      <c r="D210" s="168"/>
      <c r="E210" s="168"/>
      <c r="F210" s="168"/>
      <c r="H210" s="17" t="s">
        <v>38</v>
      </c>
      <c r="I210" s="167" t="s">
        <v>1410</v>
      </c>
      <c r="J210" s="168"/>
      <c r="K210" s="168"/>
      <c r="L210" s="168"/>
      <c r="M210" s="168"/>
      <c r="O210" s="17" t="s">
        <v>38</v>
      </c>
      <c r="P210" s="172" t="s">
        <v>188</v>
      </c>
      <c r="Q210" s="173"/>
      <c r="R210" s="173"/>
      <c r="S210" s="173"/>
      <c r="T210" s="173"/>
    </row>
    <row r="211" spans="1:20" ht="19.8" x14ac:dyDescent="0.3">
      <c r="A211" s="170">
        <v>46097</v>
      </c>
      <c r="B211" s="168"/>
      <c r="C211" s="168"/>
      <c r="D211" s="168"/>
      <c r="E211" s="168"/>
      <c r="F211" s="168"/>
      <c r="H211" s="170">
        <v>46125</v>
      </c>
      <c r="I211" s="168"/>
      <c r="J211" s="168"/>
      <c r="K211" s="168"/>
      <c r="L211" s="168"/>
      <c r="M211" s="168"/>
      <c r="O211" s="171">
        <v>46156</v>
      </c>
      <c r="P211" s="174"/>
      <c r="Q211" s="174"/>
      <c r="R211" s="174"/>
      <c r="S211" s="174"/>
      <c r="T211" s="174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760</v>
      </c>
      <c r="S212" s="1" t="s">
        <v>40</v>
      </c>
      <c r="T212" s="1" t="s">
        <v>871</v>
      </c>
    </row>
    <row r="213" spans="1:20" x14ac:dyDescent="0.3">
      <c r="A213" s="2" t="s">
        <v>5</v>
      </c>
      <c r="B213" s="3">
        <v>2224</v>
      </c>
      <c r="C213" s="3">
        <v>682</v>
      </c>
      <c r="D213" s="3">
        <v>397</v>
      </c>
      <c r="E213" s="3">
        <v>527</v>
      </c>
      <c r="F213" s="3">
        <v>618</v>
      </c>
      <c r="H213" s="2" t="s">
        <v>5</v>
      </c>
      <c r="I213" s="3">
        <v>3343</v>
      </c>
      <c r="J213" s="3">
        <v>1148</v>
      </c>
      <c r="K213" s="3">
        <v>920</v>
      </c>
      <c r="L213" s="3">
        <v>758</v>
      </c>
      <c r="M213" s="3">
        <v>517</v>
      </c>
      <c r="O213" s="2" t="s">
        <v>5</v>
      </c>
      <c r="P213" s="3">
        <v>4534</v>
      </c>
      <c r="Q213" s="3">
        <v>2304</v>
      </c>
      <c r="R213" s="3">
        <v>0</v>
      </c>
      <c r="S213" s="3">
        <v>2230</v>
      </c>
      <c r="T213" s="3">
        <v>0</v>
      </c>
    </row>
    <row r="214" spans="1:20" x14ac:dyDescent="0.3">
      <c r="A214" s="2" t="s">
        <v>6</v>
      </c>
      <c r="B214" s="3">
        <v>159</v>
      </c>
      <c r="C214" s="4">
        <v>26</v>
      </c>
      <c r="D214" s="3">
        <v>12</v>
      </c>
      <c r="E214" s="6">
        <v>29</v>
      </c>
      <c r="F214" s="5">
        <v>92</v>
      </c>
      <c r="H214" s="2" t="s">
        <v>6</v>
      </c>
      <c r="I214" s="3">
        <v>172</v>
      </c>
      <c r="J214" s="3">
        <v>8</v>
      </c>
      <c r="K214" s="5">
        <v>120</v>
      </c>
      <c r="L214" s="6">
        <v>24</v>
      </c>
      <c r="M214" s="4">
        <v>20</v>
      </c>
      <c r="O214" s="2" t="s">
        <v>6</v>
      </c>
      <c r="P214" s="3">
        <v>59</v>
      </c>
      <c r="Q214" s="6">
        <v>29</v>
      </c>
      <c r="R214" s="3">
        <v>0</v>
      </c>
      <c r="S214" s="5">
        <v>30</v>
      </c>
      <c r="T214" s="3">
        <v>0</v>
      </c>
    </row>
    <row r="215" spans="1:20" x14ac:dyDescent="0.3">
      <c r="A215" s="2" t="s">
        <v>7</v>
      </c>
      <c r="B215" s="3" t="s">
        <v>327</v>
      </c>
      <c r="C215" s="4" t="s">
        <v>625</v>
      </c>
      <c r="D215" s="3" t="s">
        <v>626</v>
      </c>
      <c r="E215" s="6" t="s">
        <v>627</v>
      </c>
      <c r="F215" s="5" t="s">
        <v>628</v>
      </c>
      <c r="H215" s="2" t="s">
        <v>7</v>
      </c>
      <c r="I215" s="3" t="s">
        <v>1445</v>
      </c>
      <c r="J215" s="3" t="s">
        <v>484</v>
      </c>
      <c r="K215" s="5" t="s">
        <v>1350</v>
      </c>
      <c r="L215" s="4" t="s">
        <v>392</v>
      </c>
      <c r="M215" s="6" t="s">
        <v>142</v>
      </c>
      <c r="O215" s="2" t="s">
        <v>7</v>
      </c>
      <c r="P215" s="3" t="s">
        <v>1246</v>
      </c>
      <c r="Q215" s="6" t="s">
        <v>277</v>
      </c>
      <c r="R215" s="3">
        <v>0</v>
      </c>
      <c r="S215" s="5" t="s">
        <v>582</v>
      </c>
      <c r="T215" s="3">
        <v>0</v>
      </c>
    </row>
    <row r="216" spans="1:20" x14ac:dyDescent="0.3">
      <c r="A216" s="2" t="s">
        <v>12</v>
      </c>
      <c r="B216" s="3" t="s">
        <v>629</v>
      </c>
      <c r="C216" s="4" t="s">
        <v>130</v>
      </c>
      <c r="D216" s="3" t="s">
        <v>630</v>
      </c>
      <c r="E216" s="6" t="s">
        <v>58</v>
      </c>
      <c r="F216" s="5" t="s">
        <v>617</v>
      </c>
      <c r="H216" s="2" t="s">
        <v>12</v>
      </c>
      <c r="I216" s="3" t="s">
        <v>477</v>
      </c>
      <c r="J216" s="3" t="s">
        <v>119</v>
      </c>
      <c r="K216" s="5" t="s">
        <v>562</v>
      </c>
      <c r="L216" s="4" t="s">
        <v>351</v>
      </c>
      <c r="M216" s="6" t="s">
        <v>606</v>
      </c>
      <c r="O216" s="2" t="s">
        <v>12</v>
      </c>
      <c r="P216" s="3" t="s">
        <v>277</v>
      </c>
      <c r="Q216" s="5" t="s">
        <v>277</v>
      </c>
      <c r="R216" s="3">
        <v>0</v>
      </c>
      <c r="S216" s="6" t="s">
        <v>277</v>
      </c>
      <c r="T216" s="3">
        <v>0</v>
      </c>
    </row>
    <row r="217" spans="1:20" x14ac:dyDescent="0.3">
      <c r="A217" s="2" t="s">
        <v>17</v>
      </c>
      <c r="B217" s="3" t="s">
        <v>491</v>
      </c>
      <c r="C217" s="6" t="s">
        <v>119</v>
      </c>
      <c r="D217" s="4" t="s">
        <v>47</v>
      </c>
      <c r="E217" s="6" t="s">
        <v>607</v>
      </c>
      <c r="F217" s="5" t="s">
        <v>64</v>
      </c>
      <c r="H217" s="2" t="s">
        <v>17</v>
      </c>
      <c r="I217" s="48">
        <f>I215-I216</f>
        <v>8.6999999999999994E-3</v>
      </c>
      <c r="J217" s="59" t="s">
        <v>101</v>
      </c>
      <c r="K217" s="60" t="s">
        <v>49</v>
      </c>
      <c r="L217" s="50">
        <f>L215-L216</f>
        <v>1.8499999999999999E-2</v>
      </c>
      <c r="M217" s="50">
        <f>M215-M216</f>
        <v>2.1299999999999999E-2</v>
      </c>
      <c r="O217" s="2" t="s">
        <v>17</v>
      </c>
      <c r="P217" s="48">
        <f>P225/P213</f>
        <v>4.4111160123511248E-4</v>
      </c>
      <c r="Q217" s="48" t="s">
        <v>25</v>
      </c>
      <c r="R217" s="48" t="s">
        <v>25</v>
      </c>
      <c r="S217" s="50">
        <f>S225/S213</f>
        <v>8.9686098654708521E-4</v>
      </c>
      <c r="T217" s="3" t="s">
        <v>25</v>
      </c>
    </row>
    <row r="218" spans="1:20" x14ac:dyDescent="0.3">
      <c r="A218" s="2" t="s">
        <v>22</v>
      </c>
      <c r="B218" s="3" t="s">
        <v>491</v>
      </c>
      <c r="C218" s="3" t="s">
        <v>25</v>
      </c>
      <c r="D218" s="3" t="s">
        <v>25</v>
      </c>
      <c r="E218" s="6" t="s">
        <v>607</v>
      </c>
      <c r="F218" s="5" t="s">
        <v>64</v>
      </c>
      <c r="H218" s="2" t="s">
        <v>22</v>
      </c>
      <c r="I218" s="3" t="s">
        <v>354</v>
      </c>
      <c r="J218" s="3" t="s">
        <v>25</v>
      </c>
      <c r="K218" s="3" t="s">
        <v>25</v>
      </c>
      <c r="L218" s="6" t="s">
        <v>351</v>
      </c>
      <c r="M218" s="5" t="s">
        <v>544</v>
      </c>
      <c r="O218" s="2" t="s">
        <v>22</v>
      </c>
      <c r="P218" s="3" t="s">
        <v>257</v>
      </c>
      <c r="Q218" s="3" t="s">
        <v>25</v>
      </c>
      <c r="R218" s="3" t="s">
        <v>25</v>
      </c>
      <c r="S218" s="5" t="s">
        <v>84</v>
      </c>
      <c r="T218" s="3" t="s">
        <v>25</v>
      </c>
    </row>
    <row r="219" spans="1:20" x14ac:dyDescent="0.3">
      <c r="A219" s="7" t="s">
        <v>26</v>
      </c>
      <c r="B219" s="8">
        <v>144</v>
      </c>
      <c r="C219" s="8">
        <v>23</v>
      </c>
      <c r="D219" s="8">
        <v>11</v>
      </c>
      <c r="E219" s="8">
        <v>24</v>
      </c>
      <c r="F219" s="8">
        <v>86</v>
      </c>
      <c r="H219" s="7" t="s">
        <v>26</v>
      </c>
      <c r="I219" s="8">
        <v>143</v>
      </c>
      <c r="J219" s="8">
        <v>5</v>
      </c>
      <c r="K219" s="8">
        <v>119</v>
      </c>
      <c r="L219" s="8">
        <v>10</v>
      </c>
      <c r="M219" s="8">
        <v>9</v>
      </c>
      <c r="O219" s="7" t="s">
        <v>26</v>
      </c>
      <c r="P219" s="8">
        <v>57</v>
      </c>
      <c r="Q219" s="8">
        <v>29</v>
      </c>
      <c r="R219" s="8">
        <v>0</v>
      </c>
      <c r="S219" s="8">
        <v>28</v>
      </c>
      <c r="T219" s="8">
        <v>0</v>
      </c>
    </row>
    <row r="220" spans="1:20" x14ac:dyDescent="0.3">
      <c r="A220" s="9" t="s">
        <v>27</v>
      </c>
      <c r="B220" s="10">
        <v>10</v>
      </c>
      <c r="C220" s="10">
        <v>2</v>
      </c>
      <c r="D220" s="10">
        <v>3</v>
      </c>
      <c r="E220" s="10">
        <v>1</v>
      </c>
      <c r="F220" s="10">
        <v>4</v>
      </c>
      <c r="H220" s="9" t="s">
        <v>27</v>
      </c>
      <c r="I220" s="10">
        <v>16</v>
      </c>
      <c r="J220" s="10">
        <v>3</v>
      </c>
      <c r="K220" s="10">
        <v>12</v>
      </c>
      <c r="L220" s="10">
        <v>1</v>
      </c>
      <c r="M220" s="10">
        <v>0</v>
      </c>
      <c r="O220" s="9" t="s">
        <v>27</v>
      </c>
      <c r="P220" s="10">
        <v>19</v>
      </c>
      <c r="Q220" s="10">
        <v>13</v>
      </c>
      <c r="R220" s="10">
        <v>0</v>
      </c>
      <c r="S220" s="10">
        <v>6</v>
      </c>
      <c r="T220" s="10">
        <v>0</v>
      </c>
    </row>
    <row r="221" spans="1:20" x14ac:dyDescent="0.3">
      <c r="A221" s="9" t="s">
        <v>28</v>
      </c>
      <c r="B221" s="10">
        <v>87</v>
      </c>
      <c r="C221" s="10">
        <v>4</v>
      </c>
      <c r="D221" s="10">
        <v>0</v>
      </c>
      <c r="E221" s="10">
        <v>15</v>
      </c>
      <c r="F221" s="10">
        <v>68</v>
      </c>
      <c r="H221" s="9" t="s">
        <v>28</v>
      </c>
      <c r="I221" s="10">
        <v>17</v>
      </c>
      <c r="J221" s="10">
        <v>0</v>
      </c>
      <c r="K221" s="10">
        <v>5</v>
      </c>
      <c r="L221" s="10">
        <v>6</v>
      </c>
      <c r="M221" s="10">
        <v>6</v>
      </c>
      <c r="O221" s="9" t="s">
        <v>28</v>
      </c>
      <c r="P221" s="10">
        <v>21</v>
      </c>
      <c r="Q221" s="10">
        <v>6</v>
      </c>
      <c r="R221" s="10">
        <v>0</v>
      </c>
      <c r="S221" s="10">
        <v>15</v>
      </c>
      <c r="T221" s="10">
        <v>0</v>
      </c>
    </row>
    <row r="222" spans="1:20" x14ac:dyDescent="0.3">
      <c r="A222" s="9" t="s">
        <v>29</v>
      </c>
      <c r="B222" s="10">
        <v>0</v>
      </c>
      <c r="C222" s="10">
        <v>0</v>
      </c>
      <c r="D222" s="10">
        <v>0</v>
      </c>
      <c r="E222" s="10">
        <v>0</v>
      </c>
      <c r="F222" s="10">
        <v>0</v>
      </c>
      <c r="H222" s="9" t="s">
        <v>29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47</v>
      </c>
      <c r="C223" s="10">
        <v>17</v>
      </c>
      <c r="D223" s="10">
        <v>8</v>
      </c>
      <c r="E223" s="10">
        <v>8</v>
      </c>
      <c r="F223" s="10">
        <v>14</v>
      </c>
      <c r="H223" s="9" t="s">
        <v>30</v>
      </c>
      <c r="I223" s="10">
        <v>110</v>
      </c>
      <c r="J223" s="10">
        <v>2</v>
      </c>
      <c r="K223" s="10">
        <v>102</v>
      </c>
      <c r="L223" s="10">
        <v>3</v>
      </c>
      <c r="M223" s="10">
        <v>3</v>
      </c>
      <c r="O223" s="9" t="s">
        <v>30</v>
      </c>
      <c r="P223" s="10">
        <v>17</v>
      </c>
      <c r="Q223" s="10">
        <v>10</v>
      </c>
      <c r="R223" s="10">
        <v>0</v>
      </c>
      <c r="S223" s="10">
        <v>7</v>
      </c>
      <c r="T223" s="10">
        <v>0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15</v>
      </c>
      <c r="C225" s="12">
        <v>3</v>
      </c>
      <c r="D225" s="12">
        <v>1</v>
      </c>
      <c r="E225" s="12">
        <v>5</v>
      </c>
      <c r="F225" s="12">
        <v>6</v>
      </c>
      <c r="H225" s="11" t="s">
        <v>32</v>
      </c>
      <c r="I225" s="12">
        <v>19</v>
      </c>
      <c r="J225" s="12">
        <v>3</v>
      </c>
      <c r="K225" s="12">
        <v>1</v>
      </c>
      <c r="L225" s="12">
        <v>14</v>
      </c>
      <c r="M225" s="12">
        <v>11</v>
      </c>
      <c r="O225" s="11" t="s">
        <v>32</v>
      </c>
      <c r="P225" s="12">
        <v>2</v>
      </c>
      <c r="Q225" s="12">
        <v>0</v>
      </c>
      <c r="R225" s="12">
        <v>0</v>
      </c>
      <c r="S225" s="12">
        <v>2</v>
      </c>
      <c r="T225" s="12">
        <v>0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15</v>
      </c>
      <c r="C227" s="14">
        <v>3</v>
      </c>
      <c r="D227" s="14">
        <v>1</v>
      </c>
      <c r="E227" s="14">
        <v>5</v>
      </c>
      <c r="F227" s="14">
        <v>6</v>
      </c>
      <c r="H227" s="13" t="s">
        <v>34</v>
      </c>
      <c r="I227" s="14">
        <v>29</v>
      </c>
      <c r="J227" s="14">
        <v>3</v>
      </c>
      <c r="K227" s="14">
        <v>1</v>
      </c>
      <c r="L227" s="14">
        <v>14</v>
      </c>
      <c r="M227" s="14">
        <v>11</v>
      </c>
      <c r="O227" s="13" t="s">
        <v>34</v>
      </c>
      <c r="P227" s="14">
        <v>2</v>
      </c>
      <c r="Q227" s="14">
        <v>0</v>
      </c>
      <c r="R227" s="14">
        <v>0</v>
      </c>
      <c r="S227" s="14">
        <v>2</v>
      </c>
      <c r="T227" s="14">
        <v>0</v>
      </c>
    </row>
    <row r="228" spans="1:20" x14ac:dyDescent="0.3">
      <c r="A228" s="15" t="s">
        <v>35</v>
      </c>
      <c r="B228" s="16">
        <v>9</v>
      </c>
      <c r="C228" s="16">
        <v>0</v>
      </c>
      <c r="D228" s="16">
        <v>0</v>
      </c>
      <c r="E228" s="16">
        <v>4</v>
      </c>
      <c r="F228" s="16">
        <v>5</v>
      </c>
      <c r="H228" s="15" t="s">
        <v>35</v>
      </c>
      <c r="I228" s="16">
        <v>18</v>
      </c>
      <c r="J228" s="16">
        <v>0</v>
      </c>
      <c r="K228" s="16">
        <v>0</v>
      </c>
      <c r="L228" s="16">
        <v>10</v>
      </c>
      <c r="M228" s="16">
        <v>8</v>
      </c>
      <c r="O228" s="15" t="s">
        <v>35</v>
      </c>
      <c r="P228" s="16">
        <v>2</v>
      </c>
      <c r="Q228" s="16">
        <v>0</v>
      </c>
      <c r="R228" s="16">
        <v>0</v>
      </c>
      <c r="S228" s="16">
        <v>2</v>
      </c>
      <c r="T228" s="16">
        <v>0</v>
      </c>
    </row>
    <row r="229" spans="1:20" x14ac:dyDescent="0.3">
      <c r="A229" s="17" t="s">
        <v>36</v>
      </c>
      <c r="B229" s="18">
        <v>9</v>
      </c>
      <c r="C229" s="18">
        <v>0</v>
      </c>
      <c r="D229" s="18">
        <v>0</v>
      </c>
      <c r="E229" s="18">
        <v>4</v>
      </c>
      <c r="F229" s="18">
        <v>5</v>
      </c>
      <c r="H229" s="17" t="s">
        <v>36</v>
      </c>
      <c r="I229" s="78">
        <v>18</v>
      </c>
      <c r="J229" s="78">
        <v>0</v>
      </c>
      <c r="K229" s="78">
        <v>0</v>
      </c>
      <c r="L229" s="78">
        <v>10</v>
      </c>
      <c r="M229" s="78">
        <v>8</v>
      </c>
      <c r="O229" s="17" t="s">
        <v>36</v>
      </c>
      <c r="P229" s="130">
        <v>2</v>
      </c>
      <c r="Q229" s="130">
        <v>0</v>
      </c>
      <c r="R229" s="130">
        <v>0</v>
      </c>
      <c r="S229" s="130">
        <v>2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7" t="s">
        <v>631</v>
      </c>
      <c r="C231" s="168"/>
      <c r="D231" s="168"/>
      <c r="E231" s="168"/>
      <c r="F231" s="168"/>
      <c r="H231" s="17" t="s">
        <v>38</v>
      </c>
      <c r="I231" s="167" t="s">
        <v>1446</v>
      </c>
      <c r="J231" s="168"/>
      <c r="K231" s="168"/>
      <c r="L231" s="168"/>
      <c r="M231" s="168"/>
      <c r="O231" s="17" t="s">
        <v>38</v>
      </c>
      <c r="P231" s="172" t="s">
        <v>1906</v>
      </c>
      <c r="Q231" s="173"/>
      <c r="R231" s="173"/>
      <c r="S231" s="173"/>
      <c r="T231" s="173"/>
    </row>
    <row r="232" spans="1:20" ht="19.8" x14ac:dyDescent="0.3">
      <c r="A232" s="170">
        <v>46098</v>
      </c>
      <c r="B232" s="168"/>
      <c r="C232" s="168"/>
      <c r="D232" s="168"/>
      <c r="E232" s="168"/>
      <c r="F232" s="168"/>
      <c r="H232" s="170">
        <v>46126</v>
      </c>
      <c r="I232" s="168"/>
      <c r="J232" s="168"/>
      <c r="K232" s="168"/>
      <c r="L232" s="168"/>
      <c r="M232" s="168"/>
      <c r="O232" s="174" t="s">
        <v>1516</v>
      </c>
      <c r="P232" s="174"/>
      <c r="Q232" s="174"/>
      <c r="R232" s="174"/>
      <c r="S232" s="174"/>
      <c r="T232" s="174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760</v>
      </c>
      <c r="S233" s="1" t="s">
        <v>40</v>
      </c>
      <c r="T233" s="1" t="s">
        <v>871</v>
      </c>
    </row>
    <row r="234" spans="1:20" x14ac:dyDescent="0.3">
      <c r="A234" s="2" t="s">
        <v>5</v>
      </c>
      <c r="B234" s="3">
        <v>1806</v>
      </c>
      <c r="C234" s="3">
        <v>395</v>
      </c>
      <c r="D234" s="3">
        <v>251</v>
      </c>
      <c r="E234" s="3">
        <v>535</v>
      </c>
      <c r="F234" s="3">
        <v>625</v>
      </c>
      <c r="H234" s="2" t="s">
        <v>5</v>
      </c>
      <c r="I234" s="3">
        <v>4227</v>
      </c>
      <c r="J234" s="3">
        <v>1728</v>
      </c>
      <c r="K234" s="3">
        <v>1358</v>
      </c>
      <c r="L234" s="3">
        <v>1139</v>
      </c>
      <c r="M234" s="3">
        <v>2</v>
      </c>
      <c r="O234" s="2" t="s">
        <v>5</v>
      </c>
      <c r="P234" s="3">
        <v>4583</v>
      </c>
      <c r="Q234" s="3">
        <v>2289</v>
      </c>
      <c r="R234" s="3">
        <v>0</v>
      </c>
      <c r="S234" s="3">
        <v>2294</v>
      </c>
      <c r="T234" s="3">
        <v>0</v>
      </c>
    </row>
    <row r="235" spans="1:20" x14ac:dyDescent="0.3">
      <c r="A235" s="2" t="s">
        <v>6</v>
      </c>
      <c r="B235" s="3">
        <v>131</v>
      </c>
      <c r="C235" s="6">
        <v>30</v>
      </c>
      <c r="D235" s="4">
        <v>26</v>
      </c>
      <c r="E235" s="3">
        <v>23</v>
      </c>
      <c r="F235" s="5">
        <v>52</v>
      </c>
      <c r="H235" s="2" t="s">
        <v>6</v>
      </c>
      <c r="I235" s="3">
        <v>305</v>
      </c>
      <c r="J235" s="4">
        <v>27</v>
      </c>
      <c r="K235" s="5">
        <v>244</v>
      </c>
      <c r="L235" s="6">
        <v>32</v>
      </c>
      <c r="M235" s="3">
        <v>2</v>
      </c>
      <c r="O235" s="2" t="s">
        <v>6</v>
      </c>
      <c r="P235" s="3">
        <v>95</v>
      </c>
      <c r="Q235" s="6">
        <v>32</v>
      </c>
      <c r="R235" s="3">
        <v>0</v>
      </c>
      <c r="S235" s="5">
        <v>63</v>
      </c>
      <c r="T235" s="3">
        <v>0</v>
      </c>
    </row>
    <row r="236" spans="1:20" x14ac:dyDescent="0.3">
      <c r="A236" s="2" t="s">
        <v>7</v>
      </c>
      <c r="B236" s="3" t="s">
        <v>129</v>
      </c>
      <c r="C236" s="4" t="s">
        <v>197</v>
      </c>
      <c r="D236" s="5" t="s">
        <v>650</v>
      </c>
      <c r="E236" s="3" t="s">
        <v>647</v>
      </c>
      <c r="F236" s="6" t="s">
        <v>133</v>
      </c>
      <c r="H236" s="2" t="s">
        <v>7</v>
      </c>
      <c r="I236" s="3" t="s">
        <v>262</v>
      </c>
      <c r="J236" s="3" t="s">
        <v>183</v>
      </c>
      <c r="K236" s="6" t="s">
        <v>1470</v>
      </c>
      <c r="L236" s="4" t="s">
        <v>1203</v>
      </c>
      <c r="M236" s="5" t="s">
        <v>48</v>
      </c>
      <c r="O236" s="2" t="s">
        <v>7</v>
      </c>
      <c r="P236" s="3" t="s">
        <v>1362</v>
      </c>
      <c r="Q236" s="6" t="s">
        <v>290</v>
      </c>
      <c r="R236" s="3">
        <v>0</v>
      </c>
      <c r="S236" s="5" t="s">
        <v>1083</v>
      </c>
      <c r="T236" s="3">
        <v>0</v>
      </c>
    </row>
    <row r="237" spans="1:20" x14ac:dyDescent="0.3">
      <c r="A237" s="2" t="s">
        <v>12</v>
      </c>
      <c r="B237" s="3" t="s">
        <v>651</v>
      </c>
      <c r="C237" s="4" t="s">
        <v>219</v>
      </c>
      <c r="D237" s="5" t="s">
        <v>652</v>
      </c>
      <c r="E237" s="3" t="s">
        <v>653</v>
      </c>
      <c r="F237" s="6" t="s">
        <v>297</v>
      </c>
      <c r="H237" s="2" t="s">
        <v>12</v>
      </c>
      <c r="I237" s="3" t="s">
        <v>1268</v>
      </c>
      <c r="J237" s="4" t="s">
        <v>406</v>
      </c>
      <c r="K237" s="5" t="s">
        <v>1471</v>
      </c>
      <c r="L237" s="6" t="s">
        <v>362</v>
      </c>
      <c r="M237" s="3" t="s">
        <v>25</v>
      </c>
      <c r="O237" s="2" t="s">
        <v>12</v>
      </c>
      <c r="P237" s="3" t="s">
        <v>474</v>
      </c>
      <c r="Q237" s="6" t="s">
        <v>290</v>
      </c>
      <c r="R237" s="3">
        <v>0</v>
      </c>
      <c r="S237" s="5" t="s">
        <v>636</v>
      </c>
      <c r="T237" s="3">
        <v>0</v>
      </c>
    </row>
    <row r="238" spans="1:20" x14ac:dyDescent="0.3">
      <c r="A238" s="2" t="s">
        <v>17</v>
      </c>
      <c r="B238" s="51">
        <v>6.6E-3</v>
      </c>
      <c r="C238" s="4" t="s">
        <v>654</v>
      </c>
      <c r="D238" s="6" t="s">
        <v>655</v>
      </c>
      <c r="E238" s="50">
        <f>E236-E237</f>
        <v>9.3999999999999986E-3</v>
      </c>
      <c r="F238" s="6" t="s">
        <v>146</v>
      </c>
      <c r="H238" s="2" t="s">
        <v>17</v>
      </c>
      <c r="I238" s="48">
        <f>I236-I237</f>
        <v>6.6999999999999976E-3</v>
      </c>
      <c r="J238" s="59" t="s">
        <v>317</v>
      </c>
      <c r="K238" s="60" t="s">
        <v>122</v>
      </c>
      <c r="L238" s="50">
        <f>L236-L237</f>
        <v>1.32E-2</v>
      </c>
      <c r="M238" s="5" t="s">
        <v>48</v>
      </c>
      <c r="O238" s="2" t="s">
        <v>17</v>
      </c>
      <c r="P238" s="48">
        <f>P246/P234</f>
        <v>6.5459306131355013E-4</v>
      </c>
      <c r="Q238" s="48" t="s">
        <v>25</v>
      </c>
      <c r="R238" s="48" t="s">
        <v>25</v>
      </c>
      <c r="S238" s="50">
        <f>S246/S234</f>
        <v>1.3077593722755014E-3</v>
      </c>
      <c r="T238" s="3" t="s">
        <v>25</v>
      </c>
    </row>
    <row r="239" spans="1:20" x14ac:dyDescent="0.3">
      <c r="A239" s="2" t="s">
        <v>22</v>
      </c>
      <c r="B239" s="3" t="s">
        <v>418</v>
      </c>
      <c r="C239" s="3" t="s">
        <v>25</v>
      </c>
      <c r="D239" s="3" t="s">
        <v>25</v>
      </c>
      <c r="E239" s="5" t="s">
        <v>44</v>
      </c>
      <c r="F239" s="6" t="s">
        <v>146</v>
      </c>
      <c r="H239" s="2" t="s">
        <v>22</v>
      </c>
      <c r="I239" s="48" t="s">
        <v>418</v>
      </c>
      <c r="J239" s="48" t="s">
        <v>25</v>
      </c>
      <c r="K239" s="48" t="s">
        <v>25</v>
      </c>
      <c r="L239" s="59" t="s">
        <v>806</v>
      </c>
      <c r="M239" s="5" t="s">
        <v>48</v>
      </c>
      <c r="O239" s="2" t="s">
        <v>22</v>
      </c>
      <c r="P239" s="3" t="s">
        <v>138</v>
      </c>
      <c r="Q239" s="3" t="s">
        <v>25</v>
      </c>
      <c r="R239" s="3" t="s">
        <v>25</v>
      </c>
      <c r="S239" s="5" t="s">
        <v>75</v>
      </c>
      <c r="T239" s="3" t="s">
        <v>25</v>
      </c>
    </row>
    <row r="240" spans="1:20" x14ac:dyDescent="0.3">
      <c r="A240" s="7" t="s">
        <v>26</v>
      </c>
      <c r="B240" s="8">
        <v>119</v>
      </c>
      <c r="C240" s="8">
        <v>28</v>
      </c>
      <c r="D240" s="8">
        <v>23</v>
      </c>
      <c r="E240" s="8">
        <v>18</v>
      </c>
      <c r="F240" s="8">
        <v>50</v>
      </c>
      <c r="H240" s="7" t="s">
        <v>26</v>
      </c>
      <c r="I240" s="8">
        <v>277</v>
      </c>
      <c r="J240" s="8">
        <v>19</v>
      </c>
      <c r="K240" s="8">
        <v>241</v>
      </c>
      <c r="L240" s="8">
        <v>17</v>
      </c>
      <c r="M240" s="8">
        <v>0</v>
      </c>
      <c r="O240" s="7" t="s">
        <v>26</v>
      </c>
      <c r="P240" s="8">
        <v>92</v>
      </c>
      <c r="Q240" s="8">
        <v>32</v>
      </c>
      <c r="R240" s="8">
        <v>0</v>
      </c>
      <c r="S240" s="8">
        <v>60</v>
      </c>
      <c r="T240" s="8">
        <v>0</v>
      </c>
    </row>
    <row r="241" spans="1:20" x14ac:dyDescent="0.3">
      <c r="A241" s="9" t="s">
        <v>27</v>
      </c>
      <c r="B241" s="10">
        <v>22</v>
      </c>
      <c r="C241" s="10">
        <v>11</v>
      </c>
      <c r="D241" s="10">
        <v>6</v>
      </c>
      <c r="E241" s="10">
        <v>1</v>
      </c>
      <c r="F241" s="10">
        <v>4</v>
      </c>
      <c r="H241" s="9" t="s">
        <v>27</v>
      </c>
      <c r="I241" s="10">
        <v>41</v>
      </c>
      <c r="J241" s="10">
        <v>14</v>
      </c>
      <c r="K241" s="10">
        <v>17</v>
      </c>
      <c r="L241" s="10">
        <v>10</v>
      </c>
      <c r="M241" s="10">
        <v>0</v>
      </c>
      <c r="O241" s="9" t="s">
        <v>27</v>
      </c>
      <c r="P241" s="10">
        <v>29</v>
      </c>
      <c r="Q241" s="10">
        <v>12</v>
      </c>
      <c r="R241" s="10">
        <v>0</v>
      </c>
      <c r="S241" s="10">
        <v>17</v>
      </c>
      <c r="T241" s="10">
        <v>0</v>
      </c>
    </row>
    <row r="242" spans="1:20" x14ac:dyDescent="0.3">
      <c r="A242" s="9" t="s">
        <v>28</v>
      </c>
      <c r="B242" s="10">
        <v>43</v>
      </c>
      <c r="C242" s="10">
        <v>2</v>
      </c>
      <c r="D242" s="10">
        <v>0</v>
      </c>
      <c r="E242" s="10">
        <v>6</v>
      </c>
      <c r="F242" s="10">
        <v>35</v>
      </c>
      <c r="H242" s="9" t="s">
        <v>28</v>
      </c>
      <c r="I242" s="10">
        <v>11</v>
      </c>
      <c r="J242" s="10">
        <v>1</v>
      </c>
      <c r="K242" s="10">
        <v>9</v>
      </c>
      <c r="L242" s="10">
        <v>1</v>
      </c>
      <c r="M242" s="10">
        <v>0</v>
      </c>
      <c r="O242" s="9" t="s">
        <v>28</v>
      </c>
      <c r="P242" s="10">
        <v>20</v>
      </c>
      <c r="Q242" s="10">
        <v>9</v>
      </c>
      <c r="R242" s="10">
        <v>0</v>
      </c>
      <c r="S242" s="10">
        <v>11</v>
      </c>
      <c r="T242" s="10">
        <v>0</v>
      </c>
    </row>
    <row r="243" spans="1:20" x14ac:dyDescent="0.3">
      <c r="A243" s="9" t="s">
        <v>29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H243" s="9" t="s">
        <v>29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54</v>
      </c>
      <c r="C244" s="10">
        <v>15</v>
      </c>
      <c r="D244" s="10">
        <v>17</v>
      </c>
      <c r="E244" s="10">
        <v>11</v>
      </c>
      <c r="F244" s="10">
        <v>11</v>
      </c>
      <c r="H244" s="9" t="s">
        <v>30</v>
      </c>
      <c r="I244" s="10">
        <v>225</v>
      </c>
      <c r="J244" s="10">
        <v>4</v>
      </c>
      <c r="K244" s="10">
        <v>215</v>
      </c>
      <c r="L244" s="10">
        <v>6</v>
      </c>
      <c r="M244" s="10">
        <v>0</v>
      </c>
      <c r="O244" s="9" t="s">
        <v>30</v>
      </c>
      <c r="P244" s="10">
        <v>43</v>
      </c>
      <c r="Q244" s="10">
        <v>11</v>
      </c>
      <c r="R244" s="10">
        <v>0</v>
      </c>
      <c r="S244" s="10">
        <v>32</v>
      </c>
      <c r="T244" s="10">
        <v>0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12</v>
      </c>
      <c r="C246" s="12">
        <v>2</v>
      </c>
      <c r="D246" s="12">
        <v>3</v>
      </c>
      <c r="E246" s="12">
        <v>5</v>
      </c>
      <c r="F246" s="12">
        <v>2</v>
      </c>
      <c r="H246" s="11" t="s">
        <v>32</v>
      </c>
      <c r="I246" s="12">
        <v>28</v>
      </c>
      <c r="J246" s="12">
        <v>8</v>
      </c>
      <c r="K246" s="12">
        <v>3</v>
      </c>
      <c r="L246" s="12">
        <v>15</v>
      </c>
      <c r="M246" s="12">
        <v>2</v>
      </c>
      <c r="O246" s="11" t="s">
        <v>32</v>
      </c>
      <c r="P246" s="12">
        <v>3</v>
      </c>
      <c r="Q246" s="12">
        <v>0</v>
      </c>
      <c r="R246" s="12">
        <v>0</v>
      </c>
      <c r="S246" s="12">
        <v>3</v>
      </c>
      <c r="T246" s="12">
        <v>0</v>
      </c>
    </row>
    <row r="247" spans="1:20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H247" s="13" t="s">
        <v>33</v>
      </c>
      <c r="I247" s="14">
        <v>2</v>
      </c>
      <c r="J247" s="14">
        <v>2</v>
      </c>
      <c r="K247" s="14">
        <v>0</v>
      </c>
      <c r="L247" s="14">
        <v>0</v>
      </c>
      <c r="M247" s="14">
        <v>0</v>
      </c>
      <c r="O247" s="13" t="s">
        <v>33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12</v>
      </c>
      <c r="C248" s="14">
        <v>2</v>
      </c>
      <c r="D248" s="14">
        <v>3</v>
      </c>
      <c r="E248" s="14">
        <v>5</v>
      </c>
      <c r="F248" s="14">
        <v>2</v>
      </c>
      <c r="H248" s="13" t="s">
        <v>34</v>
      </c>
      <c r="I248" s="14">
        <v>26</v>
      </c>
      <c r="J248" s="14">
        <v>6</v>
      </c>
      <c r="K248" s="14">
        <v>3</v>
      </c>
      <c r="L248" s="14">
        <v>15</v>
      </c>
      <c r="M248" s="14">
        <v>2</v>
      </c>
      <c r="O248" s="13" t="s">
        <v>34</v>
      </c>
      <c r="P248" s="14">
        <v>3</v>
      </c>
      <c r="Q248" s="14">
        <v>0</v>
      </c>
      <c r="R248" s="14">
        <v>0</v>
      </c>
      <c r="S248" s="14">
        <v>3</v>
      </c>
      <c r="T248" s="14">
        <v>0</v>
      </c>
    </row>
    <row r="249" spans="1:20" x14ac:dyDescent="0.3">
      <c r="A249" s="15" t="s">
        <v>35</v>
      </c>
      <c r="B249" s="16">
        <v>6</v>
      </c>
      <c r="C249" s="16">
        <v>0</v>
      </c>
      <c r="D249" s="16">
        <v>0</v>
      </c>
      <c r="E249" s="16">
        <v>4</v>
      </c>
      <c r="F249" s="16">
        <v>2</v>
      </c>
      <c r="H249" s="15" t="s">
        <v>35</v>
      </c>
      <c r="I249" s="16">
        <v>14</v>
      </c>
      <c r="J249" s="16">
        <v>0</v>
      </c>
      <c r="K249" s="16">
        <v>0</v>
      </c>
      <c r="L249" s="16">
        <v>12</v>
      </c>
      <c r="M249" s="16">
        <v>2</v>
      </c>
      <c r="O249" s="15" t="s">
        <v>35</v>
      </c>
      <c r="P249" s="16">
        <v>3</v>
      </c>
      <c r="Q249" s="16">
        <v>0</v>
      </c>
      <c r="R249" s="16">
        <v>0</v>
      </c>
      <c r="S249" s="16">
        <v>3</v>
      </c>
      <c r="T249" s="16">
        <v>0</v>
      </c>
    </row>
    <row r="250" spans="1:20" x14ac:dyDescent="0.3">
      <c r="A250" s="17" t="s">
        <v>36</v>
      </c>
      <c r="B250" s="18">
        <v>6</v>
      </c>
      <c r="C250" s="18">
        <v>0</v>
      </c>
      <c r="D250" s="18">
        <v>0</v>
      </c>
      <c r="E250" s="18">
        <v>4</v>
      </c>
      <c r="F250" s="18">
        <v>2</v>
      </c>
      <c r="H250" s="17" t="s">
        <v>36</v>
      </c>
      <c r="I250" s="78">
        <v>14</v>
      </c>
      <c r="J250" s="78">
        <v>0</v>
      </c>
      <c r="K250" s="78">
        <v>0</v>
      </c>
      <c r="L250" s="78">
        <v>12</v>
      </c>
      <c r="M250" s="78">
        <v>2</v>
      </c>
      <c r="O250" s="17" t="s">
        <v>36</v>
      </c>
      <c r="P250" s="130">
        <v>3</v>
      </c>
      <c r="Q250" s="130">
        <v>0</v>
      </c>
      <c r="R250" s="130">
        <v>0</v>
      </c>
      <c r="S250" s="130">
        <v>3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7" t="s">
        <v>656</v>
      </c>
      <c r="C252" s="168"/>
      <c r="D252" s="168"/>
      <c r="E252" s="168"/>
      <c r="F252" s="168"/>
      <c r="H252" s="17" t="s">
        <v>38</v>
      </c>
      <c r="I252" s="167" t="s">
        <v>1472</v>
      </c>
      <c r="J252" s="168"/>
      <c r="K252" s="168"/>
      <c r="L252" s="168"/>
      <c r="M252" s="168"/>
      <c r="O252" s="17" t="s">
        <v>38</v>
      </c>
      <c r="P252" s="172" t="s">
        <v>51</v>
      </c>
      <c r="Q252" s="173"/>
      <c r="R252" s="173"/>
      <c r="S252" s="173"/>
      <c r="T252" s="173"/>
    </row>
    <row r="253" spans="1:20" ht="19.8" x14ac:dyDescent="0.3">
      <c r="A253" s="171">
        <v>46099</v>
      </c>
      <c r="B253" s="171"/>
      <c r="C253" s="171"/>
      <c r="D253" s="171"/>
      <c r="E253" s="171"/>
      <c r="F253" s="171"/>
      <c r="H253" s="170">
        <v>46127</v>
      </c>
      <c r="I253" s="168"/>
      <c r="J253" s="168"/>
      <c r="K253" s="168"/>
      <c r="L253" s="168"/>
      <c r="M253" s="168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642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760</v>
      </c>
      <c r="S254" s="1" t="s">
        <v>40</v>
      </c>
      <c r="T254" s="1" t="s">
        <v>871</v>
      </c>
    </row>
    <row r="255" spans="1:20" x14ac:dyDescent="0.3">
      <c r="A255" s="2" t="s">
        <v>5</v>
      </c>
      <c r="B255" s="3">
        <v>1550</v>
      </c>
      <c r="C255" s="3">
        <v>0</v>
      </c>
      <c r="D255" s="3">
        <v>0</v>
      </c>
      <c r="E255" s="3">
        <v>839</v>
      </c>
      <c r="F255" s="3">
        <v>711</v>
      </c>
      <c r="H255" s="2" t="s">
        <v>5</v>
      </c>
      <c r="I255" s="3">
        <v>4150</v>
      </c>
      <c r="J255" s="3">
        <v>1670</v>
      </c>
      <c r="K255" s="3">
        <v>1026</v>
      </c>
      <c r="L255" s="3">
        <v>1177</v>
      </c>
      <c r="M255" s="3">
        <v>277</v>
      </c>
      <c r="O255" s="2" t="s">
        <v>5</v>
      </c>
      <c r="P255" s="3">
        <v>3770</v>
      </c>
      <c r="Q255" s="3">
        <v>1877</v>
      </c>
      <c r="R255" s="3">
        <v>0</v>
      </c>
      <c r="S255" s="3">
        <v>1893</v>
      </c>
      <c r="T255" s="3">
        <v>0</v>
      </c>
    </row>
    <row r="256" spans="1:20" x14ac:dyDescent="0.3">
      <c r="A256" s="2" t="s">
        <v>6</v>
      </c>
      <c r="B256" s="3">
        <v>13</v>
      </c>
      <c r="C256" s="3">
        <v>0</v>
      </c>
      <c r="D256" s="3">
        <v>0</v>
      </c>
      <c r="E256" s="5">
        <v>8</v>
      </c>
      <c r="F256" s="6">
        <v>5</v>
      </c>
      <c r="H256" s="2" t="s">
        <v>6</v>
      </c>
      <c r="I256" s="3">
        <v>95</v>
      </c>
      <c r="J256" s="4">
        <v>27</v>
      </c>
      <c r="K256" s="6">
        <v>31</v>
      </c>
      <c r="L256" s="5">
        <v>32</v>
      </c>
      <c r="M256" s="3">
        <v>5</v>
      </c>
      <c r="O256" s="2" t="s">
        <v>6</v>
      </c>
      <c r="P256" s="3">
        <v>74</v>
      </c>
      <c r="Q256" s="6">
        <v>23</v>
      </c>
      <c r="R256" s="3">
        <v>0</v>
      </c>
      <c r="S256" s="5">
        <v>51</v>
      </c>
      <c r="T256" s="3">
        <v>0</v>
      </c>
    </row>
    <row r="257" spans="1:20" x14ac:dyDescent="0.3">
      <c r="A257" s="2" t="s">
        <v>7</v>
      </c>
      <c r="B257" s="3" t="s">
        <v>717</v>
      </c>
      <c r="C257" s="3">
        <v>0</v>
      </c>
      <c r="D257" s="3">
        <v>0</v>
      </c>
      <c r="E257" s="5" t="s">
        <v>404</v>
      </c>
      <c r="F257" s="6" t="s">
        <v>484</v>
      </c>
      <c r="H257" s="2" t="s">
        <v>7</v>
      </c>
      <c r="I257" s="3" t="s">
        <v>540</v>
      </c>
      <c r="J257" s="3" t="s">
        <v>1502</v>
      </c>
      <c r="K257" s="5" t="s">
        <v>626</v>
      </c>
      <c r="L257" s="6" t="s">
        <v>440</v>
      </c>
      <c r="M257" s="4" t="s">
        <v>775</v>
      </c>
      <c r="O257" s="2" t="s">
        <v>7</v>
      </c>
      <c r="P257" s="3" t="s">
        <v>1072</v>
      </c>
      <c r="Q257" s="6" t="s">
        <v>1894</v>
      </c>
      <c r="R257" s="3">
        <v>0</v>
      </c>
      <c r="S257" s="5" t="s">
        <v>888</v>
      </c>
      <c r="T257" s="3">
        <v>0</v>
      </c>
    </row>
    <row r="258" spans="1:20" x14ac:dyDescent="0.3">
      <c r="A258" s="2" t="s">
        <v>12</v>
      </c>
      <c r="B258" s="3" t="s">
        <v>146</v>
      </c>
      <c r="C258" s="3">
        <v>0</v>
      </c>
      <c r="D258" s="3">
        <v>0</v>
      </c>
      <c r="E258" s="6" t="s">
        <v>347</v>
      </c>
      <c r="F258" s="5" t="s">
        <v>78</v>
      </c>
      <c r="H258" s="2" t="s">
        <v>12</v>
      </c>
      <c r="I258" s="3" t="s">
        <v>282</v>
      </c>
      <c r="J258" s="4" t="s">
        <v>281</v>
      </c>
      <c r="K258" s="5" t="s">
        <v>557</v>
      </c>
      <c r="L258" s="6" t="s">
        <v>389</v>
      </c>
      <c r="M258" s="3" t="s">
        <v>156</v>
      </c>
      <c r="O258" s="2" t="s">
        <v>12</v>
      </c>
      <c r="P258" s="3" t="s">
        <v>1704</v>
      </c>
      <c r="Q258" s="6" t="s">
        <v>1894</v>
      </c>
      <c r="R258" s="3">
        <v>0</v>
      </c>
      <c r="S258" s="5" t="s">
        <v>357</v>
      </c>
      <c r="T258" s="3">
        <v>0</v>
      </c>
    </row>
    <row r="259" spans="1:20" x14ac:dyDescent="0.3">
      <c r="A259" s="2" t="s">
        <v>17</v>
      </c>
      <c r="B259" s="48">
        <f>B257-B258</f>
        <v>5.1999999999999998E-3</v>
      </c>
      <c r="C259" s="3" t="s">
        <v>25</v>
      </c>
      <c r="D259" s="3" t="s">
        <v>25</v>
      </c>
      <c r="E259" s="50">
        <f>E257-E258</f>
        <v>7.1000000000000004E-3</v>
      </c>
      <c r="F259" s="6" t="s">
        <v>595</v>
      </c>
      <c r="H259" s="2" t="s">
        <v>17</v>
      </c>
      <c r="I259" s="3">
        <f>I257-I258</f>
        <v>4.3000000000000017E-3</v>
      </c>
      <c r="J259" s="4" t="s">
        <v>102</v>
      </c>
      <c r="K259" s="6" t="s">
        <v>419</v>
      </c>
      <c r="L259" s="5">
        <f>L257-L258</f>
        <v>8.4999999999999971E-3</v>
      </c>
      <c r="M259" s="5">
        <f>M257-M258</f>
        <v>7.3000000000000009E-3</v>
      </c>
      <c r="O259" s="2" t="s">
        <v>17</v>
      </c>
      <c r="P259" s="48">
        <f>P267/P255</f>
        <v>5.305039787798408E-4</v>
      </c>
      <c r="Q259" s="3" t="s">
        <v>25</v>
      </c>
      <c r="R259" s="3" t="s">
        <v>25</v>
      </c>
      <c r="S259" s="50">
        <f>S267/S255</f>
        <v>1.0565240359218173E-3</v>
      </c>
      <c r="T259" s="3" t="s">
        <v>25</v>
      </c>
    </row>
    <row r="260" spans="1:20" x14ac:dyDescent="0.3">
      <c r="A260" s="2" t="s">
        <v>22</v>
      </c>
      <c r="B260" s="3" t="s">
        <v>241</v>
      </c>
      <c r="C260" s="3" t="s">
        <v>25</v>
      </c>
      <c r="D260" s="3" t="s">
        <v>25</v>
      </c>
      <c r="E260" s="5" t="s">
        <v>174</v>
      </c>
      <c r="F260" s="6" t="s">
        <v>595</v>
      </c>
      <c r="H260" s="2" t="s">
        <v>22</v>
      </c>
      <c r="I260" s="3" t="s">
        <v>347</v>
      </c>
      <c r="J260" s="4" t="s">
        <v>102</v>
      </c>
      <c r="K260" s="3" t="s">
        <v>25</v>
      </c>
      <c r="L260" s="6" t="s">
        <v>654</v>
      </c>
      <c r="M260" s="5" t="s">
        <v>750</v>
      </c>
      <c r="O260" s="2" t="s">
        <v>22</v>
      </c>
      <c r="P260" s="3" t="s">
        <v>158</v>
      </c>
      <c r="Q260" s="3" t="s">
        <v>25</v>
      </c>
      <c r="R260" s="3" t="s">
        <v>25</v>
      </c>
      <c r="S260" s="5" t="s">
        <v>49</v>
      </c>
      <c r="T260" s="3" t="s">
        <v>25</v>
      </c>
    </row>
    <row r="261" spans="1:20" x14ac:dyDescent="0.3">
      <c r="A261" s="7" t="s">
        <v>26</v>
      </c>
      <c r="B261" s="8">
        <v>5</v>
      </c>
      <c r="C261" s="8">
        <v>0</v>
      </c>
      <c r="D261" s="8">
        <v>0</v>
      </c>
      <c r="E261" s="8">
        <v>2</v>
      </c>
      <c r="F261" s="8">
        <v>3</v>
      </c>
      <c r="H261" s="7" t="s">
        <v>26</v>
      </c>
      <c r="I261" s="8">
        <v>77</v>
      </c>
      <c r="J261" s="8">
        <v>25</v>
      </c>
      <c r="K261" s="8">
        <v>27</v>
      </c>
      <c r="L261" s="8">
        <v>22</v>
      </c>
      <c r="M261" s="8">
        <v>3</v>
      </c>
      <c r="O261" s="7" t="s">
        <v>26</v>
      </c>
      <c r="P261" s="8">
        <v>72</v>
      </c>
      <c r="Q261" s="8">
        <v>23</v>
      </c>
      <c r="R261" s="8">
        <v>0</v>
      </c>
      <c r="S261" s="8">
        <v>49</v>
      </c>
      <c r="T261" s="8">
        <v>0</v>
      </c>
    </row>
    <row r="262" spans="1:20" x14ac:dyDescent="0.3">
      <c r="A262" s="9" t="s">
        <v>27</v>
      </c>
      <c r="B262" s="10">
        <v>1</v>
      </c>
      <c r="C262" s="10">
        <v>0</v>
      </c>
      <c r="D262" s="10">
        <v>0</v>
      </c>
      <c r="E262" s="10">
        <v>0</v>
      </c>
      <c r="F262" s="10">
        <v>1</v>
      </c>
      <c r="H262" s="9" t="s">
        <v>27</v>
      </c>
      <c r="I262" s="10">
        <v>69</v>
      </c>
      <c r="J262" s="10">
        <v>23</v>
      </c>
      <c r="K262" s="10">
        <v>25</v>
      </c>
      <c r="L262" s="10">
        <v>18</v>
      </c>
      <c r="M262" s="10">
        <v>3</v>
      </c>
      <c r="O262" s="9" t="s">
        <v>27</v>
      </c>
      <c r="P262" s="10">
        <v>18</v>
      </c>
      <c r="Q262" s="10">
        <v>5</v>
      </c>
      <c r="R262" s="10">
        <v>0</v>
      </c>
      <c r="S262" s="10">
        <v>13</v>
      </c>
      <c r="T262" s="10">
        <v>0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2</v>
      </c>
      <c r="J263" s="10">
        <v>0</v>
      </c>
      <c r="K263" s="10">
        <v>0</v>
      </c>
      <c r="L263" s="10">
        <v>2</v>
      </c>
      <c r="M263" s="10">
        <v>0</v>
      </c>
      <c r="O263" s="9" t="s">
        <v>28</v>
      </c>
      <c r="P263" s="10">
        <v>18</v>
      </c>
      <c r="Q263" s="10">
        <v>8</v>
      </c>
      <c r="R263" s="10">
        <v>0</v>
      </c>
      <c r="S263" s="10">
        <v>10</v>
      </c>
      <c r="T263" s="10">
        <v>0</v>
      </c>
    </row>
    <row r="264" spans="1:20" x14ac:dyDescent="0.3">
      <c r="A264" s="9" t="s">
        <v>29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H264" s="9" t="s">
        <v>29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4</v>
      </c>
      <c r="C265" s="10">
        <v>0</v>
      </c>
      <c r="D265" s="10">
        <v>0</v>
      </c>
      <c r="E265" s="10">
        <v>2</v>
      </c>
      <c r="F265" s="10">
        <v>2</v>
      </c>
      <c r="H265" s="9" t="s">
        <v>30</v>
      </c>
      <c r="I265" s="10">
        <v>6</v>
      </c>
      <c r="J265" s="10">
        <v>2</v>
      </c>
      <c r="K265" s="10">
        <v>2</v>
      </c>
      <c r="L265" s="10">
        <v>2</v>
      </c>
      <c r="M265" s="10">
        <v>0</v>
      </c>
      <c r="O265" s="9" t="s">
        <v>30</v>
      </c>
      <c r="P265" s="10">
        <v>36</v>
      </c>
      <c r="Q265" s="10">
        <v>10</v>
      </c>
      <c r="R265" s="10">
        <v>0</v>
      </c>
      <c r="S265" s="10">
        <v>26</v>
      </c>
      <c r="T265" s="10">
        <v>0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8</v>
      </c>
      <c r="C267" s="12">
        <v>0</v>
      </c>
      <c r="D267" s="12">
        <v>0</v>
      </c>
      <c r="E267" s="12">
        <v>6</v>
      </c>
      <c r="F267" s="12">
        <v>2</v>
      </c>
      <c r="H267" s="11" t="s">
        <v>32</v>
      </c>
      <c r="I267" s="12">
        <v>18</v>
      </c>
      <c r="J267" s="12">
        <v>2</v>
      </c>
      <c r="K267" s="12">
        <v>4</v>
      </c>
      <c r="L267" s="12">
        <v>10</v>
      </c>
      <c r="M267" s="12">
        <v>2</v>
      </c>
      <c r="O267" s="11" t="s">
        <v>32</v>
      </c>
      <c r="P267" s="12">
        <v>2</v>
      </c>
      <c r="Q267" s="12">
        <v>0</v>
      </c>
      <c r="R267" s="12">
        <v>0</v>
      </c>
      <c r="S267" s="12">
        <v>2</v>
      </c>
      <c r="T267" s="12">
        <v>0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8</v>
      </c>
      <c r="C269" s="14">
        <v>0</v>
      </c>
      <c r="D269" s="14">
        <v>0</v>
      </c>
      <c r="E269" s="14">
        <v>6</v>
      </c>
      <c r="F269" s="14">
        <v>2</v>
      </c>
      <c r="H269" s="13" t="s">
        <v>34</v>
      </c>
      <c r="I269" s="14">
        <v>18</v>
      </c>
      <c r="J269" s="14">
        <v>2</v>
      </c>
      <c r="K269" s="14">
        <v>4</v>
      </c>
      <c r="L269" s="14">
        <v>10</v>
      </c>
      <c r="M269" s="14">
        <v>2</v>
      </c>
      <c r="O269" s="13" t="s">
        <v>34</v>
      </c>
      <c r="P269" s="14">
        <v>2</v>
      </c>
      <c r="Q269" s="14">
        <v>0</v>
      </c>
      <c r="R269" s="14">
        <v>0</v>
      </c>
      <c r="S269" s="14">
        <v>2</v>
      </c>
      <c r="T269" s="14">
        <v>0</v>
      </c>
    </row>
    <row r="270" spans="1:20" x14ac:dyDescent="0.3">
      <c r="A270" s="15" t="s">
        <v>35</v>
      </c>
      <c r="B270" s="16">
        <v>7</v>
      </c>
      <c r="C270" s="16">
        <v>0</v>
      </c>
      <c r="D270" s="16">
        <v>0</v>
      </c>
      <c r="E270" s="16">
        <v>5</v>
      </c>
      <c r="F270" s="16">
        <v>2</v>
      </c>
      <c r="H270" s="15" t="s">
        <v>35</v>
      </c>
      <c r="I270" s="16">
        <v>10</v>
      </c>
      <c r="J270" s="16">
        <v>2</v>
      </c>
      <c r="K270" s="16">
        <v>0</v>
      </c>
      <c r="L270" s="16">
        <v>6</v>
      </c>
      <c r="M270" s="16">
        <v>2</v>
      </c>
      <c r="O270" s="15" t="s">
        <v>35</v>
      </c>
      <c r="P270" s="16">
        <v>2</v>
      </c>
      <c r="Q270" s="16">
        <v>0</v>
      </c>
      <c r="R270" s="16">
        <v>0</v>
      </c>
      <c r="S270" s="16">
        <v>2</v>
      </c>
      <c r="T270" s="16">
        <v>0</v>
      </c>
    </row>
    <row r="271" spans="1:20" x14ac:dyDescent="0.3">
      <c r="A271" s="17" t="s">
        <v>36</v>
      </c>
      <c r="B271" s="18">
        <v>7</v>
      </c>
      <c r="C271" s="18">
        <v>0</v>
      </c>
      <c r="D271" s="18">
        <v>0</v>
      </c>
      <c r="E271" s="18">
        <v>5</v>
      </c>
      <c r="F271" s="18">
        <v>2</v>
      </c>
      <c r="H271" s="17" t="s">
        <v>36</v>
      </c>
      <c r="I271" s="78">
        <v>8</v>
      </c>
      <c r="J271" s="78">
        <v>0</v>
      </c>
      <c r="K271" s="78">
        <v>0</v>
      </c>
      <c r="L271" s="78">
        <v>6</v>
      </c>
      <c r="M271" s="78">
        <v>2</v>
      </c>
      <c r="O271" s="17" t="s">
        <v>36</v>
      </c>
      <c r="P271" s="130">
        <v>2</v>
      </c>
      <c r="Q271" s="130">
        <v>0</v>
      </c>
      <c r="R271" s="130">
        <v>0</v>
      </c>
      <c r="S271" s="130">
        <v>2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2</v>
      </c>
      <c r="J272" s="78">
        <v>2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72" t="s">
        <v>718</v>
      </c>
      <c r="C273" s="173"/>
      <c r="D273" s="173"/>
      <c r="E273" s="173"/>
      <c r="F273" s="173"/>
      <c r="H273" s="17" t="s">
        <v>38</v>
      </c>
      <c r="I273" s="167" t="s">
        <v>1503</v>
      </c>
      <c r="J273" s="168"/>
      <c r="K273" s="168"/>
      <c r="L273" s="168"/>
      <c r="M273" s="168"/>
      <c r="O273" s="17" t="s">
        <v>38</v>
      </c>
      <c r="P273" s="172" t="s">
        <v>51</v>
      </c>
      <c r="Q273" s="173"/>
      <c r="R273" s="173"/>
      <c r="S273" s="173"/>
      <c r="T273" s="173"/>
    </row>
    <row r="274" spans="1:20" ht="19.8" x14ac:dyDescent="0.3">
      <c r="A274" s="171">
        <v>46100</v>
      </c>
      <c r="B274" s="171"/>
      <c r="C274" s="171"/>
      <c r="D274" s="171"/>
      <c r="E274" s="171"/>
      <c r="F274" s="171"/>
      <c r="H274" s="170">
        <v>46128</v>
      </c>
      <c r="I274" s="168"/>
      <c r="J274" s="168"/>
      <c r="K274" s="168"/>
      <c r="L274" s="168"/>
      <c r="M274" s="168"/>
      <c r="O274" s="170">
        <v>46160</v>
      </c>
      <c r="P274" s="168"/>
      <c r="Q274" s="168"/>
      <c r="R274" s="168"/>
      <c r="S274" s="168"/>
      <c r="T274" s="168"/>
    </row>
    <row r="275" spans="1:20" x14ac:dyDescent="0.3">
      <c r="A275" s="1" t="s">
        <v>0</v>
      </c>
      <c r="B275" s="1" t="s">
        <v>1</v>
      </c>
      <c r="C275" s="1" t="s">
        <v>642</v>
      </c>
      <c r="D275" s="1" t="s">
        <v>760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871</v>
      </c>
    </row>
    <row r="276" spans="1:20" x14ac:dyDescent="0.3">
      <c r="A276" s="2" t="s">
        <v>5</v>
      </c>
      <c r="B276" s="3">
        <v>1628</v>
      </c>
      <c r="C276" s="3">
        <v>0</v>
      </c>
      <c r="D276" s="3">
        <v>0</v>
      </c>
      <c r="E276" s="3">
        <v>836</v>
      </c>
      <c r="F276" s="3">
        <v>792</v>
      </c>
      <c r="H276" s="2" t="s">
        <v>5</v>
      </c>
      <c r="I276" s="3">
        <v>4429</v>
      </c>
      <c r="J276" s="3">
        <v>2005</v>
      </c>
      <c r="K276" s="3">
        <v>1091</v>
      </c>
      <c r="L276" s="3">
        <v>1325</v>
      </c>
      <c r="M276" s="3">
        <v>8</v>
      </c>
      <c r="O276" s="2" t="s">
        <v>5</v>
      </c>
      <c r="P276" s="3">
        <v>2929</v>
      </c>
      <c r="Q276" s="3">
        <v>1446</v>
      </c>
      <c r="R276" s="3">
        <v>0</v>
      </c>
      <c r="S276" s="3">
        <v>1483</v>
      </c>
      <c r="T276" s="3">
        <v>0</v>
      </c>
    </row>
    <row r="277" spans="1:20" x14ac:dyDescent="0.3">
      <c r="A277" s="2" t="s">
        <v>6</v>
      </c>
      <c r="B277" s="3">
        <v>42</v>
      </c>
      <c r="C277" s="3">
        <v>0</v>
      </c>
      <c r="D277" s="3">
        <v>0</v>
      </c>
      <c r="E277" s="6">
        <v>14</v>
      </c>
      <c r="F277" s="5">
        <v>28</v>
      </c>
      <c r="H277" s="2" t="s">
        <v>6</v>
      </c>
      <c r="I277" s="3">
        <v>147</v>
      </c>
      <c r="J277" s="6">
        <v>46</v>
      </c>
      <c r="K277" s="4">
        <v>22</v>
      </c>
      <c r="L277" s="5">
        <v>71</v>
      </c>
      <c r="M277" s="3">
        <v>8</v>
      </c>
      <c r="O277" s="2" t="s">
        <v>6</v>
      </c>
      <c r="P277" s="3">
        <v>50</v>
      </c>
      <c r="Q277" s="6">
        <v>24</v>
      </c>
      <c r="R277" s="3">
        <v>0</v>
      </c>
      <c r="S277" s="5">
        <v>26</v>
      </c>
      <c r="T277" s="3">
        <v>0</v>
      </c>
    </row>
    <row r="278" spans="1:20" x14ac:dyDescent="0.3">
      <c r="A278" s="2" t="s">
        <v>7</v>
      </c>
      <c r="B278" s="3" t="s">
        <v>391</v>
      </c>
      <c r="C278" s="3">
        <v>0</v>
      </c>
      <c r="D278" s="3">
        <v>0</v>
      </c>
      <c r="E278" s="6" t="s">
        <v>748</v>
      </c>
      <c r="F278" s="5" t="s">
        <v>749</v>
      </c>
      <c r="H278" s="2" t="s">
        <v>7</v>
      </c>
      <c r="I278" s="3" t="s">
        <v>666</v>
      </c>
      <c r="J278" s="4" t="s">
        <v>540</v>
      </c>
      <c r="K278" s="3" t="s">
        <v>803</v>
      </c>
      <c r="L278" s="6" t="s">
        <v>1517</v>
      </c>
      <c r="M278" s="5" t="s">
        <v>48</v>
      </c>
      <c r="O278" s="2" t="s">
        <v>7</v>
      </c>
      <c r="P278" s="3" t="s">
        <v>1018</v>
      </c>
      <c r="Q278" s="6" t="s">
        <v>472</v>
      </c>
      <c r="R278" s="3">
        <v>0</v>
      </c>
      <c r="S278" s="5" t="s">
        <v>117</v>
      </c>
      <c r="T278" s="3">
        <v>0</v>
      </c>
    </row>
    <row r="279" spans="1:20" x14ac:dyDescent="0.3">
      <c r="A279" s="2" t="s">
        <v>12</v>
      </c>
      <c r="B279" s="3" t="s">
        <v>76</v>
      </c>
      <c r="C279" s="3">
        <v>0</v>
      </c>
      <c r="D279" s="3">
        <v>0</v>
      </c>
      <c r="E279" s="5" t="s">
        <v>750</v>
      </c>
      <c r="F279" s="6" t="s">
        <v>47</v>
      </c>
      <c r="H279" s="2" t="s">
        <v>12</v>
      </c>
      <c r="I279" s="3" t="s">
        <v>1019</v>
      </c>
      <c r="J279" s="6" t="s">
        <v>802</v>
      </c>
      <c r="K279" s="4" t="s">
        <v>450</v>
      </c>
      <c r="L279" s="5" t="s">
        <v>105</v>
      </c>
      <c r="M279" s="3" t="s">
        <v>25</v>
      </c>
      <c r="O279" s="2" t="s">
        <v>12</v>
      </c>
      <c r="P279" s="3" t="s">
        <v>510</v>
      </c>
      <c r="Q279" s="5" t="s">
        <v>472</v>
      </c>
      <c r="R279" s="3">
        <v>0</v>
      </c>
      <c r="S279" s="6" t="s">
        <v>1296</v>
      </c>
      <c r="T279" s="3">
        <v>0</v>
      </c>
    </row>
    <row r="280" spans="1:20" x14ac:dyDescent="0.3">
      <c r="A280" s="2" t="s">
        <v>17</v>
      </c>
      <c r="B280" s="48">
        <f>B278-B279</f>
        <v>2.0900000000000002E-2</v>
      </c>
      <c r="C280" s="3" t="s">
        <v>25</v>
      </c>
      <c r="D280" s="3" t="s">
        <v>25</v>
      </c>
      <c r="E280" s="50">
        <f>E278-E279</f>
        <v>9.4999999999999998E-3</v>
      </c>
      <c r="F280" s="50">
        <f>F278-F279</f>
        <v>3.2899999999999999E-2</v>
      </c>
      <c r="H280" s="2" t="s">
        <v>17</v>
      </c>
      <c r="I280" s="48">
        <f>I278-I279</f>
        <v>1.0800000000000001E-2</v>
      </c>
      <c r="J280" s="4" t="s">
        <v>81</v>
      </c>
      <c r="K280" s="6" t="s">
        <v>109</v>
      </c>
      <c r="L280" s="50">
        <f>L278-L279</f>
        <v>2.7200000000000002E-2</v>
      </c>
      <c r="M280" s="5" t="s">
        <v>48</v>
      </c>
      <c r="O280" s="2" t="s">
        <v>17</v>
      </c>
      <c r="P280" s="48">
        <f>P288/P276</f>
        <v>1.707067258449983E-3</v>
      </c>
      <c r="Q280" s="3" t="s">
        <v>25</v>
      </c>
      <c r="R280" s="3" t="s">
        <v>25</v>
      </c>
      <c r="S280" s="50">
        <f>S288/S276</f>
        <v>3.3715441672285905E-3</v>
      </c>
      <c r="T280" s="3" t="s">
        <v>25</v>
      </c>
    </row>
    <row r="281" spans="1:20" x14ac:dyDescent="0.3">
      <c r="A281" s="2" t="s">
        <v>22</v>
      </c>
      <c r="B281" s="3" t="s">
        <v>280</v>
      </c>
      <c r="C281" s="3" t="s">
        <v>25</v>
      </c>
      <c r="D281" s="3" t="s">
        <v>25</v>
      </c>
      <c r="E281" s="6" t="s">
        <v>174</v>
      </c>
      <c r="F281" s="5" t="s">
        <v>145</v>
      </c>
      <c r="H281" s="2" t="s">
        <v>22</v>
      </c>
      <c r="I281" s="3" t="s">
        <v>404</v>
      </c>
      <c r="J281" s="3" t="s">
        <v>25</v>
      </c>
      <c r="K281" s="3" t="s">
        <v>25</v>
      </c>
      <c r="L281" s="6" t="s">
        <v>1130</v>
      </c>
      <c r="M281" s="5" t="s">
        <v>48</v>
      </c>
      <c r="O281" s="2" t="s">
        <v>22</v>
      </c>
      <c r="P281" s="3" t="s">
        <v>108</v>
      </c>
      <c r="Q281" s="3" t="s">
        <v>25</v>
      </c>
      <c r="R281" s="3" t="s">
        <v>25</v>
      </c>
      <c r="S281" s="5" t="s">
        <v>100</v>
      </c>
      <c r="T281" s="3" t="s">
        <v>25</v>
      </c>
    </row>
    <row r="282" spans="1:20" x14ac:dyDescent="0.3">
      <c r="A282" s="7" t="s">
        <v>26</v>
      </c>
      <c r="B282" s="8">
        <v>8</v>
      </c>
      <c r="C282" s="8">
        <v>0</v>
      </c>
      <c r="D282" s="8">
        <v>0</v>
      </c>
      <c r="E282" s="8">
        <v>6</v>
      </c>
      <c r="F282" s="8">
        <v>2</v>
      </c>
      <c r="H282" s="7" t="s">
        <v>26</v>
      </c>
      <c r="I282" s="8">
        <v>99</v>
      </c>
      <c r="J282" s="8">
        <v>44</v>
      </c>
      <c r="K282" s="8">
        <v>20</v>
      </c>
      <c r="L282" s="8">
        <v>35</v>
      </c>
      <c r="M282" s="8">
        <v>0</v>
      </c>
      <c r="O282" s="7" t="s">
        <v>26</v>
      </c>
      <c r="P282" s="8">
        <v>45</v>
      </c>
      <c r="Q282" s="8">
        <v>24</v>
      </c>
      <c r="R282" s="8">
        <v>0</v>
      </c>
      <c r="S282" s="8">
        <v>21</v>
      </c>
      <c r="T282" s="8">
        <v>0</v>
      </c>
    </row>
    <row r="283" spans="1:20" x14ac:dyDescent="0.3">
      <c r="A283" s="9" t="s">
        <v>27</v>
      </c>
      <c r="B283" s="10">
        <v>3</v>
      </c>
      <c r="C283" s="10">
        <v>0</v>
      </c>
      <c r="D283" s="10">
        <v>0</v>
      </c>
      <c r="E283" s="10">
        <v>2</v>
      </c>
      <c r="F283" s="10">
        <v>1</v>
      </c>
      <c r="H283" s="9" t="s">
        <v>27</v>
      </c>
      <c r="I283" s="10">
        <v>86</v>
      </c>
      <c r="J283" s="10">
        <v>37</v>
      </c>
      <c r="K283" s="10">
        <v>19</v>
      </c>
      <c r="L283" s="10">
        <v>30</v>
      </c>
      <c r="M283" s="10">
        <v>0</v>
      </c>
      <c r="O283" s="9" t="s">
        <v>27</v>
      </c>
      <c r="P283" s="10">
        <v>17</v>
      </c>
      <c r="Q283" s="10">
        <v>8</v>
      </c>
      <c r="R283" s="10">
        <v>0</v>
      </c>
      <c r="S283" s="10">
        <v>9</v>
      </c>
      <c r="T283" s="10">
        <v>0</v>
      </c>
    </row>
    <row r="284" spans="1:20" x14ac:dyDescent="0.3">
      <c r="A284" s="9" t="s">
        <v>28</v>
      </c>
      <c r="B284" s="10">
        <v>1</v>
      </c>
      <c r="C284" s="10">
        <v>0</v>
      </c>
      <c r="D284" s="10">
        <v>0</v>
      </c>
      <c r="E284" s="10">
        <v>0</v>
      </c>
      <c r="F284" s="10">
        <v>1</v>
      </c>
      <c r="H284" s="9" t="s">
        <v>28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O284" s="9" t="s">
        <v>28</v>
      </c>
      <c r="P284" s="10">
        <v>8</v>
      </c>
      <c r="Q284" s="10">
        <v>6</v>
      </c>
      <c r="R284" s="10">
        <v>0</v>
      </c>
      <c r="S284" s="10">
        <v>2</v>
      </c>
      <c r="T284" s="10">
        <v>0</v>
      </c>
    </row>
    <row r="285" spans="1:20" x14ac:dyDescent="0.3">
      <c r="A285" s="9" t="s">
        <v>29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H285" s="9" t="s">
        <v>29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4</v>
      </c>
      <c r="C286" s="10">
        <v>0</v>
      </c>
      <c r="D286" s="10">
        <v>0</v>
      </c>
      <c r="E286" s="10">
        <v>4</v>
      </c>
      <c r="F286" s="10">
        <v>0</v>
      </c>
      <c r="H286" s="9" t="s">
        <v>30</v>
      </c>
      <c r="I286" s="10">
        <v>13</v>
      </c>
      <c r="J286" s="10">
        <v>7</v>
      </c>
      <c r="K286" s="10">
        <v>1</v>
      </c>
      <c r="L286" s="10">
        <v>5</v>
      </c>
      <c r="M286" s="10">
        <v>0</v>
      </c>
      <c r="O286" s="9" t="s">
        <v>30</v>
      </c>
      <c r="P286" s="10">
        <v>20</v>
      </c>
      <c r="Q286" s="10">
        <v>10</v>
      </c>
      <c r="R286" s="10">
        <v>0</v>
      </c>
      <c r="S286" s="10">
        <v>10</v>
      </c>
      <c r="T286" s="10">
        <v>0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32</v>
      </c>
      <c r="C288" s="12">
        <v>0</v>
      </c>
      <c r="D288" s="12">
        <v>0</v>
      </c>
      <c r="E288" s="12">
        <v>7</v>
      </c>
      <c r="F288" s="12">
        <v>25</v>
      </c>
      <c r="H288" s="11" t="s">
        <v>32</v>
      </c>
      <c r="I288" s="12">
        <v>48</v>
      </c>
      <c r="J288" s="12">
        <v>2</v>
      </c>
      <c r="K288" s="12">
        <v>2</v>
      </c>
      <c r="L288" s="12">
        <v>36</v>
      </c>
      <c r="M288" s="12">
        <v>8</v>
      </c>
      <c r="O288" s="11" t="s">
        <v>32</v>
      </c>
      <c r="P288" s="12">
        <v>5</v>
      </c>
      <c r="Q288" s="12">
        <v>0</v>
      </c>
      <c r="R288" s="12">
        <v>0</v>
      </c>
      <c r="S288" s="12">
        <v>5</v>
      </c>
      <c r="T288" s="12">
        <v>0</v>
      </c>
    </row>
    <row r="289" spans="1:20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H289" s="13" t="s">
        <v>33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32</v>
      </c>
      <c r="C290" s="14">
        <v>0</v>
      </c>
      <c r="D290" s="14">
        <v>0</v>
      </c>
      <c r="E290" s="14">
        <v>7</v>
      </c>
      <c r="F290" s="14">
        <v>25</v>
      </c>
      <c r="H290" s="13" t="s">
        <v>34</v>
      </c>
      <c r="I290" s="14">
        <v>48</v>
      </c>
      <c r="J290" s="14">
        <v>2</v>
      </c>
      <c r="K290" s="14">
        <v>2</v>
      </c>
      <c r="L290" s="14">
        <v>36</v>
      </c>
      <c r="M290" s="14">
        <v>8</v>
      </c>
      <c r="O290" s="13" t="s">
        <v>34</v>
      </c>
      <c r="P290" s="14">
        <v>5</v>
      </c>
      <c r="Q290" s="14">
        <v>0</v>
      </c>
      <c r="R290" s="14">
        <v>0</v>
      </c>
      <c r="S290" s="14">
        <v>5</v>
      </c>
      <c r="T290" s="14">
        <v>0</v>
      </c>
    </row>
    <row r="291" spans="1:20" x14ac:dyDescent="0.3">
      <c r="A291" s="15" t="s">
        <v>35</v>
      </c>
      <c r="B291" s="16">
        <v>28</v>
      </c>
      <c r="C291" s="16">
        <v>0</v>
      </c>
      <c r="D291" s="16">
        <v>0</v>
      </c>
      <c r="E291" s="16">
        <v>5</v>
      </c>
      <c r="F291" s="16">
        <v>23</v>
      </c>
      <c r="H291" s="15" t="s">
        <v>35</v>
      </c>
      <c r="I291" s="16">
        <v>42</v>
      </c>
      <c r="J291" s="16">
        <v>0</v>
      </c>
      <c r="K291" s="16">
        <v>0</v>
      </c>
      <c r="L291" s="16">
        <v>34</v>
      </c>
      <c r="M291" s="16">
        <v>8</v>
      </c>
      <c r="O291" s="15" t="s">
        <v>35</v>
      </c>
      <c r="P291" s="16">
        <v>5</v>
      </c>
      <c r="Q291" s="16">
        <v>0</v>
      </c>
      <c r="R291" s="16">
        <v>0</v>
      </c>
      <c r="S291" s="16">
        <v>5</v>
      </c>
      <c r="T291" s="16">
        <v>0</v>
      </c>
    </row>
    <row r="292" spans="1:20" x14ac:dyDescent="0.3">
      <c r="A292" s="17" t="s">
        <v>36</v>
      </c>
      <c r="B292" s="18">
        <v>28</v>
      </c>
      <c r="C292" s="18">
        <v>0</v>
      </c>
      <c r="D292" s="18">
        <v>0</v>
      </c>
      <c r="E292" s="18">
        <v>5</v>
      </c>
      <c r="F292" s="18">
        <v>23</v>
      </c>
      <c r="H292" s="17" t="s">
        <v>36</v>
      </c>
      <c r="I292" s="88">
        <v>42</v>
      </c>
      <c r="J292" s="88">
        <v>0</v>
      </c>
      <c r="K292" s="88">
        <v>0</v>
      </c>
      <c r="L292" s="88">
        <v>34</v>
      </c>
      <c r="M292" s="88">
        <v>8</v>
      </c>
      <c r="O292" s="17" t="s">
        <v>36</v>
      </c>
      <c r="P292" s="130">
        <v>5</v>
      </c>
      <c r="Q292" s="130">
        <v>0</v>
      </c>
      <c r="R292" s="130">
        <v>0</v>
      </c>
      <c r="S292" s="130">
        <v>5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72" t="s">
        <v>751</v>
      </c>
      <c r="C294" s="173"/>
      <c r="D294" s="173"/>
      <c r="E294" s="173"/>
      <c r="F294" s="173"/>
      <c r="H294" s="17" t="s">
        <v>38</v>
      </c>
      <c r="I294" s="167" t="s">
        <v>1503</v>
      </c>
      <c r="J294" s="168"/>
      <c r="K294" s="168"/>
      <c r="L294" s="168"/>
      <c r="M294" s="168"/>
      <c r="O294" s="17" t="s">
        <v>38</v>
      </c>
      <c r="P294" s="175" t="s">
        <v>51</v>
      </c>
      <c r="Q294" s="176"/>
      <c r="R294" s="176"/>
      <c r="S294" s="176"/>
      <c r="T294" s="176"/>
    </row>
    <row r="295" spans="1:20" ht="19.8" x14ac:dyDescent="0.3">
      <c r="A295" s="171">
        <v>46101</v>
      </c>
      <c r="B295" s="171"/>
      <c r="C295" s="171"/>
      <c r="D295" s="171"/>
      <c r="E295" s="171"/>
      <c r="F295" s="171"/>
      <c r="H295" s="170">
        <v>46129</v>
      </c>
      <c r="I295" s="168"/>
      <c r="J295" s="168"/>
      <c r="K295" s="168"/>
      <c r="L295" s="168"/>
      <c r="M295" s="168"/>
      <c r="O295" s="171">
        <v>46161</v>
      </c>
      <c r="P295" s="174"/>
      <c r="Q295" s="174"/>
      <c r="R295" s="174"/>
      <c r="S295" s="174"/>
      <c r="T295" s="174"/>
    </row>
    <row r="296" spans="1:20" x14ac:dyDescent="0.3">
      <c r="A296" s="1" t="s">
        <v>0</v>
      </c>
      <c r="B296" s="1" t="s">
        <v>1</v>
      </c>
      <c r="C296" s="1" t="s">
        <v>642</v>
      </c>
      <c r="D296" s="1" t="s">
        <v>760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871</v>
      </c>
    </row>
    <row r="297" spans="1:20" x14ac:dyDescent="0.3">
      <c r="A297" s="2" t="s">
        <v>5</v>
      </c>
      <c r="B297" s="3">
        <v>1393</v>
      </c>
      <c r="C297" s="3">
        <v>0</v>
      </c>
      <c r="D297" s="3">
        <v>0</v>
      </c>
      <c r="E297" s="3">
        <v>709</v>
      </c>
      <c r="F297" s="3">
        <v>684</v>
      </c>
      <c r="H297" s="2" t="s">
        <v>5</v>
      </c>
      <c r="I297" s="3">
        <v>4387</v>
      </c>
      <c r="J297" s="3">
        <v>1817</v>
      </c>
      <c r="K297" s="3">
        <v>1257</v>
      </c>
      <c r="L297" s="3">
        <v>1310</v>
      </c>
      <c r="M297" s="3">
        <v>3</v>
      </c>
      <c r="O297" s="2" t="s">
        <v>5</v>
      </c>
      <c r="P297" s="3">
        <v>3332</v>
      </c>
      <c r="Q297" s="3">
        <v>1663</v>
      </c>
      <c r="R297" s="3">
        <v>0</v>
      </c>
      <c r="S297" s="3">
        <v>1669</v>
      </c>
      <c r="T297" s="3">
        <v>0</v>
      </c>
    </row>
    <row r="298" spans="1:20" x14ac:dyDescent="0.3">
      <c r="A298" s="2" t="s">
        <v>6</v>
      </c>
      <c r="B298" s="3">
        <v>15</v>
      </c>
      <c r="C298" s="3">
        <v>0</v>
      </c>
      <c r="D298" s="3">
        <v>0</v>
      </c>
      <c r="E298" s="6">
        <v>7</v>
      </c>
      <c r="F298" s="5">
        <v>8</v>
      </c>
      <c r="H298" s="2" t="s">
        <v>6</v>
      </c>
      <c r="I298" s="3">
        <v>98</v>
      </c>
      <c r="J298" s="4">
        <v>22</v>
      </c>
      <c r="K298" s="6">
        <v>33</v>
      </c>
      <c r="L298" s="5">
        <v>40</v>
      </c>
      <c r="M298" s="3">
        <v>3</v>
      </c>
      <c r="O298" s="2" t="s">
        <v>6</v>
      </c>
      <c r="P298" s="3">
        <v>69</v>
      </c>
      <c r="Q298" s="6">
        <v>26</v>
      </c>
      <c r="R298" s="3">
        <v>0</v>
      </c>
      <c r="S298" s="5">
        <v>43</v>
      </c>
      <c r="T298" s="3">
        <v>0</v>
      </c>
    </row>
    <row r="299" spans="1:20" x14ac:dyDescent="0.3">
      <c r="A299" s="2" t="s">
        <v>7</v>
      </c>
      <c r="B299" s="3" t="s">
        <v>156</v>
      </c>
      <c r="C299" s="3">
        <v>0</v>
      </c>
      <c r="D299" s="3">
        <v>0</v>
      </c>
      <c r="E299" s="6" t="s">
        <v>794</v>
      </c>
      <c r="F299" s="5" t="s">
        <v>346</v>
      </c>
      <c r="H299" s="2" t="s">
        <v>7</v>
      </c>
      <c r="I299" s="3" t="s">
        <v>974</v>
      </c>
      <c r="J299" s="3" t="s">
        <v>635</v>
      </c>
      <c r="K299" s="4" t="s">
        <v>557</v>
      </c>
      <c r="L299" s="6" t="s">
        <v>1346</v>
      </c>
      <c r="M299" s="5" t="s">
        <v>48</v>
      </c>
      <c r="O299" s="2" t="s">
        <v>7</v>
      </c>
      <c r="P299" s="3" t="s">
        <v>1362</v>
      </c>
      <c r="Q299" s="6" t="s">
        <v>183</v>
      </c>
      <c r="R299" s="3">
        <v>0</v>
      </c>
      <c r="S299" s="5" t="s">
        <v>391</v>
      </c>
      <c r="T299" s="3">
        <v>0</v>
      </c>
    </row>
    <row r="300" spans="1:20" x14ac:dyDescent="0.3">
      <c r="A300" s="2" t="s">
        <v>12</v>
      </c>
      <c r="B300" s="3" t="s">
        <v>227</v>
      </c>
      <c r="C300" s="3">
        <v>0</v>
      </c>
      <c r="D300" s="3">
        <v>0</v>
      </c>
      <c r="E300" s="6" t="s">
        <v>595</v>
      </c>
      <c r="F300" s="5" t="s">
        <v>227</v>
      </c>
      <c r="H300" s="2" t="s">
        <v>12</v>
      </c>
      <c r="I300" s="3" t="s">
        <v>583</v>
      </c>
      <c r="J300" s="4" t="s">
        <v>468</v>
      </c>
      <c r="K300" s="5" t="s">
        <v>974</v>
      </c>
      <c r="L300" s="6" t="s">
        <v>342</v>
      </c>
      <c r="M300" s="3" t="s">
        <v>25</v>
      </c>
      <c r="O300" s="2" t="s">
        <v>12</v>
      </c>
      <c r="P300" s="3" t="s">
        <v>1168</v>
      </c>
      <c r="Q300" s="6" t="s">
        <v>183</v>
      </c>
      <c r="R300" s="3">
        <v>0</v>
      </c>
      <c r="S300" s="5" t="s">
        <v>1763</v>
      </c>
      <c r="T300" s="3">
        <v>0</v>
      </c>
    </row>
    <row r="301" spans="1:20" x14ac:dyDescent="0.3">
      <c r="A301" s="2" t="s">
        <v>17</v>
      </c>
      <c r="B301" s="48">
        <f>B299-B300</f>
        <v>7.9000000000000008E-3</v>
      </c>
      <c r="C301" s="3" t="s">
        <v>25</v>
      </c>
      <c r="D301" s="3" t="s">
        <v>25</v>
      </c>
      <c r="E301" s="50">
        <f>E299-E300</f>
        <v>7.1000000000000004E-3</v>
      </c>
      <c r="F301" s="50">
        <f>F299-F300</f>
        <v>8.8000000000000005E-3</v>
      </c>
      <c r="H301" s="2" t="s">
        <v>17</v>
      </c>
      <c r="I301" s="48">
        <f>I299-I300</f>
        <v>7.000000000000001E-3</v>
      </c>
      <c r="J301" s="60" t="s">
        <v>595</v>
      </c>
      <c r="K301" s="59" t="s">
        <v>491</v>
      </c>
      <c r="L301" s="50">
        <f>L299-L300</f>
        <v>1.37E-2</v>
      </c>
      <c r="M301" s="5" t="s">
        <v>48</v>
      </c>
      <c r="O301" s="2" t="s">
        <v>17</v>
      </c>
      <c r="P301" s="3" t="s">
        <v>1944</v>
      </c>
      <c r="Q301" s="3" t="s">
        <v>25</v>
      </c>
      <c r="R301" s="3" t="s">
        <v>25</v>
      </c>
      <c r="S301" s="5" t="s">
        <v>48</v>
      </c>
      <c r="T301" s="3" t="s">
        <v>25</v>
      </c>
    </row>
    <row r="302" spans="1:20" x14ac:dyDescent="0.3">
      <c r="A302" s="2" t="s">
        <v>22</v>
      </c>
      <c r="B302" s="3" t="s">
        <v>134</v>
      </c>
      <c r="C302" s="3" t="s">
        <v>25</v>
      </c>
      <c r="D302" s="3" t="s">
        <v>25</v>
      </c>
      <c r="E302" s="5" t="s">
        <v>78</v>
      </c>
      <c r="F302" s="6" t="s">
        <v>227</v>
      </c>
      <c r="H302" s="2" t="s">
        <v>22</v>
      </c>
      <c r="I302" s="3" t="s">
        <v>157</v>
      </c>
      <c r="J302" s="3" t="s">
        <v>25</v>
      </c>
      <c r="K302" s="3" t="s">
        <v>25</v>
      </c>
      <c r="L302" s="6" t="s">
        <v>1033</v>
      </c>
      <c r="M302" s="5" t="s">
        <v>48</v>
      </c>
      <c r="O302" s="2" t="s">
        <v>22</v>
      </c>
      <c r="P302" s="3" t="s">
        <v>102</v>
      </c>
      <c r="Q302" s="3" t="s">
        <v>25</v>
      </c>
      <c r="R302" s="3" t="s">
        <v>25</v>
      </c>
      <c r="S302" s="5" t="s">
        <v>347</v>
      </c>
      <c r="T302" s="3" t="s">
        <v>25</v>
      </c>
    </row>
    <row r="303" spans="1:20" x14ac:dyDescent="0.3">
      <c r="A303" s="7" t="s">
        <v>26</v>
      </c>
      <c r="B303" s="8">
        <v>4</v>
      </c>
      <c r="C303" s="8">
        <v>0</v>
      </c>
      <c r="D303" s="8">
        <v>0</v>
      </c>
      <c r="E303" s="8">
        <v>2</v>
      </c>
      <c r="F303" s="8">
        <v>2</v>
      </c>
      <c r="H303" s="7" t="s">
        <v>26</v>
      </c>
      <c r="I303" s="8">
        <v>67</v>
      </c>
      <c r="J303" s="8">
        <v>17</v>
      </c>
      <c r="K303" s="8">
        <v>28</v>
      </c>
      <c r="L303" s="8">
        <v>22</v>
      </c>
      <c r="M303" s="8">
        <v>0</v>
      </c>
      <c r="O303" s="7" t="s">
        <v>26</v>
      </c>
      <c r="P303" s="8">
        <v>65</v>
      </c>
      <c r="Q303" s="8">
        <v>26</v>
      </c>
      <c r="R303" s="8">
        <v>0</v>
      </c>
      <c r="S303" s="8">
        <v>39</v>
      </c>
      <c r="T303" s="8">
        <v>0</v>
      </c>
    </row>
    <row r="304" spans="1:20" x14ac:dyDescent="0.3">
      <c r="A304" s="9" t="s">
        <v>27</v>
      </c>
      <c r="B304" s="10">
        <v>1</v>
      </c>
      <c r="C304" s="10">
        <v>0</v>
      </c>
      <c r="D304" s="10">
        <v>0</v>
      </c>
      <c r="E304" s="10">
        <v>0</v>
      </c>
      <c r="F304" s="10">
        <v>1</v>
      </c>
      <c r="H304" s="9" t="s">
        <v>27</v>
      </c>
      <c r="I304" s="10">
        <v>38</v>
      </c>
      <c r="J304" s="10">
        <v>13</v>
      </c>
      <c r="K304" s="10">
        <v>8</v>
      </c>
      <c r="L304" s="10">
        <v>17</v>
      </c>
      <c r="M304" s="10">
        <v>0</v>
      </c>
      <c r="O304" s="9" t="s">
        <v>27</v>
      </c>
      <c r="P304" s="10">
        <v>30</v>
      </c>
      <c r="Q304" s="10">
        <v>16</v>
      </c>
      <c r="R304" s="10">
        <v>0</v>
      </c>
      <c r="S304" s="10">
        <v>14</v>
      </c>
      <c r="T304" s="10">
        <v>0</v>
      </c>
    </row>
    <row r="305" spans="1:20" x14ac:dyDescent="0.3">
      <c r="A305" s="9" t="s">
        <v>28</v>
      </c>
      <c r="B305" s="10">
        <v>1</v>
      </c>
      <c r="C305" s="10">
        <v>0</v>
      </c>
      <c r="D305" s="10">
        <v>0</v>
      </c>
      <c r="E305" s="10">
        <v>1</v>
      </c>
      <c r="F305" s="10">
        <v>0</v>
      </c>
      <c r="H305" s="9" t="s">
        <v>28</v>
      </c>
      <c r="I305" s="10">
        <v>4</v>
      </c>
      <c r="J305" s="10">
        <v>1</v>
      </c>
      <c r="K305" s="10">
        <v>1</v>
      </c>
      <c r="L305" s="10">
        <v>2</v>
      </c>
      <c r="M305" s="10">
        <v>0</v>
      </c>
      <c r="O305" s="9" t="s">
        <v>28</v>
      </c>
      <c r="P305" s="10">
        <v>6</v>
      </c>
      <c r="Q305" s="10">
        <v>2</v>
      </c>
      <c r="R305" s="10">
        <v>0</v>
      </c>
      <c r="S305" s="10">
        <v>4</v>
      </c>
      <c r="T305" s="10">
        <v>0</v>
      </c>
    </row>
    <row r="306" spans="1:20" x14ac:dyDescent="0.3">
      <c r="A306" s="9" t="s">
        <v>29</v>
      </c>
      <c r="B306" s="10">
        <v>0</v>
      </c>
      <c r="C306" s="10">
        <v>0</v>
      </c>
      <c r="D306" s="10">
        <v>0</v>
      </c>
      <c r="E306" s="10">
        <v>0</v>
      </c>
      <c r="F306" s="10">
        <v>0</v>
      </c>
      <c r="H306" s="9" t="s">
        <v>29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2</v>
      </c>
      <c r="C307" s="10">
        <v>0</v>
      </c>
      <c r="D307" s="10">
        <v>0</v>
      </c>
      <c r="E307" s="10">
        <v>1</v>
      </c>
      <c r="F307" s="10">
        <v>1</v>
      </c>
      <c r="H307" s="9" t="s">
        <v>30</v>
      </c>
      <c r="I307" s="10">
        <v>25</v>
      </c>
      <c r="J307" s="10">
        <v>3</v>
      </c>
      <c r="K307" s="10">
        <v>19</v>
      </c>
      <c r="L307" s="10">
        <v>3</v>
      </c>
      <c r="M307" s="10">
        <v>0</v>
      </c>
      <c r="O307" s="9" t="s">
        <v>30</v>
      </c>
      <c r="P307" s="10">
        <v>29</v>
      </c>
      <c r="Q307" s="10">
        <v>8</v>
      </c>
      <c r="R307" s="10">
        <v>0</v>
      </c>
      <c r="S307" s="10">
        <v>21</v>
      </c>
      <c r="T307" s="10">
        <v>0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9</v>
      </c>
      <c r="C309" s="12">
        <v>0</v>
      </c>
      <c r="D309" s="12">
        <v>0</v>
      </c>
      <c r="E309" s="12">
        <v>5</v>
      </c>
      <c r="F309" s="12">
        <v>4</v>
      </c>
      <c r="H309" s="11" t="s">
        <v>32</v>
      </c>
      <c r="I309" s="12">
        <v>31</v>
      </c>
      <c r="J309" s="12">
        <v>5</v>
      </c>
      <c r="K309" s="12">
        <v>5</v>
      </c>
      <c r="L309" s="12">
        <v>18</v>
      </c>
      <c r="M309" s="12">
        <v>3</v>
      </c>
      <c r="O309" s="11" t="s">
        <v>32</v>
      </c>
      <c r="P309" s="12">
        <v>1669</v>
      </c>
      <c r="Q309" s="12">
        <v>0</v>
      </c>
      <c r="R309" s="12">
        <v>0</v>
      </c>
      <c r="S309" s="12">
        <v>1669</v>
      </c>
      <c r="T309" s="12">
        <v>0</v>
      </c>
    </row>
    <row r="310" spans="1:20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H310" s="13" t="s">
        <v>33</v>
      </c>
      <c r="I310" s="14">
        <v>2</v>
      </c>
      <c r="J310" s="14">
        <v>1</v>
      </c>
      <c r="K310" s="14">
        <v>1</v>
      </c>
      <c r="L310" s="14">
        <v>0</v>
      </c>
      <c r="M310" s="14">
        <v>0</v>
      </c>
      <c r="O310" s="13" t="s">
        <v>33</v>
      </c>
      <c r="P310" s="14">
        <v>1665</v>
      </c>
      <c r="Q310" s="14">
        <v>0</v>
      </c>
      <c r="R310" s="14">
        <v>0</v>
      </c>
      <c r="S310" s="14">
        <v>1665</v>
      </c>
      <c r="T310" s="14">
        <v>0</v>
      </c>
    </row>
    <row r="311" spans="1:20" x14ac:dyDescent="0.3">
      <c r="A311" s="13" t="s">
        <v>34</v>
      </c>
      <c r="B311" s="14">
        <v>9</v>
      </c>
      <c r="C311" s="14">
        <v>0</v>
      </c>
      <c r="D311" s="14">
        <v>0</v>
      </c>
      <c r="E311" s="14">
        <v>5</v>
      </c>
      <c r="F311" s="14">
        <v>4</v>
      </c>
      <c r="H311" s="13" t="s">
        <v>34</v>
      </c>
      <c r="I311" s="14">
        <v>29</v>
      </c>
      <c r="J311" s="14">
        <v>4</v>
      </c>
      <c r="K311" s="14">
        <v>4</v>
      </c>
      <c r="L311" s="14">
        <v>18</v>
      </c>
      <c r="M311" s="14">
        <v>3</v>
      </c>
      <c r="O311" s="13" t="s">
        <v>34</v>
      </c>
      <c r="P311" s="14">
        <v>4</v>
      </c>
      <c r="Q311" s="14">
        <v>0</v>
      </c>
      <c r="R311" s="14">
        <v>0</v>
      </c>
      <c r="S311" s="14">
        <v>4</v>
      </c>
      <c r="T311" s="14">
        <v>0</v>
      </c>
    </row>
    <row r="312" spans="1:20" x14ac:dyDescent="0.3">
      <c r="A312" s="15" t="s">
        <v>35</v>
      </c>
      <c r="B312" s="16">
        <v>5</v>
      </c>
      <c r="C312" s="16">
        <v>0</v>
      </c>
      <c r="D312" s="16">
        <v>0</v>
      </c>
      <c r="E312" s="16">
        <v>3</v>
      </c>
      <c r="F312" s="16">
        <v>2</v>
      </c>
      <c r="H312" s="15" t="s">
        <v>35</v>
      </c>
      <c r="I312" s="16">
        <v>19</v>
      </c>
      <c r="J312" s="16">
        <v>0</v>
      </c>
      <c r="K312" s="16">
        <v>0</v>
      </c>
      <c r="L312" s="16">
        <v>16</v>
      </c>
      <c r="M312" s="16">
        <v>3</v>
      </c>
      <c r="O312" s="15" t="s">
        <v>35</v>
      </c>
      <c r="P312" s="16">
        <v>4</v>
      </c>
      <c r="Q312" s="16">
        <v>0</v>
      </c>
      <c r="R312" s="16">
        <v>0</v>
      </c>
      <c r="S312" s="16">
        <v>4</v>
      </c>
      <c r="T312" s="16">
        <v>0</v>
      </c>
    </row>
    <row r="313" spans="1:20" x14ac:dyDescent="0.3">
      <c r="A313" s="17" t="s">
        <v>36</v>
      </c>
      <c r="B313" s="18">
        <v>5</v>
      </c>
      <c r="C313" s="18">
        <v>0</v>
      </c>
      <c r="D313" s="18">
        <v>0</v>
      </c>
      <c r="E313" s="18">
        <v>3</v>
      </c>
      <c r="F313" s="18">
        <v>2</v>
      </c>
      <c r="H313" s="17" t="s">
        <v>36</v>
      </c>
      <c r="I313" s="99">
        <v>19</v>
      </c>
      <c r="J313" s="99">
        <v>0</v>
      </c>
      <c r="K313" s="99">
        <v>0</v>
      </c>
      <c r="L313" s="99">
        <v>16</v>
      </c>
      <c r="M313" s="99">
        <v>3</v>
      </c>
      <c r="O313" s="17" t="s">
        <v>36</v>
      </c>
      <c r="P313" s="130">
        <v>4</v>
      </c>
      <c r="Q313" s="130">
        <v>0</v>
      </c>
      <c r="R313" s="130">
        <v>0</v>
      </c>
      <c r="S313" s="130">
        <v>4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72" t="s">
        <v>751</v>
      </c>
      <c r="C315" s="173"/>
      <c r="D315" s="173"/>
      <c r="E315" s="173"/>
      <c r="F315" s="173"/>
      <c r="H315" s="17" t="s">
        <v>38</v>
      </c>
      <c r="I315" s="167" t="s">
        <v>1535</v>
      </c>
      <c r="J315" s="168"/>
      <c r="K315" s="168"/>
      <c r="L315" s="168"/>
      <c r="M315" s="168"/>
      <c r="O315" s="17" t="s">
        <v>38</v>
      </c>
      <c r="P315" s="172" t="s">
        <v>51</v>
      </c>
      <c r="Q315" s="173"/>
      <c r="R315" s="173"/>
      <c r="S315" s="173"/>
      <c r="T315" s="173"/>
    </row>
    <row r="316" spans="1:20" ht="19.8" x14ac:dyDescent="0.3">
      <c r="A316" s="171">
        <v>46104</v>
      </c>
      <c r="B316" s="171"/>
      <c r="C316" s="171"/>
      <c r="D316" s="171"/>
      <c r="E316" s="171"/>
      <c r="F316" s="171"/>
      <c r="H316" s="170">
        <v>46130</v>
      </c>
      <c r="I316" s="168"/>
      <c r="J316" s="168"/>
      <c r="K316" s="168"/>
      <c r="L316" s="168"/>
      <c r="M316" s="168"/>
      <c r="O316" s="171">
        <v>46162</v>
      </c>
      <c r="P316" s="171"/>
      <c r="Q316" s="171"/>
      <c r="R316" s="171"/>
      <c r="S316" s="171"/>
      <c r="T316" s="171"/>
    </row>
    <row r="317" spans="1:20" x14ac:dyDescent="0.3">
      <c r="A317" s="1" t="s">
        <v>0</v>
      </c>
      <c r="B317" s="1" t="s">
        <v>1</v>
      </c>
      <c r="C317" s="1" t="s">
        <v>642</v>
      </c>
      <c r="D317" s="1" t="s">
        <v>760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760</v>
      </c>
      <c r="S317" s="1" t="s">
        <v>40</v>
      </c>
      <c r="T317" s="1" t="s">
        <v>871</v>
      </c>
    </row>
    <row r="318" spans="1:20" x14ac:dyDescent="0.3">
      <c r="A318" s="2" t="s">
        <v>5</v>
      </c>
      <c r="B318" s="3">
        <v>1737</v>
      </c>
      <c r="C318" s="3">
        <v>0</v>
      </c>
      <c r="D318" s="3">
        <v>0</v>
      </c>
      <c r="E318" s="3">
        <v>917</v>
      </c>
      <c r="F318" s="3">
        <v>820</v>
      </c>
      <c r="H318" s="2" t="s">
        <v>5</v>
      </c>
      <c r="I318" s="3">
        <v>4250</v>
      </c>
      <c r="J318" s="3">
        <v>1668</v>
      </c>
      <c r="K318" s="3">
        <v>1325</v>
      </c>
      <c r="L318" s="3">
        <v>1254</v>
      </c>
      <c r="M318" s="3">
        <v>3</v>
      </c>
      <c r="O318" s="2" t="s">
        <v>5</v>
      </c>
      <c r="P318" s="3">
        <v>3903</v>
      </c>
      <c r="Q318" s="3">
        <v>2062</v>
      </c>
      <c r="R318" s="3">
        <v>0</v>
      </c>
      <c r="S318" s="3">
        <v>1841</v>
      </c>
      <c r="T318" s="3">
        <v>0</v>
      </c>
    </row>
    <row r="319" spans="1:20" x14ac:dyDescent="0.3">
      <c r="A319" s="2" t="s">
        <v>6</v>
      </c>
      <c r="B319" s="3">
        <v>48</v>
      </c>
      <c r="C319" s="3">
        <v>0</v>
      </c>
      <c r="D319" s="3">
        <v>0</v>
      </c>
      <c r="E319" s="5">
        <v>30</v>
      </c>
      <c r="F319" s="6">
        <v>18</v>
      </c>
      <c r="H319" s="2" t="s">
        <v>6</v>
      </c>
      <c r="I319" s="3">
        <v>75</v>
      </c>
      <c r="J319" s="6">
        <v>17</v>
      </c>
      <c r="K319" s="5">
        <v>39</v>
      </c>
      <c r="L319" s="4">
        <v>16</v>
      </c>
      <c r="M319" s="3">
        <v>3</v>
      </c>
      <c r="O319" s="2" t="s">
        <v>6</v>
      </c>
      <c r="P319" s="3">
        <v>82</v>
      </c>
      <c r="Q319" s="6">
        <v>33</v>
      </c>
      <c r="R319" s="3">
        <v>0</v>
      </c>
      <c r="S319" s="5">
        <v>49</v>
      </c>
      <c r="T319" s="3">
        <v>0</v>
      </c>
    </row>
    <row r="320" spans="1:20" x14ac:dyDescent="0.3">
      <c r="A320" s="2" t="s">
        <v>7</v>
      </c>
      <c r="B320" s="3" t="s">
        <v>393</v>
      </c>
      <c r="C320" s="3">
        <v>0</v>
      </c>
      <c r="D320" s="3">
        <v>0</v>
      </c>
      <c r="E320" s="5" t="s">
        <v>862</v>
      </c>
      <c r="F320" s="6" t="s">
        <v>526</v>
      </c>
      <c r="H320" s="2" t="s">
        <v>7</v>
      </c>
      <c r="I320" s="3" t="s">
        <v>1043</v>
      </c>
      <c r="J320" s="3" t="s">
        <v>46</v>
      </c>
      <c r="K320" s="6" t="s">
        <v>1408</v>
      </c>
      <c r="L320" s="4" t="s">
        <v>434</v>
      </c>
      <c r="M320" s="5" t="s">
        <v>48</v>
      </c>
      <c r="O320" s="2" t="s">
        <v>7</v>
      </c>
      <c r="P320" s="3" t="s">
        <v>1957</v>
      </c>
      <c r="Q320" s="6" t="s">
        <v>432</v>
      </c>
      <c r="R320" s="3">
        <v>0</v>
      </c>
      <c r="S320" s="5" t="s">
        <v>1518</v>
      </c>
      <c r="T320" s="3">
        <v>0</v>
      </c>
    </row>
    <row r="321" spans="1:20" x14ac:dyDescent="0.3">
      <c r="A321" s="2" t="s">
        <v>12</v>
      </c>
      <c r="B321" s="3" t="s">
        <v>227</v>
      </c>
      <c r="C321" s="3">
        <v>0</v>
      </c>
      <c r="D321" s="3">
        <v>0</v>
      </c>
      <c r="E321" s="5" t="s">
        <v>863</v>
      </c>
      <c r="F321" s="3" t="s">
        <v>25</v>
      </c>
      <c r="H321" s="2" t="s">
        <v>12</v>
      </c>
      <c r="I321" s="3" t="s">
        <v>1074</v>
      </c>
      <c r="J321" s="4" t="s">
        <v>1087</v>
      </c>
      <c r="K321" s="5" t="s">
        <v>590</v>
      </c>
      <c r="L321" s="6" t="s">
        <v>506</v>
      </c>
      <c r="M321" s="3" t="s">
        <v>25</v>
      </c>
      <c r="O321" s="2" t="s">
        <v>12</v>
      </c>
      <c r="P321" s="3" t="s">
        <v>537</v>
      </c>
      <c r="Q321" s="6" t="s">
        <v>432</v>
      </c>
      <c r="R321" s="3">
        <v>0</v>
      </c>
      <c r="S321" s="5" t="s">
        <v>974</v>
      </c>
      <c r="T321" s="3">
        <v>0</v>
      </c>
    </row>
    <row r="322" spans="1:20" x14ac:dyDescent="0.3">
      <c r="A322" s="2" t="s">
        <v>17</v>
      </c>
      <c r="B322" s="48">
        <f>B320-B321</f>
        <v>2.47E-2</v>
      </c>
      <c r="C322" s="3" t="s">
        <v>25</v>
      </c>
      <c r="D322" s="3" t="s">
        <v>25</v>
      </c>
      <c r="E322" s="50">
        <f>E320-E321</f>
        <v>2.7200000000000002E-2</v>
      </c>
      <c r="F322" s="50">
        <f>F320-F321</f>
        <v>2.1999999999999999E-2</v>
      </c>
      <c r="H322" s="2" t="s">
        <v>17</v>
      </c>
      <c r="I322" s="48">
        <f>I320-I321</f>
        <v>2.8000000000000004E-3</v>
      </c>
      <c r="J322" s="59" t="s">
        <v>347</v>
      </c>
      <c r="K322" s="60" t="s">
        <v>121</v>
      </c>
      <c r="L322" s="50">
        <f>L320-L321</f>
        <v>2.4000000000000011E-3</v>
      </c>
      <c r="M322" s="5" t="s">
        <v>48</v>
      </c>
      <c r="O322" s="2" t="s">
        <v>17</v>
      </c>
      <c r="P322" s="3" t="s">
        <v>1958</v>
      </c>
      <c r="Q322" s="3" t="s">
        <v>25</v>
      </c>
      <c r="R322" s="3" t="s">
        <v>25</v>
      </c>
      <c r="S322" s="5" t="s">
        <v>48</v>
      </c>
      <c r="T322" s="3" t="s">
        <v>25</v>
      </c>
    </row>
    <row r="323" spans="1:20" x14ac:dyDescent="0.3">
      <c r="A323" s="2" t="s">
        <v>22</v>
      </c>
      <c r="B323" s="3" t="s">
        <v>452</v>
      </c>
      <c r="C323" s="3" t="s">
        <v>25</v>
      </c>
      <c r="D323" s="3" t="s">
        <v>25</v>
      </c>
      <c r="E323" s="5" t="s">
        <v>559</v>
      </c>
      <c r="F323" s="6" t="s">
        <v>551</v>
      </c>
      <c r="H323" s="2" t="s">
        <v>22</v>
      </c>
      <c r="I323" s="3" t="s">
        <v>138</v>
      </c>
      <c r="J323" s="3" t="s">
        <v>25</v>
      </c>
      <c r="K323" s="3" t="s">
        <v>25</v>
      </c>
      <c r="L323" s="3" t="s">
        <v>25</v>
      </c>
      <c r="M323" s="5" t="s">
        <v>48</v>
      </c>
      <c r="O323" s="2" t="s">
        <v>22</v>
      </c>
      <c r="P323" s="3" t="s">
        <v>99</v>
      </c>
      <c r="Q323" s="3" t="s">
        <v>25</v>
      </c>
      <c r="R323" s="3" t="s">
        <v>25</v>
      </c>
      <c r="S323" s="5" t="s">
        <v>157</v>
      </c>
      <c r="T323" s="3" t="s">
        <v>25</v>
      </c>
    </row>
    <row r="324" spans="1:20" x14ac:dyDescent="0.3">
      <c r="A324" s="7" t="s">
        <v>26</v>
      </c>
      <c r="B324" s="8">
        <v>5</v>
      </c>
      <c r="C324" s="8">
        <v>0</v>
      </c>
      <c r="D324" s="8">
        <v>0</v>
      </c>
      <c r="E324" s="8">
        <v>5</v>
      </c>
      <c r="F324" s="8">
        <v>0</v>
      </c>
      <c r="H324" s="7" t="s">
        <v>26</v>
      </c>
      <c r="I324" s="8">
        <v>63</v>
      </c>
      <c r="J324" s="8">
        <v>13</v>
      </c>
      <c r="K324" s="8">
        <v>37</v>
      </c>
      <c r="L324" s="8">
        <v>13</v>
      </c>
      <c r="M324" s="8">
        <v>0</v>
      </c>
      <c r="O324" s="7" t="s">
        <v>26</v>
      </c>
      <c r="P324" s="8">
        <v>74</v>
      </c>
      <c r="Q324" s="8">
        <v>33</v>
      </c>
      <c r="R324" s="8">
        <v>0</v>
      </c>
      <c r="S324" s="8">
        <v>41</v>
      </c>
      <c r="T324" s="8">
        <v>0</v>
      </c>
    </row>
    <row r="325" spans="1:20" x14ac:dyDescent="0.3">
      <c r="A325" s="9" t="s">
        <v>27</v>
      </c>
      <c r="B325" s="10">
        <v>1</v>
      </c>
      <c r="C325" s="10">
        <v>0</v>
      </c>
      <c r="D325" s="10">
        <v>0</v>
      </c>
      <c r="E325" s="10">
        <v>1</v>
      </c>
      <c r="F325" s="10">
        <v>0</v>
      </c>
      <c r="H325" s="9" t="s">
        <v>27</v>
      </c>
      <c r="I325" s="10">
        <v>31</v>
      </c>
      <c r="J325" s="10">
        <v>13</v>
      </c>
      <c r="K325" s="10">
        <v>10</v>
      </c>
      <c r="L325" s="10">
        <v>8</v>
      </c>
      <c r="M325" s="10">
        <v>0</v>
      </c>
      <c r="O325" s="9" t="s">
        <v>27</v>
      </c>
      <c r="P325" s="10">
        <v>18</v>
      </c>
      <c r="Q325" s="10">
        <v>8</v>
      </c>
      <c r="R325" s="10">
        <v>0</v>
      </c>
      <c r="S325" s="10">
        <v>10</v>
      </c>
      <c r="T325" s="10">
        <v>0</v>
      </c>
    </row>
    <row r="326" spans="1:20" x14ac:dyDescent="0.3">
      <c r="A326" s="9" t="s">
        <v>28</v>
      </c>
      <c r="B326" s="10">
        <v>1</v>
      </c>
      <c r="C326" s="10">
        <v>0</v>
      </c>
      <c r="D326" s="10">
        <v>0</v>
      </c>
      <c r="E326" s="10">
        <v>1</v>
      </c>
      <c r="F326" s="10">
        <v>0</v>
      </c>
      <c r="H326" s="9" t="s">
        <v>28</v>
      </c>
      <c r="I326" s="10">
        <v>2</v>
      </c>
      <c r="J326" s="10">
        <v>0</v>
      </c>
      <c r="K326" s="10">
        <v>1</v>
      </c>
      <c r="L326" s="10">
        <v>1</v>
      </c>
      <c r="M326" s="10">
        <v>0</v>
      </c>
      <c r="O326" s="9" t="s">
        <v>28</v>
      </c>
      <c r="P326" s="10">
        <v>25</v>
      </c>
      <c r="Q326" s="10">
        <v>14</v>
      </c>
      <c r="R326" s="10">
        <v>0</v>
      </c>
      <c r="S326" s="10">
        <v>11</v>
      </c>
      <c r="T326" s="10">
        <v>0</v>
      </c>
    </row>
    <row r="327" spans="1:20" x14ac:dyDescent="0.3">
      <c r="A327" s="9" t="s">
        <v>29</v>
      </c>
      <c r="B327" s="10">
        <v>0</v>
      </c>
      <c r="C327" s="10">
        <v>0</v>
      </c>
      <c r="D327" s="10">
        <v>0</v>
      </c>
      <c r="E327" s="10">
        <v>0</v>
      </c>
      <c r="F327" s="10">
        <v>0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3</v>
      </c>
      <c r="C328" s="10">
        <v>0</v>
      </c>
      <c r="D328" s="10">
        <v>0</v>
      </c>
      <c r="E328" s="10">
        <v>3</v>
      </c>
      <c r="F328" s="10">
        <v>0</v>
      </c>
      <c r="H328" s="9" t="s">
        <v>30</v>
      </c>
      <c r="I328" s="10">
        <v>30</v>
      </c>
      <c r="J328" s="10">
        <v>0</v>
      </c>
      <c r="K328" s="10">
        <v>26</v>
      </c>
      <c r="L328" s="10">
        <v>4</v>
      </c>
      <c r="M328" s="10">
        <v>0</v>
      </c>
      <c r="O328" s="9" t="s">
        <v>30</v>
      </c>
      <c r="P328" s="10">
        <v>31</v>
      </c>
      <c r="Q328" s="10">
        <v>11</v>
      </c>
      <c r="R328" s="10">
        <v>0</v>
      </c>
      <c r="S328" s="10">
        <v>20</v>
      </c>
      <c r="T328" s="10">
        <v>0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41</v>
      </c>
      <c r="C330" s="12">
        <v>0</v>
      </c>
      <c r="D330" s="12">
        <v>0</v>
      </c>
      <c r="E330" s="12">
        <v>25</v>
      </c>
      <c r="F330" s="12">
        <v>16</v>
      </c>
      <c r="H330" s="11" t="s">
        <v>32</v>
      </c>
      <c r="I330" s="12">
        <v>10</v>
      </c>
      <c r="J330" s="12">
        <v>4</v>
      </c>
      <c r="K330" s="12">
        <v>2</v>
      </c>
      <c r="L330" s="12">
        <v>1</v>
      </c>
      <c r="M330" s="12">
        <v>3</v>
      </c>
      <c r="O330" s="11" t="s">
        <v>32</v>
      </c>
      <c r="P330" s="12">
        <v>1841</v>
      </c>
      <c r="Q330" s="12">
        <v>0</v>
      </c>
      <c r="R330" s="12">
        <v>0</v>
      </c>
      <c r="S330" s="12">
        <v>1841</v>
      </c>
      <c r="T330" s="12">
        <v>0</v>
      </c>
    </row>
    <row r="331" spans="1:20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H331" s="13" t="s">
        <v>33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O331" s="13" t="s">
        <v>33</v>
      </c>
      <c r="P331" s="14">
        <v>1833</v>
      </c>
      <c r="Q331" s="14">
        <v>0</v>
      </c>
      <c r="R331" s="14">
        <v>0</v>
      </c>
      <c r="S331" s="14">
        <v>1833</v>
      </c>
      <c r="T331" s="14">
        <v>0</v>
      </c>
    </row>
    <row r="332" spans="1:20" x14ac:dyDescent="0.3">
      <c r="A332" s="13" t="s">
        <v>34</v>
      </c>
      <c r="B332" s="14">
        <v>41</v>
      </c>
      <c r="C332" s="14">
        <v>0</v>
      </c>
      <c r="D332" s="14">
        <v>0</v>
      </c>
      <c r="E332" s="14">
        <v>25</v>
      </c>
      <c r="F332" s="14">
        <v>16</v>
      </c>
      <c r="H332" s="13" t="s">
        <v>34</v>
      </c>
      <c r="I332" s="14">
        <v>10</v>
      </c>
      <c r="J332" s="14">
        <v>4</v>
      </c>
      <c r="K332" s="14">
        <v>2</v>
      </c>
      <c r="L332" s="14">
        <v>1</v>
      </c>
      <c r="M332" s="14">
        <v>3</v>
      </c>
      <c r="O332" s="13" t="s">
        <v>34</v>
      </c>
      <c r="P332" s="14">
        <v>8</v>
      </c>
      <c r="Q332" s="14">
        <v>0</v>
      </c>
      <c r="R332" s="14">
        <v>0</v>
      </c>
      <c r="S332" s="14">
        <v>8</v>
      </c>
      <c r="T332" s="14">
        <v>0</v>
      </c>
    </row>
    <row r="333" spans="1:20" x14ac:dyDescent="0.3">
      <c r="A333" s="15" t="s">
        <v>35</v>
      </c>
      <c r="B333" s="16">
        <v>17</v>
      </c>
      <c r="C333" s="16">
        <v>0</v>
      </c>
      <c r="D333" s="16">
        <v>0</v>
      </c>
      <c r="E333" s="16">
        <v>12</v>
      </c>
      <c r="F333" s="16">
        <v>5</v>
      </c>
      <c r="H333" s="15" t="s">
        <v>35</v>
      </c>
      <c r="I333" s="16">
        <v>3</v>
      </c>
      <c r="J333" s="16">
        <v>0</v>
      </c>
      <c r="K333" s="16">
        <v>0</v>
      </c>
      <c r="L333" s="16">
        <v>0</v>
      </c>
      <c r="M333" s="16">
        <v>3</v>
      </c>
      <c r="O333" s="15" t="s">
        <v>35</v>
      </c>
      <c r="P333" s="16">
        <v>8</v>
      </c>
      <c r="Q333" s="16">
        <v>0</v>
      </c>
      <c r="R333" s="16">
        <v>0</v>
      </c>
      <c r="S333" s="16">
        <v>8</v>
      </c>
      <c r="T333" s="16">
        <v>0</v>
      </c>
    </row>
    <row r="334" spans="1:20" x14ac:dyDescent="0.3">
      <c r="A334" s="17" t="s">
        <v>36</v>
      </c>
      <c r="B334" s="18">
        <v>17</v>
      </c>
      <c r="C334" s="18">
        <v>0</v>
      </c>
      <c r="D334" s="18">
        <v>0</v>
      </c>
      <c r="E334" s="18">
        <v>12</v>
      </c>
      <c r="F334" s="18">
        <v>5</v>
      </c>
      <c r="H334" s="17" t="s">
        <v>36</v>
      </c>
      <c r="I334" s="99">
        <v>3</v>
      </c>
      <c r="J334" s="99">
        <v>0</v>
      </c>
      <c r="K334" s="99">
        <v>0</v>
      </c>
      <c r="L334" s="99">
        <v>0</v>
      </c>
      <c r="M334" s="99">
        <v>3</v>
      </c>
      <c r="O334" s="17" t="s">
        <v>36</v>
      </c>
      <c r="P334" s="130">
        <v>8</v>
      </c>
      <c r="Q334" s="130">
        <v>0</v>
      </c>
      <c r="R334" s="138">
        <v>0</v>
      </c>
      <c r="S334" s="130">
        <v>8</v>
      </c>
      <c r="T334" s="138">
        <v>0</v>
      </c>
    </row>
    <row r="335" spans="1:20" x14ac:dyDescent="0.3">
      <c r="A335" s="17" t="s">
        <v>37</v>
      </c>
      <c r="B335" s="18">
        <v>0</v>
      </c>
      <c r="C335" s="18">
        <v>0</v>
      </c>
      <c r="D335" s="18">
        <v>0</v>
      </c>
      <c r="E335" s="18">
        <v>0</v>
      </c>
      <c r="F335" s="18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8">
        <v>0</v>
      </c>
      <c r="S335" s="130">
        <v>0</v>
      </c>
      <c r="T335" s="138">
        <v>0</v>
      </c>
    </row>
    <row r="336" spans="1:20" x14ac:dyDescent="0.3">
      <c r="A336" s="17" t="s">
        <v>38</v>
      </c>
      <c r="B336" s="172" t="s">
        <v>751</v>
      </c>
      <c r="C336" s="173"/>
      <c r="D336" s="173"/>
      <c r="E336" s="173"/>
      <c r="F336" s="173"/>
      <c r="H336" s="17" t="s">
        <v>38</v>
      </c>
      <c r="I336" s="167" t="s">
        <v>1307</v>
      </c>
      <c r="J336" s="168"/>
      <c r="K336" s="168"/>
      <c r="L336" s="168"/>
      <c r="M336" s="168"/>
      <c r="O336" s="17" t="s">
        <v>38</v>
      </c>
      <c r="P336" s="172" t="s">
        <v>188</v>
      </c>
      <c r="Q336" s="173"/>
      <c r="R336" s="173"/>
      <c r="S336" s="173"/>
      <c r="T336" s="173"/>
    </row>
    <row r="337" spans="1:20" ht="19.8" x14ac:dyDescent="0.3">
      <c r="A337" s="171">
        <v>46105</v>
      </c>
      <c r="B337" s="171"/>
      <c r="C337" s="171"/>
      <c r="D337" s="171"/>
      <c r="E337" s="171"/>
      <c r="F337" s="171"/>
      <c r="H337" s="170">
        <v>46132</v>
      </c>
      <c r="I337" s="168"/>
      <c r="J337" s="168"/>
      <c r="K337" s="168"/>
      <c r="L337" s="168"/>
      <c r="M337" s="168"/>
      <c r="O337" s="171">
        <v>46163</v>
      </c>
      <c r="P337" s="174"/>
      <c r="Q337" s="174"/>
      <c r="R337" s="174"/>
      <c r="S337" s="174"/>
      <c r="T337" s="174"/>
    </row>
    <row r="338" spans="1:20" x14ac:dyDescent="0.3">
      <c r="A338" s="1" t="s">
        <v>0</v>
      </c>
      <c r="B338" s="1" t="s">
        <v>1</v>
      </c>
      <c r="C338" s="1" t="s">
        <v>642</v>
      </c>
      <c r="D338" s="1" t="s">
        <v>760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2</v>
      </c>
      <c r="R338" s="1" t="s">
        <v>760</v>
      </c>
      <c r="S338" s="1" t="s">
        <v>40</v>
      </c>
      <c r="T338" s="1" t="s">
        <v>871</v>
      </c>
    </row>
    <row r="339" spans="1:20" x14ac:dyDescent="0.3">
      <c r="A339" s="2" t="s">
        <v>5</v>
      </c>
      <c r="B339" s="3">
        <v>2477</v>
      </c>
      <c r="C339" s="3">
        <v>0</v>
      </c>
      <c r="D339" s="3">
        <v>0</v>
      </c>
      <c r="E339" s="3">
        <v>1385</v>
      </c>
      <c r="F339" s="3">
        <v>1092</v>
      </c>
      <c r="H339" s="2" t="s">
        <v>5</v>
      </c>
      <c r="I339" s="3">
        <v>2476</v>
      </c>
      <c r="J339" s="3">
        <v>603</v>
      </c>
      <c r="K339" s="3">
        <v>830</v>
      </c>
      <c r="L339" s="3">
        <v>1041</v>
      </c>
      <c r="M339" s="3">
        <v>2</v>
      </c>
      <c r="O339" s="2" t="s">
        <v>5</v>
      </c>
      <c r="P339" s="3">
        <v>4224</v>
      </c>
      <c r="Q339" s="3">
        <v>2171</v>
      </c>
      <c r="R339" s="3">
        <v>0</v>
      </c>
      <c r="S339" s="3">
        <v>2053</v>
      </c>
      <c r="T339" s="3">
        <v>0</v>
      </c>
    </row>
    <row r="340" spans="1:20" x14ac:dyDescent="0.3">
      <c r="A340" s="2" t="s">
        <v>6</v>
      </c>
      <c r="B340" s="3">
        <v>38</v>
      </c>
      <c r="C340" s="3">
        <v>0</v>
      </c>
      <c r="D340" s="3">
        <v>0</v>
      </c>
      <c r="E340" s="5">
        <v>20</v>
      </c>
      <c r="F340" s="6">
        <v>18</v>
      </c>
      <c r="H340" s="2" t="s">
        <v>6</v>
      </c>
      <c r="I340" s="3">
        <v>192</v>
      </c>
      <c r="J340" s="4">
        <v>5</v>
      </c>
      <c r="K340" s="5">
        <v>174</v>
      </c>
      <c r="L340" s="6">
        <v>11</v>
      </c>
      <c r="M340" s="3">
        <v>2</v>
      </c>
      <c r="O340" s="2" t="s">
        <v>6</v>
      </c>
      <c r="P340" s="3">
        <v>97</v>
      </c>
      <c r="Q340" s="6">
        <v>34</v>
      </c>
      <c r="R340" s="3">
        <v>0</v>
      </c>
      <c r="S340" s="5">
        <v>63</v>
      </c>
      <c r="T340" s="3">
        <v>0</v>
      </c>
    </row>
    <row r="341" spans="1:20" x14ac:dyDescent="0.3">
      <c r="A341" s="2" t="s">
        <v>7</v>
      </c>
      <c r="B341" s="3" t="s">
        <v>583</v>
      </c>
      <c r="C341" s="3">
        <v>0</v>
      </c>
      <c r="D341" s="3">
        <v>0</v>
      </c>
      <c r="E341" s="6" t="s">
        <v>830</v>
      </c>
      <c r="F341" s="5" t="s">
        <v>182</v>
      </c>
      <c r="H341" s="2" t="s">
        <v>7</v>
      </c>
      <c r="I341" s="3" t="s">
        <v>1279</v>
      </c>
      <c r="J341" s="3" t="s">
        <v>697</v>
      </c>
      <c r="K341" s="6" t="s">
        <v>1576</v>
      </c>
      <c r="L341" s="4" t="s">
        <v>405</v>
      </c>
      <c r="M341" s="5" t="s">
        <v>48</v>
      </c>
      <c r="O341" s="2" t="s">
        <v>7</v>
      </c>
      <c r="P341" s="3" t="s">
        <v>578</v>
      </c>
      <c r="Q341" s="6" t="s">
        <v>1184</v>
      </c>
      <c r="R341" s="3">
        <v>0</v>
      </c>
      <c r="S341" s="5" t="s">
        <v>1474</v>
      </c>
      <c r="T341" s="3">
        <v>0</v>
      </c>
    </row>
    <row r="342" spans="1:20" x14ac:dyDescent="0.3">
      <c r="A342" s="2" t="s">
        <v>12</v>
      </c>
      <c r="B342" s="3" t="s">
        <v>491</v>
      </c>
      <c r="C342" s="3">
        <v>0</v>
      </c>
      <c r="D342" s="3">
        <v>0</v>
      </c>
      <c r="E342" s="5" t="s">
        <v>157</v>
      </c>
      <c r="F342" s="6" t="s">
        <v>200</v>
      </c>
      <c r="H342" s="2" t="s">
        <v>12</v>
      </c>
      <c r="I342" s="3" t="s">
        <v>304</v>
      </c>
      <c r="J342" s="4" t="s">
        <v>50</v>
      </c>
      <c r="K342" s="5" t="s">
        <v>1577</v>
      </c>
      <c r="L342" s="6" t="s">
        <v>337</v>
      </c>
      <c r="M342" s="3" t="s">
        <v>25</v>
      </c>
      <c r="O342" s="2" t="s">
        <v>12</v>
      </c>
      <c r="P342" s="3" t="s">
        <v>1073</v>
      </c>
      <c r="Q342" s="6" t="s">
        <v>1184</v>
      </c>
      <c r="R342" s="3">
        <v>0</v>
      </c>
      <c r="S342" s="5" t="s">
        <v>202</v>
      </c>
      <c r="T342" s="3">
        <v>0</v>
      </c>
    </row>
    <row r="343" spans="1:20" x14ac:dyDescent="0.3">
      <c r="A343" s="2" t="s">
        <v>17</v>
      </c>
      <c r="B343" s="48">
        <f>B341-B342</f>
        <v>1.1299999999999999E-2</v>
      </c>
      <c r="C343" s="3" t="s">
        <v>25</v>
      </c>
      <c r="D343" s="3" t="s">
        <v>25</v>
      </c>
      <c r="E343" s="50">
        <f>E341-E342</f>
        <v>1.01E-2</v>
      </c>
      <c r="F343" s="50">
        <f>F341-F342</f>
        <v>1.2800000000000001E-2</v>
      </c>
      <c r="H343" s="2" t="s">
        <v>17</v>
      </c>
      <c r="I343" s="48">
        <f>I351/I339</f>
        <v>5.2504038772213249E-3</v>
      </c>
      <c r="J343" s="4" t="s">
        <v>418</v>
      </c>
      <c r="K343" s="6" t="s">
        <v>174</v>
      </c>
      <c r="L343" s="104">
        <f>L351/L339</f>
        <v>3.8424591738712775E-3</v>
      </c>
      <c r="M343" s="5" t="s">
        <v>48</v>
      </c>
      <c r="O343" s="2" t="s">
        <v>17</v>
      </c>
      <c r="P343" s="3" t="s">
        <v>1973</v>
      </c>
      <c r="Q343" s="3" t="s">
        <v>25</v>
      </c>
      <c r="R343" s="3" t="s">
        <v>25</v>
      </c>
      <c r="S343" s="5" t="s">
        <v>48</v>
      </c>
      <c r="T343" s="3" t="s">
        <v>25</v>
      </c>
    </row>
    <row r="344" spans="1:20" x14ac:dyDescent="0.3">
      <c r="A344" s="2" t="s">
        <v>22</v>
      </c>
      <c r="B344" s="3" t="s">
        <v>153</v>
      </c>
      <c r="C344" s="3" t="s">
        <v>25</v>
      </c>
      <c r="D344" s="3" t="s">
        <v>25</v>
      </c>
      <c r="E344" s="5" t="s">
        <v>137</v>
      </c>
      <c r="F344" s="6" t="s">
        <v>200</v>
      </c>
      <c r="H344" s="2" t="s">
        <v>22</v>
      </c>
      <c r="I344" s="3" t="s">
        <v>595</v>
      </c>
      <c r="J344" s="3" t="s">
        <v>108</v>
      </c>
      <c r="K344" s="6" t="s">
        <v>347</v>
      </c>
      <c r="L344" s="4" t="s">
        <v>136</v>
      </c>
      <c r="M344" s="5" t="s">
        <v>48</v>
      </c>
      <c r="O344" s="2" t="s">
        <v>22</v>
      </c>
      <c r="P344" s="3" t="s">
        <v>74</v>
      </c>
      <c r="Q344" s="3" t="s">
        <v>25</v>
      </c>
      <c r="R344" s="3" t="s">
        <v>25</v>
      </c>
      <c r="S344" s="5" t="s">
        <v>152</v>
      </c>
      <c r="T344" s="3" t="s">
        <v>25</v>
      </c>
    </row>
    <row r="345" spans="1:20" x14ac:dyDescent="0.3">
      <c r="A345" s="7" t="s">
        <v>26</v>
      </c>
      <c r="B345" s="8">
        <v>10</v>
      </c>
      <c r="C345" s="8">
        <v>0</v>
      </c>
      <c r="D345" s="8">
        <v>0</v>
      </c>
      <c r="E345" s="8">
        <v>6</v>
      </c>
      <c r="F345" s="8">
        <v>4</v>
      </c>
      <c r="H345" s="7" t="s">
        <v>26</v>
      </c>
      <c r="I345" s="8">
        <v>179</v>
      </c>
      <c r="J345" s="8">
        <v>3</v>
      </c>
      <c r="K345" s="8">
        <v>169</v>
      </c>
      <c r="L345" s="8">
        <v>7</v>
      </c>
      <c r="M345" s="8">
        <v>0</v>
      </c>
      <c r="O345" s="7" t="s">
        <v>26</v>
      </c>
      <c r="P345" s="8">
        <v>84</v>
      </c>
      <c r="Q345" s="8">
        <v>34</v>
      </c>
      <c r="R345" s="8">
        <v>0</v>
      </c>
      <c r="S345" s="8">
        <v>50</v>
      </c>
      <c r="T345" s="8">
        <v>0</v>
      </c>
    </row>
    <row r="346" spans="1:20" x14ac:dyDescent="0.3">
      <c r="A346" s="9" t="s">
        <v>27</v>
      </c>
      <c r="B346" s="10">
        <v>2</v>
      </c>
      <c r="C346" s="10">
        <v>0</v>
      </c>
      <c r="D346" s="10">
        <v>0</v>
      </c>
      <c r="E346" s="10">
        <v>0</v>
      </c>
      <c r="F346" s="10">
        <v>2</v>
      </c>
      <c r="H346" s="9" t="s">
        <v>27</v>
      </c>
      <c r="I346" s="10">
        <v>17</v>
      </c>
      <c r="J346" s="10">
        <v>2</v>
      </c>
      <c r="K346" s="10">
        <v>10</v>
      </c>
      <c r="L346" s="10">
        <v>5</v>
      </c>
      <c r="M346" s="10">
        <v>0</v>
      </c>
      <c r="O346" s="9" t="s">
        <v>27</v>
      </c>
      <c r="P346" s="10">
        <v>22</v>
      </c>
      <c r="Q346" s="10">
        <v>12</v>
      </c>
      <c r="R346" s="10">
        <v>0</v>
      </c>
      <c r="S346" s="10">
        <v>10</v>
      </c>
      <c r="T346" s="10">
        <v>0</v>
      </c>
    </row>
    <row r="347" spans="1:20" x14ac:dyDescent="0.3">
      <c r="A347" s="9" t="s">
        <v>28</v>
      </c>
      <c r="B347" s="10">
        <v>2</v>
      </c>
      <c r="C347" s="10">
        <v>0</v>
      </c>
      <c r="D347" s="10">
        <v>0</v>
      </c>
      <c r="E347" s="10">
        <v>2</v>
      </c>
      <c r="F347" s="10">
        <v>0</v>
      </c>
      <c r="H347" s="9" t="s">
        <v>28</v>
      </c>
      <c r="I347" s="10">
        <v>2</v>
      </c>
      <c r="J347" s="10">
        <v>0</v>
      </c>
      <c r="K347" s="10">
        <v>1</v>
      </c>
      <c r="L347" s="10">
        <v>1</v>
      </c>
      <c r="M347" s="10">
        <v>0</v>
      </c>
      <c r="O347" s="9" t="s">
        <v>28</v>
      </c>
      <c r="P347" s="10">
        <v>28</v>
      </c>
      <c r="Q347" s="10">
        <v>13</v>
      </c>
      <c r="R347" s="10">
        <v>0</v>
      </c>
      <c r="S347" s="10">
        <v>15</v>
      </c>
      <c r="T347" s="10">
        <v>0</v>
      </c>
    </row>
    <row r="348" spans="1:20" x14ac:dyDescent="0.3">
      <c r="A348" s="9" t="s">
        <v>29</v>
      </c>
      <c r="B348" s="10">
        <v>0</v>
      </c>
      <c r="C348" s="10">
        <v>0</v>
      </c>
      <c r="D348" s="10">
        <v>0</v>
      </c>
      <c r="E348" s="10">
        <v>0</v>
      </c>
      <c r="F348" s="10">
        <v>0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O348" s="9" t="s">
        <v>29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s="9" t="s">
        <v>30</v>
      </c>
      <c r="B349" s="10">
        <v>6</v>
      </c>
      <c r="C349" s="10">
        <v>0</v>
      </c>
      <c r="D349" s="10">
        <v>0</v>
      </c>
      <c r="E349" s="10">
        <v>4</v>
      </c>
      <c r="F349" s="10">
        <v>2</v>
      </c>
      <c r="H349" s="9" t="s">
        <v>30</v>
      </c>
      <c r="I349" s="10">
        <v>160</v>
      </c>
      <c r="J349" s="10">
        <v>1</v>
      </c>
      <c r="K349" s="10">
        <v>158</v>
      </c>
      <c r="L349" s="10">
        <v>1</v>
      </c>
      <c r="M349" s="10">
        <v>0</v>
      </c>
      <c r="O349" s="9" t="s">
        <v>30</v>
      </c>
      <c r="P349" s="10">
        <v>34</v>
      </c>
      <c r="Q349" s="10">
        <v>9</v>
      </c>
      <c r="R349" s="10">
        <v>0</v>
      </c>
      <c r="S349" s="10">
        <v>25</v>
      </c>
      <c r="T349" s="10">
        <v>0</v>
      </c>
    </row>
    <row r="350" spans="1:20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O350" s="9" t="s">
        <v>31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A351" s="11" t="s">
        <v>32</v>
      </c>
      <c r="B351" s="12">
        <v>24</v>
      </c>
      <c r="C351" s="12">
        <v>0</v>
      </c>
      <c r="D351" s="12">
        <v>0</v>
      </c>
      <c r="E351" s="12">
        <v>11</v>
      </c>
      <c r="F351" s="12">
        <v>13</v>
      </c>
      <c r="H351" s="11" t="s">
        <v>32</v>
      </c>
      <c r="I351" s="12">
        <v>13</v>
      </c>
      <c r="J351" s="12">
        <v>2</v>
      </c>
      <c r="K351" s="12">
        <v>5</v>
      </c>
      <c r="L351" s="12">
        <v>4</v>
      </c>
      <c r="M351" s="12">
        <v>2</v>
      </c>
      <c r="O351" s="11" t="s">
        <v>32</v>
      </c>
      <c r="P351" s="12">
        <v>2053</v>
      </c>
      <c r="Q351" s="12">
        <v>0</v>
      </c>
      <c r="R351" s="12">
        <v>0</v>
      </c>
      <c r="S351" s="12">
        <v>2053</v>
      </c>
      <c r="T351" s="12">
        <v>0</v>
      </c>
    </row>
    <row r="352" spans="1:20" x14ac:dyDescent="0.3">
      <c r="A352" s="13" t="s">
        <v>33</v>
      </c>
      <c r="B352" s="14">
        <v>0</v>
      </c>
      <c r="C352" s="14">
        <v>0</v>
      </c>
      <c r="D352" s="14">
        <v>0</v>
      </c>
      <c r="E352" s="14">
        <v>0</v>
      </c>
      <c r="F352" s="14">
        <v>0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O352" s="13" t="s">
        <v>33</v>
      </c>
      <c r="P352" s="14">
        <v>2040</v>
      </c>
      <c r="Q352" s="14">
        <v>0</v>
      </c>
      <c r="R352" s="14">
        <v>0</v>
      </c>
      <c r="S352" s="14">
        <v>2040</v>
      </c>
      <c r="T352" s="14">
        <v>0</v>
      </c>
    </row>
    <row r="353" spans="1:20" x14ac:dyDescent="0.3">
      <c r="A353" s="13" t="s">
        <v>34</v>
      </c>
      <c r="B353" s="14">
        <v>24</v>
      </c>
      <c r="C353" s="14">
        <v>0</v>
      </c>
      <c r="D353" s="14">
        <v>0</v>
      </c>
      <c r="E353" s="14">
        <v>11</v>
      </c>
      <c r="F353" s="14">
        <v>13</v>
      </c>
      <c r="H353" s="13" t="s">
        <v>34</v>
      </c>
      <c r="I353" s="14">
        <v>13</v>
      </c>
      <c r="J353" s="14">
        <v>2</v>
      </c>
      <c r="K353" s="14">
        <v>5</v>
      </c>
      <c r="L353" s="14">
        <v>4</v>
      </c>
      <c r="M353" s="14">
        <v>2</v>
      </c>
      <c r="O353" s="13" t="s">
        <v>34</v>
      </c>
      <c r="P353" s="14">
        <v>13</v>
      </c>
      <c r="Q353" s="14">
        <v>0</v>
      </c>
      <c r="R353" s="14">
        <v>0</v>
      </c>
      <c r="S353" s="14">
        <v>13</v>
      </c>
      <c r="T353" s="14">
        <v>0</v>
      </c>
    </row>
    <row r="354" spans="1:20" x14ac:dyDescent="0.3">
      <c r="A354" s="15" t="s">
        <v>35</v>
      </c>
      <c r="B354" s="16">
        <v>12</v>
      </c>
      <c r="C354" s="16">
        <v>0</v>
      </c>
      <c r="D354" s="16">
        <v>0</v>
      </c>
      <c r="E354" s="16">
        <v>8</v>
      </c>
      <c r="F354" s="16">
        <v>4</v>
      </c>
      <c r="H354" s="15" t="s">
        <v>35</v>
      </c>
      <c r="I354" s="16">
        <v>7</v>
      </c>
      <c r="J354" s="16">
        <v>1</v>
      </c>
      <c r="K354" s="16">
        <v>2</v>
      </c>
      <c r="L354" s="16">
        <v>2</v>
      </c>
      <c r="M354" s="16">
        <v>2</v>
      </c>
      <c r="O354" s="15" t="s">
        <v>35</v>
      </c>
      <c r="P354" s="16">
        <v>13</v>
      </c>
      <c r="Q354" s="16">
        <v>0</v>
      </c>
      <c r="R354" s="16">
        <v>0</v>
      </c>
      <c r="S354" s="16">
        <v>13</v>
      </c>
      <c r="T354" s="16">
        <v>0</v>
      </c>
    </row>
    <row r="355" spans="1:20" x14ac:dyDescent="0.3">
      <c r="A355" s="17" t="s">
        <v>36</v>
      </c>
      <c r="B355" s="18">
        <v>12</v>
      </c>
      <c r="C355" s="19">
        <v>0</v>
      </c>
      <c r="D355" s="19">
        <v>0</v>
      </c>
      <c r="E355" s="18">
        <v>8</v>
      </c>
      <c r="F355" s="18">
        <v>4</v>
      </c>
      <c r="H355" s="17" t="s">
        <v>36</v>
      </c>
      <c r="I355" s="99">
        <v>5</v>
      </c>
      <c r="J355" s="99">
        <v>0</v>
      </c>
      <c r="K355" s="99">
        <v>1</v>
      </c>
      <c r="L355" s="99">
        <v>2</v>
      </c>
      <c r="M355" s="99">
        <v>2</v>
      </c>
      <c r="O355" s="17" t="s">
        <v>36</v>
      </c>
      <c r="P355" s="138">
        <v>13</v>
      </c>
      <c r="Q355" s="138">
        <v>0</v>
      </c>
      <c r="R355" s="138">
        <v>0</v>
      </c>
      <c r="S355" s="138">
        <v>13</v>
      </c>
      <c r="T355" s="138">
        <v>0</v>
      </c>
    </row>
    <row r="356" spans="1:20" x14ac:dyDescent="0.3">
      <c r="A356" s="17" t="s">
        <v>37</v>
      </c>
      <c r="B356" s="18">
        <v>0</v>
      </c>
      <c r="C356" s="19">
        <v>0</v>
      </c>
      <c r="D356" s="19">
        <v>0</v>
      </c>
      <c r="E356" s="18">
        <v>0</v>
      </c>
      <c r="F356" s="18">
        <v>0</v>
      </c>
      <c r="H356" s="17" t="s">
        <v>37</v>
      </c>
      <c r="I356" s="99">
        <v>4</v>
      </c>
      <c r="J356" s="99">
        <v>1</v>
      </c>
      <c r="K356" s="99">
        <v>1</v>
      </c>
      <c r="L356" s="99">
        <v>0</v>
      </c>
      <c r="M356" s="99">
        <v>2</v>
      </c>
      <c r="O356" s="17" t="s">
        <v>37</v>
      </c>
      <c r="P356" s="138">
        <v>0</v>
      </c>
      <c r="Q356" s="138">
        <v>0</v>
      </c>
      <c r="R356" s="138">
        <v>0</v>
      </c>
      <c r="S356" s="138">
        <v>0</v>
      </c>
      <c r="T356" s="138">
        <v>0</v>
      </c>
    </row>
    <row r="357" spans="1:20" x14ac:dyDescent="0.3">
      <c r="A357" s="17" t="s">
        <v>38</v>
      </c>
      <c r="B357" s="172" t="s">
        <v>751</v>
      </c>
      <c r="C357" s="173"/>
      <c r="D357" s="173"/>
      <c r="E357" s="173"/>
      <c r="F357" s="173"/>
      <c r="H357" s="17" t="s">
        <v>38</v>
      </c>
      <c r="I357" s="167" t="s">
        <v>1578</v>
      </c>
      <c r="J357" s="168"/>
      <c r="K357" s="168"/>
      <c r="L357" s="168"/>
      <c r="M357" s="168"/>
      <c r="O357" s="17" t="s">
        <v>38</v>
      </c>
      <c r="P357" s="172" t="s">
        <v>188</v>
      </c>
      <c r="Q357" s="173"/>
      <c r="R357" s="173"/>
      <c r="S357" s="173"/>
      <c r="T357" s="173"/>
    </row>
    <row r="358" spans="1:20" ht="19.8" x14ac:dyDescent="0.3">
      <c r="A358" s="170">
        <v>46106</v>
      </c>
      <c r="B358" s="168"/>
      <c r="C358" s="168"/>
      <c r="D358" s="168"/>
      <c r="E358" s="168"/>
      <c r="F358" s="168"/>
      <c r="H358" s="171">
        <v>46133</v>
      </c>
      <c r="I358" s="171"/>
      <c r="J358" s="171"/>
      <c r="K358" s="171"/>
      <c r="L358" s="171"/>
      <c r="M358" s="171"/>
      <c r="O358" s="171">
        <v>46164</v>
      </c>
      <c r="P358" s="171"/>
      <c r="Q358" s="171"/>
      <c r="R358" s="171"/>
      <c r="S358" s="171"/>
      <c r="T358" s="171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871</v>
      </c>
      <c r="O359" s="1" t="s">
        <v>0</v>
      </c>
      <c r="P359" s="1" t="s">
        <v>1</v>
      </c>
      <c r="Q359" s="1" t="s">
        <v>2</v>
      </c>
      <c r="R359" s="1" t="s">
        <v>760</v>
      </c>
      <c r="S359" s="1" t="s">
        <v>40</v>
      </c>
      <c r="T359" s="1" t="s">
        <v>871</v>
      </c>
    </row>
    <row r="360" spans="1:20" x14ac:dyDescent="0.3">
      <c r="A360" s="2" t="s">
        <v>5</v>
      </c>
      <c r="B360" s="3">
        <v>5546</v>
      </c>
      <c r="C360" s="3">
        <v>150</v>
      </c>
      <c r="D360" s="3">
        <v>1705</v>
      </c>
      <c r="E360" s="3">
        <v>1868</v>
      </c>
      <c r="F360" s="3">
        <v>1823</v>
      </c>
      <c r="H360" s="2" t="s">
        <v>5</v>
      </c>
      <c r="I360" s="3">
        <v>5273</v>
      </c>
      <c r="J360" s="3">
        <v>2161</v>
      </c>
      <c r="K360" s="3">
        <v>1463</v>
      </c>
      <c r="L360" s="3">
        <v>1649</v>
      </c>
      <c r="M360" s="3">
        <v>0</v>
      </c>
      <c r="O360" s="2" t="s">
        <v>5</v>
      </c>
      <c r="P360" s="3">
        <v>4547</v>
      </c>
      <c r="Q360" s="3">
        <v>2320</v>
      </c>
      <c r="R360" s="3">
        <v>0</v>
      </c>
      <c r="S360" s="3">
        <v>2227</v>
      </c>
      <c r="T360" s="3">
        <v>0</v>
      </c>
    </row>
    <row r="361" spans="1:20" x14ac:dyDescent="0.3">
      <c r="A361" s="2" t="s">
        <v>6</v>
      </c>
      <c r="B361" s="3">
        <v>55</v>
      </c>
      <c r="C361" s="3">
        <v>0</v>
      </c>
      <c r="D361" s="4">
        <v>9</v>
      </c>
      <c r="E361" s="5">
        <v>25</v>
      </c>
      <c r="F361" s="6">
        <v>21</v>
      </c>
      <c r="H361" s="2" t="s">
        <v>6</v>
      </c>
      <c r="I361" s="3">
        <v>45</v>
      </c>
      <c r="J361" s="5">
        <v>20</v>
      </c>
      <c r="K361" s="4">
        <v>10</v>
      </c>
      <c r="L361" s="6">
        <v>15</v>
      </c>
      <c r="M361" s="3">
        <v>0</v>
      </c>
      <c r="O361" s="2" t="s">
        <v>6</v>
      </c>
      <c r="P361" s="3">
        <v>110</v>
      </c>
      <c r="Q361" s="6">
        <v>37</v>
      </c>
      <c r="R361" s="3">
        <v>0</v>
      </c>
      <c r="S361" s="5">
        <v>73</v>
      </c>
      <c r="T361" s="3">
        <v>0</v>
      </c>
    </row>
    <row r="362" spans="1:20" x14ac:dyDescent="0.3">
      <c r="A362" s="2" t="s">
        <v>7</v>
      </c>
      <c r="B362" s="3" t="s">
        <v>794</v>
      </c>
      <c r="C362" s="3" t="s">
        <v>25</v>
      </c>
      <c r="D362" s="4" t="s">
        <v>466</v>
      </c>
      <c r="E362" s="5" t="s">
        <v>239</v>
      </c>
      <c r="F362" s="6" t="s">
        <v>417</v>
      </c>
      <c r="H362" s="2" t="s">
        <v>7</v>
      </c>
      <c r="I362" s="3" t="s">
        <v>63</v>
      </c>
      <c r="J362" s="5" t="s">
        <v>850</v>
      </c>
      <c r="K362" s="4" t="s">
        <v>492</v>
      </c>
      <c r="L362" s="6" t="s">
        <v>887</v>
      </c>
      <c r="M362" s="3">
        <v>0</v>
      </c>
      <c r="O362" s="2" t="s">
        <v>7</v>
      </c>
      <c r="P362" s="3" t="s">
        <v>120</v>
      </c>
      <c r="Q362" s="6" t="s">
        <v>364</v>
      </c>
      <c r="R362" s="3">
        <v>0</v>
      </c>
      <c r="S362" s="5" t="s">
        <v>1441</v>
      </c>
      <c r="T362" s="3">
        <v>0</v>
      </c>
    </row>
    <row r="363" spans="1:20" x14ac:dyDescent="0.3">
      <c r="A363" s="2" t="s">
        <v>12</v>
      </c>
      <c r="B363" s="3" t="s">
        <v>491</v>
      </c>
      <c r="C363" s="3" t="s">
        <v>25</v>
      </c>
      <c r="D363" s="4" t="s">
        <v>109</v>
      </c>
      <c r="E363" s="5" t="s">
        <v>484</v>
      </c>
      <c r="F363" s="6" t="s">
        <v>418</v>
      </c>
      <c r="H363" s="2" t="s">
        <v>12</v>
      </c>
      <c r="I363" s="3" t="s">
        <v>317</v>
      </c>
      <c r="J363" s="4" t="s">
        <v>78</v>
      </c>
      <c r="K363" s="5" t="s">
        <v>863</v>
      </c>
      <c r="L363" s="6" t="s">
        <v>78</v>
      </c>
      <c r="M363" s="3">
        <v>0</v>
      </c>
      <c r="O363" s="2" t="s">
        <v>12</v>
      </c>
      <c r="P363" s="3" t="s">
        <v>323</v>
      </c>
      <c r="Q363" s="6" t="s">
        <v>364</v>
      </c>
      <c r="R363" s="3">
        <v>0</v>
      </c>
      <c r="S363" s="5" t="s">
        <v>1618</v>
      </c>
      <c r="T363" s="3">
        <v>0</v>
      </c>
    </row>
    <row r="364" spans="1:20" x14ac:dyDescent="0.3">
      <c r="A364" s="2" t="s">
        <v>17</v>
      </c>
      <c r="B364" s="48">
        <f>B362-B363</f>
        <v>5.9000000000000007E-3</v>
      </c>
      <c r="C364" s="3" t="s">
        <v>25</v>
      </c>
      <c r="D364" s="6" t="s">
        <v>135</v>
      </c>
      <c r="E364" s="50">
        <f>E362-E363</f>
        <v>6.4000000000000003E-3</v>
      </c>
      <c r="F364" s="50">
        <f>F362-F363</f>
        <v>8.199999999999999E-3</v>
      </c>
      <c r="H364" s="2" t="s">
        <v>17</v>
      </c>
      <c r="I364" s="48">
        <f>I372/I360</f>
        <v>3.7929072634174093E-3</v>
      </c>
      <c r="J364" s="6" t="s">
        <v>654</v>
      </c>
      <c r="K364" s="4" t="s">
        <v>310</v>
      </c>
      <c r="L364" s="50">
        <f>L372/L360</f>
        <v>4.2449969678593083E-3</v>
      </c>
      <c r="M364" s="3" t="s">
        <v>25</v>
      </c>
      <c r="O364" s="2" t="s">
        <v>17</v>
      </c>
      <c r="P364" s="3" t="s">
        <v>1982</v>
      </c>
      <c r="Q364" s="3" t="s">
        <v>25</v>
      </c>
      <c r="R364" s="3" t="s">
        <v>25</v>
      </c>
      <c r="S364" s="5" t="s">
        <v>48</v>
      </c>
      <c r="T364" s="3" t="s">
        <v>25</v>
      </c>
    </row>
    <row r="365" spans="1:20" x14ac:dyDescent="0.3">
      <c r="A365" s="2" t="s">
        <v>22</v>
      </c>
      <c r="B365" s="3" t="s">
        <v>122</v>
      </c>
      <c r="C365" s="3" t="s">
        <v>25</v>
      </c>
      <c r="D365" s="3" t="s">
        <v>25</v>
      </c>
      <c r="E365" s="6" t="s">
        <v>88</v>
      </c>
      <c r="F365" s="5" t="s">
        <v>150</v>
      </c>
      <c r="H365" s="2" t="s">
        <v>22</v>
      </c>
      <c r="I365" s="3" t="s">
        <v>84</v>
      </c>
      <c r="J365" s="3" t="s">
        <v>25</v>
      </c>
      <c r="K365" s="3" t="s">
        <v>25</v>
      </c>
      <c r="L365" s="5" t="s">
        <v>147</v>
      </c>
      <c r="M365" s="3" t="s">
        <v>25</v>
      </c>
      <c r="O365" s="2" t="s">
        <v>22</v>
      </c>
      <c r="P365" s="3" t="s">
        <v>138</v>
      </c>
      <c r="Q365" s="3" t="s">
        <v>25</v>
      </c>
      <c r="R365" s="3" t="s">
        <v>25</v>
      </c>
      <c r="S365" s="5" t="s">
        <v>75</v>
      </c>
      <c r="T365" s="3" t="s">
        <v>25</v>
      </c>
    </row>
    <row r="366" spans="1:20" x14ac:dyDescent="0.3">
      <c r="A366" s="7" t="s">
        <v>26</v>
      </c>
      <c r="B366" s="8">
        <v>22</v>
      </c>
      <c r="C366" s="8">
        <v>0</v>
      </c>
      <c r="D366" s="8">
        <v>3</v>
      </c>
      <c r="E366" s="8">
        <v>13</v>
      </c>
      <c r="F366" s="8">
        <v>6</v>
      </c>
      <c r="H366" s="7" t="s">
        <v>26</v>
      </c>
      <c r="I366" s="8">
        <v>24</v>
      </c>
      <c r="J366" s="8">
        <v>9</v>
      </c>
      <c r="K366" s="8">
        <v>8</v>
      </c>
      <c r="L366" s="8">
        <v>7</v>
      </c>
      <c r="M366" s="8">
        <v>0</v>
      </c>
      <c r="O366" s="7" t="s">
        <v>26</v>
      </c>
      <c r="P366" s="8">
        <v>107</v>
      </c>
      <c r="Q366" s="8">
        <v>37</v>
      </c>
      <c r="R366" s="8">
        <v>0</v>
      </c>
      <c r="S366" s="8">
        <v>70</v>
      </c>
      <c r="T366" s="8">
        <v>0</v>
      </c>
    </row>
    <row r="367" spans="1:20" x14ac:dyDescent="0.3">
      <c r="A367" s="9" t="s">
        <v>27</v>
      </c>
      <c r="B367" s="10">
        <v>8</v>
      </c>
      <c r="C367" s="10">
        <v>0</v>
      </c>
      <c r="D367" s="10">
        <v>1</v>
      </c>
      <c r="E367" s="10">
        <v>4</v>
      </c>
      <c r="F367" s="10">
        <v>3</v>
      </c>
      <c r="H367" s="9" t="s">
        <v>27</v>
      </c>
      <c r="I367" s="10">
        <v>18</v>
      </c>
      <c r="J367" s="10">
        <v>8</v>
      </c>
      <c r="K367" s="10">
        <v>4</v>
      </c>
      <c r="L367" s="10">
        <v>6</v>
      </c>
      <c r="M367" s="10">
        <v>0</v>
      </c>
      <c r="O367" s="9" t="s">
        <v>27</v>
      </c>
      <c r="P367" s="10">
        <v>31</v>
      </c>
      <c r="Q367" s="10">
        <v>15</v>
      </c>
      <c r="R367" s="10">
        <v>0</v>
      </c>
      <c r="S367" s="10">
        <v>16</v>
      </c>
      <c r="T367" s="10">
        <v>0</v>
      </c>
    </row>
    <row r="368" spans="1:20" x14ac:dyDescent="0.3">
      <c r="A368" s="9" t="s">
        <v>28</v>
      </c>
      <c r="B368" s="10">
        <v>0</v>
      </c>
      <c r="C368" s="10">
        <v>0</v>
      </c>
      <c r="D368" s="10">
        <v>0</v>
      </c>
      <c r="E368" s="10">
        <v>0</v>
      </c>
      <c r="F368" s="10">
        <v>0</v>
      </c>
      <c r="H368" s="9" t="s">
        <v>28</v>
      </c>
      <c r="I368" s="10">
        <v>1</v>
      </c>
      <c r="J368" s="10">
        <v>0</v>
      </c>
      <c r="K368" s="10">
        <v>0</v>
      </c>
      <c r="L368" s="10">
        <v>1</v>
      </c>
      <c r="M368" s="10">
        <v>0</v>
      </c>
      <c r="O368" s="9" t="s">
        <v>28</v>
      </c>
      <c r="P368" s="10">
        <v>26</v>
      </c>
      <c r="Q368" s="10">
        <v>14</v>
      </c>
      <c r="R368" s="10">
        <v>0</v>
      </c>
      <c r="S368" s="10">
        <v>12</v>
      </c>
      <c r="T368" s="10">
        <v>0</v>
      </c>
    </row>
    <row r="369" spans="1:20" x14ac:dyDescent="0.3">
      <c r="A369" s="9" t="s">
        <v>29</v>
      </c>
      <c r="B369" s="10">
        <v>0</v>
      </c>
      <c r="C369" s="10">
        <v>0</v>
      </c>
      <c r="D369" s="10">
        <v>0</v>
      </c>
      <c r="E369" s="10">
        <v>0</v>
      </c>
      <c r="F369" s="10">
        <v>0</v>
      </c>
      <c r="H369" s="9" t="s">
        <v>29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O369" s="9" t="s">
        <v>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3">
      <c r="A370" s="9" t="s">
        <v>30</v>
      </c>
      <c r="B370" s="10">
        <v>14</v>
      </c>
      <c r="C370" s="10">
        <v>0</v>
      </c>
      <c r="D370" s="10">
        <v>2</v>
      </c>
      <c r="E370" s="10">
        <v>9</v>
      </c>
      <c r="F370" s="10">
        <v>3</v>
      </c>
      <c r="H370" s="9" t="s">
        <v>30</v>
      </c>
      <c r="I370" s="10">
        <v>5</v>
      </c>
      <c r="J370" s="10">
        <v>1</v>
      </c>
      <c r="K370" s="10">
        <v>4</v>
      </c>
      <c r="L370" s="10">
        <v>0</v>
      </c>
      <c r="M370" s="10">
        <v>0</v>
      </c>
      <c r="O370" s="9" t="s">
        <v>30</v>
      </c>
      <c r="P370" s="10">
        <v>50</v>
      </c>
      <c r="Q370" s="10">
        <v>8</v>
      </c>
      <c r="R370" s="10">
        <v>0</v>
      </c>
      <c r="S370" s="10">
        <v>42</v>
      </c>
      <c r="T370" s="10">
        <v>0</v>
      </c>
    </row>
    <row r="371" spans="1:20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O371" s="9" t="s">
        <v>31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s="11" t="s">
        <v>32</v>
      </c>
      <c r="B372" s="12">
        <v>26</v>
      </c>
      <c r="C372" s="12">
        <v>0</v>
      </c>
      <c r="D372" s="12">
        <v>6</v>
      </c>
      <c r="E372" s="12">
        <v>9</v>
      </c>
      <c r="F372" s="12">
        <v>11</v>
      </c>
      <c r="H372" s="11" t="s">
        <v>32</v>
      </c>
      <c r="I372" s="12">
        <v>20</v>
      </c>
      <c r="J372" s="12">
        <v>11</v>
      </c>
      <c r="K372" s="12">
        <v>2</v>
      </c>
      <c r="L372" s="12">
        <v>7</v>
      </c>
      <c r="M372" s="12">
        <v>0</v>
      </c>
      <c r="O372" s="11" t="s">
        <v>32</v>
      </c>
      <c r="P372" s="12">
        <v>2227</v>
      </c>
      <c r="Q372" s="12">
        <v>0</v>
      </c>
      <c r="R372" s="12">
        <v>0</v>
      </c>
      <c r="S372" s="12">
        <v>2227</v>
      </c>
      <c r="T372" s="12">
        <v>0</v>
      </c>
    </row>
    <row r="373" spans="1:20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1</v>
      </c>
      <c r="J373" s="14">
        <v>1</v>
      </c>
      <c r="K373" s="14">
        <v>0</v>
      </c>
      <c r="L373" s="14">
        <v>0</v>
      </c>
      <c r="M373" s="14">
        <v>0</v>
      </c>
      <c r="O373" s="13" t="s">
        <v>33</v>
      </c>
      <c r="P373" s="14">
        <v>2224</v>
      </c>
      <c r="Q373" s="14">
        <v>0</v>
      </c>
      <c r="R373" s="14">
        <v>0</v>
      </c>
      <c r="S373" s="14">
        <v>2224</v>
      </c>
      <c r="T373" s="14">
        <v>0</v>
      </c>
    </row>
    <row r="374" spans="1:20" x14ac:dyDescent="0.3">
      <c r="A374" s="13" t="s">
        <v>34</v>
      </c>
      <c r="B374" s="14">
        <v>26</v>
      </c>
      <c r="C374" s="14">
        <v>0</v>
      </c>
      <c r="D374" s="14">
        <v>6</v>
      </c>
      <c r="E374" s="14">
        <v>9</v>
      </c>
      <c r="F374" s="14">
        <v>11</v>
      </c>
      <c r="H374" s="13" t="s">
        <v>34</v>
      </c>
      <c r="I374" s="14">
        <v>19</v>
      </c>
      <c r="J374" s="14">
        <v>10</v>
      </c>
      <c r="K374" s="14">
        <v>2</v>
      </c>
      <c r="L374" s="14">
        <v>7</v>
      </c>
      <c r="M374" s="14">
        <v>0</v>
      </c>
      <c r="O374" s="13" t="s">
        <v>34</v>
      </c>
      <c r="P374" s="14">
        <v>3</v>
      </c>
      <c r="Q374" s="14">
        <v>0</v>
      </c>
      <c r="R374" s="14">
        <v>0</v>
      </c>
      <c r="S374" s="14">
        <v>3</v>
      </c>
      <c r="T374" s="14">
        <v>0</v>
      </c>
    </row>
    <row r="375" spans="1:20" x14ac:dyDescent="0.3">
      <c r="A375" s="15" t="s">
        <v>35</v>
      </c>
      <c r="B375" s="16">
        <v>12</v>
      </c>
      <c r="C375" s="16">
        <v>0</v>
      </c>
      <c r="D375" s="16">
        <v>0</v>
      </c>
      <c r="E375" s="16">
        <v>5</v>
      </c>
      <c r="F375" s="16">
        <v>7</v>
      </c>
      <c r="H375" s="15" t="s">
        <v>35</v>
      </c>
      <c r="I375" s="16">
        <v>5</v>
      </c>
      <c r="J375" s="16">
        <v>0</v>
      </c>
      <c r="K375" s="16">
        <v>0</v>
      </c>
      <c r="L375" s="16">
        <v>5</v>
      </c>
      <c r="M375" s="16">
        <v>0</v>
      </c>
      <c r="O375" s="15" t="s">
        <v>35</v>
      </c>
      <c r="P375" s="16">
        <v>3</v>
      </c>
      <c r="Q375" s="16">
        <v>0</v>
      </c>
      <c r="R375" s="16">
        <v>0</v>
      </c>
      <c r="S375" s="16">
        <v>3</v>
      </c>
      <c r="T375" s="16">
        <v>0</v>
      </c>
    </row>
    <row r="376" spans="1:20" x14ac:dyDescent="0.3">
      <c r="A376" s="17" t="s">
        <v>36</v>
      </c>
      <c r="B376" s="19">
        <v>12</v>
      </c>
      <c r="C376" s="19">
        <v>0</v>
      </c>
      <c r="D376" s="19">
        <v>0</v>
      </c>
      <c r="E376" s="19">
        <v>5</v>
      </c>
      <c r="F376" s="19">
        <v>7</v>
      </c>
      <c r="H376" s="17" t="s">
        <v>36</v>
      </c>
      <c r="I376" s="100">
        <v>5</v>
      </c>
      <c r="J376" s="100">
        <v>0</v>
      </c>
      <c r="K376" s="100">
        <v>0</v>
      </c>
      <c r="L376" s="100">
        <v>5</v>
      </c>
      <c r="M376" s="100">
        <v>0</v>
      </c>
      <c r="O376" s="17" t="s">
        <v>36</v>
      </c>
      <c r="P376" s="138">
        <v>3</v>
      </c>
      <c r="Q376" s="138">
        <v>0</v>
      </c>
      <c r="R376" s="138">
        <v>0</v>
      </c>
      <c r="S376" s="138">
        <v>3</v>
      </c>
      <c r="T376" s="138">
        <v>0</v>
      </c>
    </row>
    <row r="377" spans="1:20" x14ac:dyDescent="0.3">
      <c r="A377" s="17" t="s">
        <v>37</v>
      </c>
      <c r="B377" s="19">
        <v>0</v>
      </c>
      <c r="C377" s="19">
        <v>0</v>
      </c>
      <c r="D377" s="19">
        <v>0</v>
      </c>
      <c r="E377" s="19">
        <v>0</v>
      </c>
      <c r="F377" s="19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  <c r="O377" s="17" t="s">
        <v>37</v>
      </c>
      <c r="P377" s="138">
        <v>0</v>
      </c>
      <c r="Q377" s="138">
        <v>0</v>
      </c>
      <c r="R377" s="138">
        <v>0</v>
      </c>
      <c r="S377" s="138">
        <v>0</v>
      </c>
      <c r="T377" s="138">
        <v>0</v>
      </c>
    </row>
    <row r="378" spans="1:20" x14ac:dyDescent="0.3">
      <c r="A378" s="17" t="s">
        <v>38</v>
      </c>
      <c r="B378" s="167" t="s">
        <v>751</v>
      </c>
      <c r="C378" s="168"/>
      <c r="D378" s="168"/>
      <c r="E378" s="168"/>
      <c r="F378" s="168"/>
      <c r="H378" s="17" t="s">
        <v>38</v>
      </c>
      <c r="I378" s="172" t="s">
        <v>751</v>
      </c>
      <c r="J378" s="173"/>
      <c r="K378" s="173"/>
      <c r="L378" s="173"/>
      <c r="M378" s="173"/>
      <c r="O378" s="17" t="s">
        <v>38</v>
      </c>
      <c r="P378" s="172" t="s">
        <v>188</v>
      </c>
      <c r="Q378" s="173"/>
      <c r="R378" s="173"/>
      <c r="S378" s="173"/>
      <c r="T378" s="173"/>
    </row>
    <row r="379" spans="1:20" ht="19.8" x14ac:dyDescent="0.3">
      <c r="A379" s="170">
        <v>46107</v>
      </c>
      <c r="B379" s="168"/>
      <c r="C379" s="168"/>
      <c r="D379" s="168"/>
      <c r="E379" s="168"/>
      <c r="F379" s="168"/>
      <c r="H379" s="171">
        <v>46134</v>
      </c>
      <c r="I379" s="174"/>
      <c r="J379" s="174"/>
      <c r="K379" s="174"/>
      <c r="L379" s="174"/>
      <c r="M379" s="174"/>
      <c r="O379" s="171">
        <v>46165</v>
      </c>
      <c r="P379" s="171"/>
      <c r="Q379" s="171"/>
      <c r="R379" s="171"/>
      <c r="S379" s="171"/>
      <c r="T379" s="171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871</v>
      </c>
      <c r="O380" s="1" t="s">
        <v>0</v>
      </c>
      <c r="P380" s="1" t="s">
        <v>1</v>
      </c>
      <c r="Q380" s="1" t="s">
        <v>2</v>
      </c>
      <c r="R380" s="1" t="s">
        <v>760</v>
      </c>
      <c r="S380" s="1" t="s">
        <v>40</v>
      </c>
      <c r="T380" s="1" t="s">
        <v>871</v>
      </c>
    </row>
    <row r="381" spans="1:20" x14ac:dyDescent="0.3">
      <c r="A381" s="2" t="s">
        <v>5</v>
      </c>
      <c r="B381" s="3">
        <v>6314</v>
      </c>
      <c r="C381" s="3">
        <v>1526</v>
      </c>
      <c r="D381" s="3">
        <v>1517</v>
      </c>
      <c r="E381" s="3">
        <v>1634</v>
      </c>
      <c r="F381" s="3">
        <v>1637</v>
      </c>
      <c r="H381" s="2" t="s">
        <v>5</v>
      </c>
      <c r="I381" s="3">
        <v>4306</v>
      </c>
      <c r="J381" s="3">
        <v>1823</v>
      </c>
      <c r="K381" s="3">
        <v>1086</v>
      </c>
      <c r="L381" s="3">
        <v>1397</v>
      </c>
      <c r="M381" s="3">
        <v>0</v>
      </c>
      <c r="O381" s="2" t="s">
        <v>5</v>
      </c>
      <c r="P381" s="3">
        <v>3798</v>
      </c>
      <c r="Q381" s="3">
        <v>1945</v>
      </c>
      <c r="R381" s="3">
        <v>0</v>
      </c>
      <c r="S381" s="3">
        <v>1853</v>
      </c>
      <c r="T381" s="3">
        <v>0</v>
      </c>
    </row>
    <row r="382" spans="1:20" x14ac:dyDescent="0.3">
      <c r="A382" s="2" t="s">
        <v>6</v>
      </c>
      <c r="B382" s="3">
        <v>106</v>
      </c>
      <c r="C382" s="4">
        <v>21</v>
      </c>
      <c r="D382" s="3">
        <v>19</v>
      </c>
      <c r="E382" s="5">
        <v>38</v>
      </c>
      <c r="F382" s="6">
        <v>28</v>
      </c>
      <c r="H382" s="2" t="s">
        <v>6</v>
      </c>
      <c r="I382" s="3">
        <v>52</v>
      </c>
      <c r="J382" s="4">
        <v>9</v>
      </c>
      <c r="K382" s="5">
        <v>28</v>
      </c>
      <c r="L382" s="6">
        <v>15</v>
      </c>
      <c r="M382" s="3">
        <v>0</v>
      </c>
      <c r="O382" s="2" t="s">
        <v>6</v>
      </c>
      <c r="P382" s="3">
        <v>70</v>
      </c>
      <c r="Q382" s="6">
        <v>16</v>
      </c>
      <c r="R382" s="3">
        <v>0</v>
      </c>
      <c r="S382" s="5">
        <v>54</v>
      </c>
      <c r="T382" s="3">
        <v>0</v>
      </c>
    </row>
    <row r="383" spans="1:20" x14ac:dyDescent="0.3">
      <c r="A383" s="2" t="s">
        <v>7</v>
      </c>
      <c r="B383" s="3" t="s">
        <v>342</v>
      </c>
      <c r="C383" s="4" t="s">
        <v>185</v>
      </c>
      <c r="D383" s="3" t="s">
        <v>476</v>
      </c>
      <c r="E383" s="5" t="s">
        <v>1017</v>
      </c>
      <c r="F383" s="6" t="s">
        <v>1018</v>
      </c>
      <c r="H383" s="2" t="s">
        <v>7</v>
      </c>
      <c r="I383" s="3" t="s">
        <v>635</v>
      </c>
      <c r="J383" s="4" t="s">
        <v>76</v>
      </c>
      <c r="K383" s="5" t="s">
        <v>391</v>
      </c>
      <c r="L383" s="6" t="s">
        <v>443</v>
      </c>
      <c r="M383" s="3">
        <v>0</v>
      </c>
      <c r="O383" s="2" t="s">
        <v>7</v>
      </c>
      <c r="P383" s="3" t="s">
        <v>314</v>
      </c>
      <c r="Q383" s="6" t="s">
        <v>371</v>
      </c>
      <c r="R383" s="3">
        <v>0</v>
      </c>
      <c r="S383" s="5" t="s">
        <v>71</v>
      </c>
      <c r="T383" s="3">
        <v>0</v>
      </c>
    </row>
    <row r="384" spans="1:20" x14ac:dyDescent="0.3">
      <c r="A384" s="2" t="s">
        <v>12</v>
      </c>
      <c r="B384" s="3" t="s">
        <v>507</v>
      </c>
      <c r="C384" s="3" t="s">
        <v>99</v>
      </c>
      <c r="D384" s="4" t="s">
        <v>418</v>
      </c>
      <c r="E384" s="5" t="s">
        <v>300</v>
      </c>
      <c r="F384" s="6" t="s">
        <v>200</v>
      </c>
      <c r="H384" s="2" t="s">
        <v>12</v>
      </c>
      <c r="I384" s="3" t="s">
        <v>467</v>
      </c>
      <c r="J384" s="4" t="s">
        <v>122</v>
      </c>
      <c r="K384" s="5" t="s">
        <v>1239</v>
      </c>
      <c r="L384" s="6" t="s">
        <v>50</v>
      </c>
      <c r="M384" s="3">
        <v>0</v>
      </c>
      <c r="O384" s="2" t="s">
        <v>12</v>
      </c>
      <c r="P384" s="3" t="s">
        <v>1018</v>
      </c>
      <c r="Q384" s="6" t="s">
        <v>371</v>
      </c>
      <c r="R384" s="3">
        <v>0</v>
      </c>
      <c r="S384" s="5" t="s">
        <v>105</v>
      </c>
      <c r="T384" s="3">
        <v>0</v>
      </c>
    </row>
    <row r="385" spans="1:20" x14ac:dyDescent="0.3">
      <c r="A385" s="2" t="s">
        <v>17</v>
      </c>
      <c r="B385" s="48">
        <f>B383-B384</f>
        <v>1.2699999999999999E-2</v>
      </c>
      <c r="C385" s="6" t="s">
        <v>499</v>
      </c>
      <c r="D385" s="4" t="s">
        <v>229</v>
      </c>
      <c r="E385" s="50">
        <f>E383-E384</f>
        <v>1.6E-2</v>
      </c>
      <c r="F385" s="50">
        <f>F383-F384</f>
        <v>1.34E-2</v>
      </c>
      <c r="H385" s="2" t="s">
        <v>17</v>
      </c>
      <c r="I385" s="48">
        <f>I393/I381</f>
        <v>3.4835113794705061E-3</v>
      </c>
      <c r="J385" s="59" t="s">
        <v>88</v>
      </c>
      <c r="K385" s="60" t="s">
        <v>109</v>
      </c>
      <c r="L385" s="50">
        <f>L393/L381</f>
        <v>5.7265569076592696E-3</v>
      </c>
      <c r="M385" s="3" t="s">
        <v>25</v>
      </c>
      <c r="O385" s="2" t="s">
        <v>17</v>
      </c>
      <c r="P385" s="3" t="s">
        <v>1992</v>
      </c>
      <c r="Q385" s="3" t="s">
        <v>25</v>
      </c>
      <c r="R385" s="3" t="s">
        <v>25</v>
      </c>
      <c r="S385" s="5" t="s">
        <v>48</v>
      </c>
      <c r="T385" s="3" t="s">
        <v>25</v>
      </c>
    </row>
    <row r="386" spans="1:20" x14ac:dyDescent="0.3">
      <c r="A386" s="2" t="s">
        <v>22</v>
      </c>
      <c r="B386" s="3" t="s">
        <v>108</v>
      </c>
      <c r="C386" s="3" t="s">
        <v>25</v>
      </c>
      <c r="D386" s="3" t="s">
        <v>25</v>
      </c>
      <c r="E386" s="5" t="s">
        <v>200</v>
      </c>
      <c r="F386" s="6" t="s">
        <v>74</v>
      </c>
      <c r="H386" s="2" t="s">
        <v>22</v>
      </c>
      <c r="I386" s="3" t="s">
        <v>136</v>
      </c>
      <c r="J386" s="3" t="s">
        <v>25</v>
      </c>
      <c r="K386" s="3" t="s">
        <v>25</v>
      </c>
      <c r="L386" s="5" t="s">
        <v>596</v>
      </c>
      <c r="M386" s="3" t="s">
        <v>25</v>
      </c>
      <c r="O386" s="2" t="s">
        <v>22</v>
      </c>
      <c r="P386" s="3" t="s">
        <v>75</v>
      </c>
      <c r="Q386" s="3" t="s">
        <v>25</v>
      </c>
      <c r="R386" s="3" t="s">
        <v>25</v>
      </c>
      <c r="S386" s="5" t="s">
        <v>88</v>
      </c>
      <c r="T386" s="3" t="s">
        <v>25</v>
      </c>
    </row>
    <row r="387" spans="1:20" x14ac:dyDescent="0.3">
      <c r="A387" s="7" t="s">
        <v>26</v>
      </c>
      <c r="B387" s="8">
        <v>26</v>
      </c>
      <c r="C387" s="8">
        <v>3</v>
      </c>
      <c r="D387" s="8">
        <v>5</v>
      </c>
      <c r="E387" s="8">
        <v>12</v>
      </c>
      <c r="F387" s="8">
        <v>6</v>
      </c>
      <c r="H387" s="7" t="s">
        <v>26</v>
      </c>
      <c r="I387" s="8">
        <v>37</v>
      </c>
      <c r="J387" s="8">
        <v>4</v>
      </c>
      <c r="K387" s="8">
        <v>26</v>
      </c>
      <c r="L387" s="8">
        <v>7</v>
      </c>
      <c r="M387" s="8">
        <v>0</v>
      </c>
      <c r="O387" s="7" t="s">
        <v>26</v>
      </c>
      <c r="P387" s="8">
        <v>65</v>
      </c>
      <c r="Q387" s="8">
        <v>16</v>
      </c>
      <c r="R387" s="8">
        <v>0</v>
      </c>
      <c r="S387" s="8">
        <v>49</v>
      </c>
      <c r="T387" s="8">
        <v>0</v>
      </c>
    </row>
    <row r="388" spans="1:20" x14ac:dyDescent="0.3">
      <c r="A388" s="9" t="s">
        <v>27</v>
      </c>
      <c r="B388" s="10">
        <v>6</v>
      </c>
      <c r="C388" s="10">
        <v>1</v>
      </c>
      <c r="D388" s="10">
        <v>3</v>
      </c>
      <c r="E388" s="10">
        <v>2</v>
      </c>
      <c r="F388" s="10">
        <v>0</v>
      </c>
      <c r="H388" s="9" t="s">
        <v>27</v>
      </c>
      <c r="I388" s="10">
        <v>10</v>
      </c>
      <c r="J388" s="10">
        <v>2</v>
      </c>
      <c r="K388" s="10">
        <v>2</v>
      </c>
      <c r="L388" s="10">
        <v>6</v>
      </c>
      <c r="M388" s="10">
        <v>0</v>
      </c>
      <c r="O388" s="9" t="s">
        <v>27</v>
      </c>
      <c r="P388" s="10">
        <v>12</v>
      </c>
      <c r="Q388" s="10">
        <v>5</v>
      </c>
      <c r="R388" s="10">
        <v>0</v>
      </c>
      <c r="S388" s="10">
        <v>7</v>
      </c>
      <c r="T388" s="10">
        <v>0</v>
      </c>
    </row>
    <row r="389" spans="1:20" x14ac:dyDescent="0.3">
      <c r="A389" s="9" t="s">
        <v>28</v>
      </c>
      <c r="B389" s="10">
        <v>10</v>
      </c>
      <c r="C389" s="10">
        <v>0</v>
      </c>
      <c r="D389" s="10">
        <v>0</v>
      </c>
      <c r="E389" s="10">
        <v>7</v>
      </c>
      <c r="F389" s="10">
        <v>3</v>
      </c>
      <c r="H389" s="9" t="s">
        <v>28</v>
      </c>
      <c r="I389" s="10">
        <v>6</v>
      </c>
      <c r="J389" s="10">
        <v>1</v>
      </c>
      <c r="K389" s="10">
        <v>5</v>
      </c>
      <c r="L389" s="10">
        <v>0</v>
      </c>
      <c r="M389" s="10">
        <v>0</v>
      </c>
      <c r="O389" s="9" t="s">
        <v>28</v>
      </c>
      <c r="P389" s="10">
        <v>5</v>
      </c>
      <c r="Q389" s="10">
        <v>4</v>
      </c>
      <c r="R389" s="10">
        <v>0</v>
      </c>
      <c r="S389" s="10">
        <v>1</v>
      </c>
      <c r="T389" s="10">
        <v>0</v>
      </c>
    </row>
    <row r="390" spans="1:20" x14ac:dyDescent="0.3">
      <c r="A390" s="9" t="s">
        <v>29</v>
      </c>
      <c r="B390" s="10">
        <v>0</v>
      </c>
      <c r="C390" s="10">
        <v>0</v>
      </c>
      <c r="D390" s="10">
        <v>0</v>
      </c>
      <c r="E390" s="10">
        <v>0</v>
      </c>
      <c r="F390" s="10">
        <v>0</v>
      </c>
      <c r="H390" s="9" t="s">
        <v>29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O390" s="9" t="s">
        <v>29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s="9" t="s">
        <v>30</v>
      </c>
      <c r="B391" s="10">
        <v>10</v>
      </c>
      <c r="C391" s="10">
        <v>2</v>
      </c>
      <c r="D391" s="10">
        <v>2</v>
      </c>
      <c r="E391" s="10">
        <v>3</v>
      </c>
      <c r="F391" s="10">
        <v>3</v>
      </c>
      <c r="H391" s="9" t="s">
        <v>30</v>
      </c>
      <c r="I391" s="10">
        <v>21</v>
      </c>
      <c r="J391" s="10">
        <v>1</v>
      </c>
      <c r="K391" s="10">
        <v>19</v>
      </c>
      <c r="L391" s="10">
        <v>1</v>
      </c>
      <c r="M391" s="10">
        <v>0</v>
      </c>
      <c r="O391" s="9" t="s">
        <v>30</v>
      </c>
      <c r="P391" s="10">
        <v>48</v>
      </c>
      <c r="Q391" s="10">
        <v>7</v>
      </c>
      <c r="R391" s="10">
        <v>0</v>
      </c>
      <c r="S391" s="10">
        <v>41</v>
      </c>
      <c r="T391" s="10">
        <v>0</v>
      </c>
    </row>
    <row r="392" spans="1:20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O392" s="9" t="s">
        <v>31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s="11" t="s">
        <v>32</v>
      </c>
      <c r="B393" s="12">
        <v>80</v>
      </c>
      <c r="C393" s="12">
        <v>18</v>
      </c>
      <c r="D393" s="12">
        <v>14</v>
      </c>
      <c r="E393" s="12">
        <v>26</v>
      </c>
      <c r="F393" s="12">
        <v>22</v>
      </c>
      <c r="H393" s="11" t="s">
        <v>32</v>
      </c>
      <c r="I393" s="12">
        <v>15</v>
      </c>
      <c r="J393" s="12">
        <v>5</v>
      </c>
      <c r="K393" s="12">
        <v>2</v>
      </c>
      <c r="L393" s="12">
        <v>8</v>
      </c>
      <c r="M393" s="12">
        <v>0</v>
      </c>
      <c r="O393" s="11" t="s">
        <v>32</v>
      </c>
      <c r="P393" s="12">
        <v>1853</v>
      </c>
      <c r="Q393" s="12">
        <v>0</v>
      </c>
      <c r="R393" s="12">
        <v>0</v>
      </c>
      <c r="S393" s="12">
        <v>1853</v>
      </c>
      <c r="T393" s="12">
        <v>0</v>
      </c>
    </row>
    <row r="394" spans="1:20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5</v>
      </c>
      <c r="J394" s="14">
        <v>5</v>
      </c>
      <c r="K394" s="14">
        <v>0</v>
      </c>
      <c r="L394" s="14">
        <v>0</v>
      </c>
      <c r="M394" s="14">
        <v>0</v>
      </c>
      <c r="O394" s="13" t="s">
        <v>33</v>
      </c>
      <c r="P394" s="14">
        <v>1848</v>
      </c>
      <c r="Q394" s="14">
        <v>0</v>
      </c>
      <c r="R394" s="14">
        <v>0</v>
      </c>
      <c r="S394" s="14">
        <v>1848</v>
      </c>
      <c r="T394" s="14">
        <v>0</v>
      </c>
    </row>
    <row r="395" spans="1:20" x14ac:dyDescent="0.3">
      <c r="A395" s="13" t="s">
        <v>34</v>
      </c>
      <c r="B395" s="14">
        <v>80</v>
      </c>
      <c r="C395" s="14">
        <v>18</v>
      </c>
      <c r="D395" s="14">
        <v>14</v>
      </c>
      <c r="E395" s="14">
        <v>26</v>
      </c>
      <c r="F395" s="14">
        <v>22</v>
      </c>
      <c r="H395" s="13" t="s">
        <v>34</v>
      </c>
      <c r="I395" s="14">
        <v>10</v>
      </c>
      <c r="J395" s="14">
        <v>0</v>
      </c>
      <c r="K395" s="14">
        <v>2</v>
      </c>
      <c r="L395" s="14">
        <v>8</v>
      </c>
      <c r="M395" s="14">
        <v>0</v>
      </c>
      <c r="O395" s="13" t="s">
        <v>34</v>
      </c>
      <c r="P395" s="14">
        <v>5</v>
      </c>
      <c r="Q395" s="14">
        <v>0</v>
      </c>
      <c r="R395" s="14">
        <v>0</v>
      </c>
      <c r="S395" s="14">
        <v>5</v>
      </c>
      <c r="T395" s="14">
        <v>0</v>
      </c>
    </row>
    <row r="396" spans="1:20" x14ac:dyDescent="0.3">
      <c r="A396" s="15" t="s">
        <v>35</v>
      </c>
      <c r="B396" s="16">
        <v>11</v>
      </c>
      <c r="C396" s="16">
        <v>0</v>
      </c>
      <c r="D396" s="16">
        <v>0</v>
      </c>
      <c r="E396" s="16">
        <v>6</v>
      </c>
      <c r="F396" s="16">
        <v>5</v>
      </c>
      <c r="H396" s="15" t="s">
        <v>35</v>
      </c>
      <c r="I396" s="16">
        <v>8</v>
      </c>
      <c r="J396" s="16">
        <v>0</v>
      </c>
      <c r="K396" s="16">
        <v>0</v>
      </c>
      <c r="L396" s="16">
        <v>8</v>
      </c>
      <c r="M396" s="16">
        <v>0</v>
      </c>
      <c r="O396" s="15" t="s">
        <v>35</v>
      </c>
      <c r="P396" s="16">
        <v>5</v>
      </c>
      <c r="Q396" s="16">
        <v>0</v>
      </c>
      <c r="R396" s="16">
        <v>0</v>
      </c>
      <c r="S396" s="16">
        <v>5</v>
      </c>
      <c r="T396" s="16">
        <v>0</v>
      </c>
    </row>
    <row r="397" spans="1:20" x14ac:dyDescent="0.3">
      <c r="A397" s="17" t="s">
        <v>36</v>
      </c>
      <c r="B397" s="34">
        <v>11</v>
      </c>
      <c r="C397" s="34">
        <v>0</v>
      </c>
      <c r="D397" s="34">
        <v>0</v>
      </c>
      <c r="E397" s="34">
        <v>6</v>
      </c>
      <c r="F397" s="34">
        <v>5</v>
      </c>
      <c r="H397" s="17" t="s">
        <v>36</v>
      </c>
      <c r="I397" s="100">
        <v>8</v>
      </c>
      <c r="J397" s="100">
        <v>0</v>
      </c>
      <c r="K397" s="100">
        <v>0</v>
      </c>
      <c r="L397" s="100">
        <v>8</v>
      </c>
      <c r="M397" s="100">
        <v>0</v>
      </c>
      <c r="O397" s="17" t="s">
        <v>36</v>
      </c>
      <c r="P397" s="138">
        <v>5</v>
      </c>
      <c r="Q397" s="138">
        <v>0</v>
      </c>
      <c r="R397" s="138">
        <v>0</v>
      </c>
      <c r="S397" s="138">
        <v>5</v>
      </c>
      <c r="T397" s="138">
        <v>0</v>
      </c>
    </row>
    <row r="398" spans="1:20" x14ac:dyDescent="0.3">
      <c r="A398" s="17" t="s">
        <v>37</v>
      </c>
      <c r="B398" s="34">
        <v>0</v>
      </c>
      <c r="C398" s="34">
        <v>0</v>
      </c>
      <c r="D398" s="34">
        <v>0</v>
      </c>
      <c r="E398" s="34">
        <v>0</v>
      </c>
      <c r="F398" s="34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  <c r="O398" s="17" t="s">
        <v>37</v>
      </c>
      <c r="P398" s="138">
        <v>0</v>
      </c>
      <c r="Q398" s="138">
        <v>0</v>
      </c>
      <c r="R398" s="138">
        <v>0</v>
      </c>
      <c r="S398" s="138">
        <v>0</v>
      </c>
      <c r="T398" s="138">
        <v>0</v>
      </c>
    </row>
    <row r="399" spans="1:20" x14ac:dyDescent="0.3">
      <c r="A399" s="17" t="s">
        <v>38</v>
      </c>
      <c r="B399" s="167" t="s">
        <v>751</v>
      </c>
      <c r="C399" s="168"/>
      <c r="D399" s="168"/>
      <c r="E399" s="168"/>
      <c r="F399" s="168"/>
      <c r="H399" s="17" t="s">
        <v>38</v>
      </c>
      <c r="I399" s="172" t="s">
        <v>751</v>
      </c>
      <c r="J399" s="173"/>
      <c r="K399" s="173"/>
      <c r="L399" s="173"/>
      <c r="M399" s="173"/>
      <c r="O399" s="17" t="s">
        <v>38</v>
      </c>
      <c r="P399" s="172" t="s">
        <v>188</v>
      </c>
      <c r="Q399" s="173"/>
      <c r="R399" s="173"/>
      <c r="S399" s="173"/>
      <c r="T399" s="173"/>
    </row>
    <row r="400" spans="1:20" ht="19.8" x14ac:dyDescent="0.3">
      <c r="A400" s="170">
        <v>46108</v>
      </c>
      <c r="B400" s="168"/>
      <c r="C400" s="168"/>
      <c r="D400" s="168"/>
      <c r="E400" s="168"/>
      <c r="F400" s="168"/>
      <c r="H400" s="170">
        <v>46135</v>
      </c>
      <c r="I400" s="170"/>
      <c r="J400" s="170"/>
      <c r="K400" s="170"/>
      <c r="L400" s="170"/>
      <c r="M400" s="170"/>
      <c r="O400" s="170">
        <v>46167</v>
      </c>
      <c r="P400" s="170"/>
      <c r="Q400" s="170"/>
      <c r="R400" s="170"/>
      <c r="S400" s="170"/>
      <c r="T400" s="170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871</v>
      </c>
      <c r="O401" s="1" t="s">
        <v>0</v>
      </c>
      <c r="P401" s="1" t="s">
        <v>1</v>
      </c>
      <c r="Q401" s="1" t="s">
        <v>2</v>
      </c>
      <c r="R401" s="1" t="s">
        <v>760</v>
      </c>
      <c r="S401" s="1" t="s">
        <v>40</v>
      </c>
      <c r="T401" s="1" t="s">
        <v>871</v>
      </c>
    </row>
    <row r="402" spans="1:20" x14ac:dyDescent="0.3">
      <c r="A402" s="2" t="s">
        <v>5</v>
      </c>
      <c r="B402" s="3">
        <v>6498</v>
      </c>
      <c r="C402" s="3">
        <v>2105</v>
      </c>
      <c r="D402" s="3">
        <v>1523</v>
      </c>
      <c r="E402" s="3">
        <v>1427</v>
      </c>
      <c r="F402" s="3">
        <v>1443</v>
      </c>
      <c r="H402" s="2" t="s">
        <v>5</v>
      </c>
      <c r="I402" s="3">
        <v>4325</v>
      </c>
      <c r="J402" s="3">
        <v>1881</v>
      </c>
      <c r="K402" s="3">
        <v>1059</v>
      </c>
      <c r="L402" s="3">
        <v>1385</v>
      </c>
      <c r="M402" s="3">
        <v>0</v>
      </c>
      <c r="O402" s="2" t="s">
        <v>5</v>
      </c>
      <c r="P402" s="3">
        <v>1965</v>
      </c>
      <c r="Q402" s="3">
        <v>1042</v>
      </c>
      <c r="R402" s="3">
        <v>0</v>
      </c>
      <c r="S402" s="3">
        <v>923</v>
      </c>
      <c r="T402" s="3">
        <v>0</v>
      </c>
    </row>
    <row r="403" spans="1:20" x14ac:dyDescent="0.3">
      <c r="A403" s="2" t="s">
        <v>6</v>
      </c>
      <c r="B403" s="3">
        <v>50</v>
      </c>
      <c r="C403" s="6">
        <v>14</v>
      </c>
      <c r="D403" s="4">
        <v>3</v>
      </c>
      <c r="E403" s="6">
        <v>14</v>
      </c>
      <c r="F403" s="5">
        <v>19</v>
      </c>
      <c r="H403" s="2" t="s">
        <v>6</v>
      </c>
      <c r="I403" s="3">
        <v>68</v>
      </c>
      <c r="J403" s="4">
        <v>9</v>
      </c>
      <c r="K403" s="5">
        <v>38</v>
      </c>
      <c r="L403" s="6">
        <v>21</v>
      </c>
      <c r="M403" s="3">
        <v>0</v>
      </c>
      <c r="O403" s="2" t="s">
        <v>6</v>
      </c>
      <c r="P403" s="3">
        <v>61</v>
      </c>
      <c r="Q403" s="6">
        <v>28</v>
      </c>
      <c r="R403" s="3">
        <v>0</v>
      </c>
      <c r="S403" s="5">
        <v>33</v>
      </c>
      <c r="T403" s="3">
        <v>0</v>
      </c>
    </row>
    <row r="404" spans="1:20" x14ac:dyDescent="0.3">
      <c r="A404" s="2" t="s">
        <v>7</v>
      </c>
      <c r="B404" s="3" t="s">
        <v>332</v>
      </c>
      <c r="C404" s="4" t="s">
        <v>337</v>
      </c>
      <c r="D404" s="3" t="s">
        <v>99</v>
      </c>
      <c r="E404" s="6" t="s">
        <v>452</v>
      </c>
      <c r="F404" s="5" t="s">
        <v>351</v>
      </c>
      <c r="H404" s="2" t="s">
        <v>7</v>
      </c>
      <c r="I404" s="3" t="s">
        <v>1184</v>
      </c>
      <c r="J404" s="4" t="s">
        <v>153</v>
      </c>
      <c r="K404" s="5" t="s">
        <v>662</v>
      </c>
      <c r="L404" s="6" t="s">
        <v>1364</v>
      </c>
      <c r="M404" s="3">
        <v>0</v>
      </c>
      <c r="O404" s="2" t="s">
        <v>7</v>
      </c>
      <c r="P404" s="3" t="s">
        <v>1314</v>
      </c>
      <c r="Q404" s="6" t="s">
        <v>888</v>
      </c>
      <c r="R404" s="3">
        <v>0</v>
      </c>
      <c r="S404" s="5" t="s">
        <v>469</v>
      </c>
      <c r="T404" s="3">
        <v>0</v>
      </c>
    </row>
    <row r="405" spans="1:20" x14ac:dyDescent="0.3">
      <c r="A405" s="2" t="s">
        <v>12</v>
      </c>
      <c r="B405" s="3" t="s">
        <v>100</v>
      </c>
      <c r="C405" s="4" t="s">
        <v>150</v>
      </c>
      <c r="D405" s="3" t="s">
        <v>75</v>
      </c>
      <c r="E405" s="5" t="s">
        <v>78</v>
      </c>
      <c r="F405" s="6" t="s">
        <v>78</v>
      </c>
      <c r="H405" s="2" t="s">
        <v>12</v>
      </c>
      <c r="I405" s="3" t="s">
        <v>499</v>
      </c>
      <c r="J405" s="4" t="s">
        <v>200</v>
      </c>
      <c r="K405" s="5" t="s">
        <v>250</v>
      </c>
      <c r="L405" s="6" t="s">
        <v>83</v>
      </c>
      <c r="M405" s="3">
        <v>0</v>
      </c>
      <c r="O405" s="2" t="s">
        <v>12</v>
      </c>
      <c r="P405" s="3" t="s">
        <v>1296</v>
      </c>
      <c r="Q405" s="6" t="s">
        <v>417</v>
      </c>
      <c r="R405" s="3">
        <v>0</v>
      </c>
      <c r="S405" s="5" t="s">
        <v>774</v>
      </c>
      <c r="T405" s="3">
        <v>0</v>
      </c>
    </row>
    <row r="406" spans="1:20" x14ac:dyDescent="0.3">
      <c r="A406" s="2" t="s">
        <v>17</v>
      </c>
      <c r="B406" s="48">
        <f>B404-B405</f>
        <v>4.3E-3</v>
      </c>
      <c r="C406" s="59" t="s">
        <v>227</v>
      </c>
      <c r="D406" s="60" t="s">
        <v>138</v>
      </c>
      <c r="E406" s="50">
        <f>E404-E405</f>
        <v>5.5999999999999999E-3</v>
      </c>
      <c r="F406" s="50">
        <f>F404-F405</f>
        <v>9.0000000000000011E-3</v>
      </c>
      <c r="H406" s="2" t="s">
        <v>17</v>
      </c>
      <c r="I406" s="48">
        <f>I414/I402</f>
        <v>3.9306358381502888E-3</v>
      </c>
      <c r="J406" s="4" t="s">
        <v>49</v>
      </c>
      <c r="K406" s="6" t="s">
        <v>595</v>
      </c>
      <c r="L406" s="50">
        <f>L414/L402</f>
        <v>8.6642599277978339E-3</v>
      </c>
      <c r="M406" s="3" t="s">
        <v>25</v>
      </c>
      <c r="O406" s="2" t="s">
        <v>17</v>
      </c>
      <c r="P406" s="3" t="s">
        <v>1999</v>
      </c>
      <c r="Q406" s="6" t="s">
        <v>510</v>
      </c>
      <c r="R406" s="3" t="s">
        <v>25</v>
      </c>
      <c r="S406" s="5" t="s">
        <v>48</v>
      </c>
      <c r="T406" s="3" t="s">
        <v>25</v>
      </c>
    </row>
    <row r="407" spans="1:20" x14ac:dyDescent="0.3">
      <c r="A407" s="2" t="s">
        <v>22</v>
      </c>
      <c r="B407" s="3" t="s">
        <v>47</v>
      </c>
      <c r="C407" s="3" t="s">
        <v>25</v>
      </c>
      <c r="D407" s="3" t="s">
        <v>25</v>
      </c>
      <c r="E407" s="6" t="s">
        <v>135</v>
      </c>
      <c r="F407" s="5" t="s">
        <v>607</v>
      </c>
      <c r="H407" s="2" t="s">
        <v>22</v>
      </c>
      <c r="I407" s="3" t="s">
        <v>595</v>
      </c>
      <c r="J407" s="3" t="s">
        <v>25</v>
      </c>
      <c r="K407" s="6" t="s">
        <v>84</v>
      </c>
      <c r="L407" s="5" t="s">
        <v>545</v>
      </c>
      <c r="M407" s="3" t="s">
        <v>25</v>
      </c>
      <c r="O407" s="2" t="s">
        <v>22</v>
      </c>
      <c r="P407" s="3" t="s">
        <v>81</v>
      </c>
      <c r="Q407" s="3" t="s">
        <v>25</v>
      </c>
      <c r="R407" s="3" t="s">
        <v>25</v>
      </c>
      <c r="S407" s="5" t="s">
        <v>122</v>
      </c>
      <c r="T407" s="3" t="s">
        <v>25</v>
      </c>
    </row>
    <row r="408" spans="1:20" x14ac:dyDescent="0.3">
      <c r="A408" s="7" t="s">
        <v>26</v>
      </c>
      <c r="B408" s="8">
        <v>22</v>
      </c>
      <c r="C408" s="8">
        <v>8</v>
      </c>
      <c r="D408" s="8">
        <v>2</v>
      </c>
      <c r="E408" s="8">
        <v>6</v>
      </c>
      <c r="F408" s="8">
        <v>6</v>
      </c>
      <c r="H408" s="7" t="s">
        <v>26</v>
      </c>
      <c r="I408" s="8">
        <v>51</v>
      </c>
      <c r="J408" s="8">
        <v>7</v>
      </c>
      <c r="K408" s="8">
        <v>35</v>
      </c>
      <c r="L408" s="8">
        <v>9</v>
      </c>
      <c r="M408" s="8">
        <v>0</v>
      </c>
      <c r="O408" s="7" t="s">
        <v>26</v>
      </c>
      <c r="P408" s="8">
        <v>28</v>
      </c>
      <c r="Q408" s="8">
        <v>12</v>
      </c>
      <c r="R408" s="8">
        <v>0</v>
      </c>
      <c r="S408" s="8">
        <v>16</v>
      </c>
      <c r="T408" s="8">
        <v>0</v>
      </c>
    </row>
    <row r="409" spans="1:20" x14ac:dyDescent="0.3">
      <c r="A409" s="9" t="s">
        <v>27</v>
      </c>
      <c r="B409" s="10">
        <v>9</v>
      </c>
      <c r="C409" s="10">
        <v>4</v>
      </c>
      <c r="D409" s="10">
        <v>0</v>
      </c>
      <c r="E409" s="10">
        <v>2</v>
      </c>
      <c r="F409" s="10">
        <v>3</v>
      </c>
      <c r="H409" s="9" t="s">
        <v>27</v>
      </c>
      <c r="I409" s="10">
        <v>11</v>
      </c>
      <c r="J409" s="10">
        <v>4</v>
      </c>
      <c r="K409" s="10">
        <v>3</v>
      </c>
      <c r="L409" s="10">
        <v>4</v>
      </c>
      <c r="M409" s="10">
        <v>0</v>
      </c>
      <c r="O409" s="9" t="s">
        <v>27</v>
      </c>
      <c r="P409" s="10">
        <v>8</v>
      </c>
      <c r="Q409" s="10">
        <v>3</v>
      </c>
      <c r="R409" s="10">
        <v>0</v>
      </c>
      <c r="S409" s="10">
        <v>5</v>
      </c>
      <c r="T409" s="10">
        <v>0</v>
      </c>
    </row>
    <row r="410" spans="1:20" x14ac:dyDescent="0.3">
      <c r="A410" s="9" t="s">
        <v>28</v>
      </c>
      <c r="B410" s="10">
        <v>4</v>
      </c>
      <c r="C410" s="10">
        <v>1</v>
      </c>
      <c r="D410" s="10">
        <v>0</v>
      </c>
      <c r="E410" s="10">
        <v>2</v>
      </c>
      <c r="F410" s="10">
        <v>1</v>
      </c>
      <c r="H410" s="9" t="s">
        <v>28</v>
      </c>
      <c r="I410" s="10">
        <v>5</v>
      </c>
      <c r="J410" s="10">
        <v>0</v>
      </c>
      <c r="K410" s="10">
        <v>2</v>
      </c>
      <c r="L410" s="10">
        <v>3</v>
      </c>
      <c r="M410" s="10">
        <v>0</v>
      </c>
      <c r="O410" s="9" t="s">
        <v>28</v>
      </c>
      <c r="P410" s="10">
        <v>5</v>
      </c>
      <c r="Q410" s="10">
        <v>4</v>
      </c>
      <c r="R410" s="10">
        <v>0</v>
      </c>
      <c r="S410" s="10">
        <v>1</v>
      </c>
      <c r="T410" s="10">
        <v>0</v>
      </c>
    </row>
    <row r="411" spans="1:20" x14ac:dyDescent="0.3">
      <c r="A411" s="9" t="s">
        <v>29</v>
      </c>
      <c r="B411" s="10">
        <v>0</v>
      </c>
      <c r="C411" s="10">
        <v>0</v>
      </c>
      <c r="D411" s="10">
        <v>0</v>
      </c>
      <c r="E411" s="10">
        <v>0</v>
      </c>
      <c r="F411" s="10">
        <v>0</v>
      </c>
      <c r="H411" s="9" t="s">
        <v>29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O411" s="9" t="s">
        <v>29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s="9" t="s">
        <v>30</v>
      </c>
      <c r="B412" s="10">
        <v>9</v>
      </c>
      <c r="C412" s="10">
        <v>3</v>
      </c>
      <c r="D412" s="10">
        <v>2</v>
      </c>
      <c r="E412" s="10">
        <v>2</v>
      </c>
      <c r="F412" s="10">
        <v>2</v>
      </c>
      <c r="H412" s="9" t="s">
        <v>30</v>
      </c>
      <c r="I412" s="10">
        <v>35</v>
      </c>
      <c r="J412" s="10">
        <v>3</v>
      </c>
      <c r="K412" s="10">
        <v>30</v>
      </c>
      <c r="L412" s="10">
        <v>2</v>
      </c>
      <c r="M412" s="10">
        <v>0</v>
      </c>
      <c r="O412" s="9" t="s">
        <v>30</v>
      </c>
      <c r="P412" s="10">
        <v>15</v>
      </c>
      <c r="Q412" s="10">
        <v>5</v>
      </c>
      <c r="R412" s="10">
        <v>0</v>
      </c>
      <c r="S412" s="10">
        <v>10</v>
      </c>
      <c r="T412" s="10">
        <v>0</v>
      </c>
    </row>
    <row r="413" spans="1:20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O413" s="9" t="s">
        <v>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A414" s="11" t="s">
        <v>32</v>
      </c>
      <c r="B414" s="12">
        <v>28</v>
      </c>
      <c r="C414" s="12">
        <v>6</v>
      </c>
      <c r="D414" s="12">
        <v>1</v>
      </c>
      <c r="E414" s="12">
        <v>8</v>
      </c>
      <c r="F414" s="12">
        <v>13</v>
      </c>
      <c r="H414" s="11" t="s">
        <v>32</v>
      </c>
      <c r="I414" s="12">
        <v>17</v>
      </c>
      <c r="J414" s="12">
        <v>2</v>
      </c>
      <c r="K414" s="12">
        <v>3</v>
      </c>
      <c r="L414" s="12">
        <v>12</v>
      </c>
      <c r="M414" s="12">
        <v>0</v>
      </c>
      <c r="O414" s="11" t="s">
        <v>32</v>
      </c>
      <c r="P414" s="12">
        <v>939</v>
      </c>
      <c r="Q414" s="12">
        <v>16</v>
      </c>
      <c r="R414" s="12">
        <v>0</v>
      </c>
      <c r="S414" s="12">
        <v>923</v>
      </c>
      <c r="T414" s="12">
        <v>0</v>
      </c>
    </row>
    <row r="415" spans="1:20" x14ac:dyDescent="0.3">
      <c r="A415" s="13" t="s">
        <v>33</v>
      </c>
      <c r="B415" s="14">
        <v>1</v>
      </c>
      <c r="C415" s="14">
        <v>1</v>
      </c>
      <c r="D415" s="14">
        <v>0</v>
      </c>
      <c r="E415" s="14">
        <v>0</v>
      </c>
      <c r="F415" s="14">
        <v>0</v>
      </c>
      <c r="H415" s="13" t="s">
        <v>33</v>
      </c>
      <c r="I415" s="14">
        <v>1</v>
      </c>
      <c r="J415" s="14">
        <v>1</v>
      </c>
      <c r="K415" s="14">
        <v>0</v>
      </c>
      <c r="L415" s="14">
        <v>0</v>
      </c>
      <c r="M415" s="14">
        <v>0</v>
      </c>
      <c r="O415" s="13" t="s">
        <v>33</v>
      </c>
      <c r="P415" s="14">
        <v>931</v>
      </c>
      <c r="Q415" s="14">
        <v>14</v>
      </c>
      <c r="R415" s="14">
        <v>0</v>
      </c>
      <c r="S415" s="14">
        <v>917</v>
      </c>
      <c r="T415" s="14">
        <v>0</v>
      </c>
    </row>
    <row r="416" spans="1:20" x14ac:dyDescent="0.3">
      <c r="A416" s="13" t="s">
        <v>34</v>
      </c>
      <c r="B416" s="14">
        <v>27</v>
      </c>
      <c r="C416" s="14">
        <v>5</v>
      </c>
      <c r="D416" s="14">
        <v>1</v>
      </c>
      <c r="E416" s="14">
        <v>8</v>
      </c>
      <c r="F416" s="14">
        <v>13</v>
      </c>
      <c r="H416" s="13" t="s">
        <v>34</v>
      </c>
      <c r="I416" s="14">
        <v>16</v>
      </c>
      <c r="J416" s="14">
        <v>1</v>
      </c>
      <c r="K416" s="14">
        <v>3</v>
      </c>
      <c r="L416" s="14">
        <v>12</v>
      </c>
      <c r="M416" s="14">
        <v>0</v>
      </c>
      <c r="O416" s="13" t="s">
        <v>34</v>
      </c>
      <c r="P416" s="14">
        <v>8</v>
      </c>
      <c r="Q416" s="14">
        <v>2</v>
      </c>
      <c r="R416" s="14">
        <v>0</v>
      </c>
      <c r="S416" s="14">
        <v>6</v>
      </c>
      <c r="T416" s="14">
        <v>0</v>
      </c>
    </row>
    <row r="417" spans="1:20" x14ac:dyDescent="0.3">
      <c r="A417" s="15" t="s">
        <v>35</v>
      </c>
      <c r="B417" s="16">
        <v>16</v>
      </c>
      <c r="C417" s="16">
        <v>0</v>
      </c>
      <c r="D417" s="16">
        <v>0</v>
      </c>
      <c r="E417" s="16">
        <v>5</v>
      </c>
      <c r="F417" s="16">
        <v>11</v>
      </c>
      <c r="H417" s="15" t="s">
        <v>35</v>
      </c>
      <c r="I417" s="16">
        <v>12</v>
      </c>
      <c r="J417" s="16">
        <v>0</v>
      </c>
      <c r="K417" s="16">
        <v>1</v>
      </c>
      <c r="L417" s="16">
        <v>11</v>
      </c>
      <c r="M417" s="16">
        <v>0</v>
      </c>
      <c r="O417" s="15" t="s">
        <v>35</v>
      </c>
      <c r="P417" s="16">
        <v>2</v>
      </c>
      <c r="Q417" s="16">
        <v>0</v>
      </c>
      <c r="R417" s="16">
        <v>0</v>
      </c>
      <c r="S417" s="16">
        <v>2</v>
      </c>
      <c r="T417" s="16">
        <v>0</v>
      </c>
    </row>
    <row r="418" spans="1:20" x14ac:dyDescent="0.3">
      <c r="A418" s="17" t="s">
        <v>36</v>
      </c>
      <c r="B418" s="55">
        <v>16</v>
      </c>
      <c r="C418" s="55">
        <v>0</v>
      </c>
      <c r="D418" s="55">
        <v>0</v>
      </c>
      <c r="E418" s="55">
        <v>5</v>
      </c>
      <c r="F418" s="55">
        <v>11</v>
      </c>
      <c r="H418" s="17" t="s">
        <v>36</v>
      </c>
      <c r="I418" s="103">
        <v>11</v>
      </c>
      <c r="J418" s="103">
        <v>0</v>
      </c>
      <c r="K418" s="103">
        <v>0</v>
      </c>
      <c r="L418" s="103">
        <v>11</v>
      </c>
      <c r="M418" s="103">
        <v>0</v>
      </c>
      <c r="O418" s="17" t="s">
        <v>36</v>
      </c>
      <c r="P418" s="138">
        <v>2</v>
      </c>
      <c r="Q418" s="138">
        <v>0</v>
      </c>
      <c r="R418" s="138">
        <v>0</v>
      </c>
      <c r="S418" s="138">
        <v>2</v>
      </c>
      <c r="T418" s="138">
        <v>0</v>
      </c>
    </row>
    <row r="419" spans="1:20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F419" s="55">
        <v>0</v>
      </c>
      <c r="H419" s="17" t="s">
        <v>37</v>
      </c>
      <c r="I419" s="103">
        <v>1</v>
      </c>
      <c r="J419" s="103">
        <v>0</v>
      </c>
      <c r="K419" s="103">
        <v>1</v>
      </c>
      <c r="L419" s="103">
        <v>0</v>
      </c>
      <c r="M419" s="103">
        <v>0</v>
      </c>
      <c r="O419" s="17" t="s">
        <v>37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x14ac:dyDescent="0.3">
      <c r="A420" s="17" t="s">
        <v>38</v>
      </c>
      <c r="B420" s="167" t="s">
        <v>751</v>
      </c>
      <c r="C420" s="168"/>
      <c r="D420" s="168"/>
      <c r="E420" s="168"/>
      <c r="F420" s="168"/>
      <c r="H420" s="17" t="s">
        <v>38</v>
      </c>
      <c r="I420" s="175" t="s">
        <v>751</v>
      </c>
      <c r="J420" s="176"/>
      <c r="K420" s="176"/>
      <c r="L420" s="176"/>
      <c r="M420" s="176"/>
      <c r="O420" s="17" t="s">
        <v>38</v>
      </c>
      <c r="P420" s="172" t="s">
        <v>2000</v>
      </c>
      <c r="Q420" s="173"/>
      <c r="R420" s="173"/>
      <c r="S420" s="173"/>
      <c r="T420" s="173"/>
    </row>
    <row r="421" spans="1:20" ht="19.8" x14ac:dyDescent="0.3">
      <c r="A421" s="171">
        <v>46109</v>
      </c>
      <c r="B421" s="174"/>
      <c r="C421" s="174"/>
      <c r="D421" s="174"/>
      <c r="E421" s="174"/>
      <c r="F421" s="174"/>
      <c r="H421" s="170">
        <v>46136</v>
      </c>
      <c r="I421" s="169"/>
      <c r="J421" s="169"/>
      <c r="K421" s="169"/>
      <c r="L421" s="169"/>
      <c r="M421" s="169"/>
      <c r="O421" s="171">
        <v>46168</v>
      </c>
      <c r="P421" s="171"/>
      <c r="Q421" s="171"/>
      <c r="R421" s="171"/>
      <c r="S421" s="171"/>
      <c r="T421" s="171"/>
    </row>
    <row r="422" spans="1:20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871</v>
      </c>
      <c r="O422" s="1" t="s">
        <v>0</v>
      </c>
      <c r="P422" s="1" t="s">
        <v>1</v>
      </c>
      <c r="Q422" s="1" t="s">
        <v>2</v>
      </c>
      <c r="R422" s="179" t="s">
        <v>760</v>
      </c>
      <c r="S422" s="1" t="s">
        <v>40</v>
      </c>
      <c r="T422" s="179" t="s">
        <v>871</v>
      </c>
    </row>
    <row r="423" spans="1:20" x14ac:dyDescent="0.3">
      <c r="A423" s="2" t="s">
        <v>5</v>
      </c>
      <c r="B423" s="3">
        <v>5731</v>
      </c>
      <c r="C423" s="3">
        <v>1841</v>
      </c>
      <c r="D423" s="3">
        <v>1249</v>
      </c>
      <c r="E423" s="3">
        <v>1283</v>
      </c>
      <c r="F423" s="3">
        <v>1358</v>
      </c>
      <c r="H423" s="2" t="s">
        <v>5</v>
      </c>
      <c r="I423" s="3">
        <v>3400</v>
      </c>
      <c r="J423" s="3">
        <v>1378</v>
      </c>
      <c r="K423" s="3">
        <v>981</v>
      </c>
      <c r="L423" s="3">
        <v>1041</v>
      </c>
      <c r="M423" s="3">
        <v>0</v>
      </c>
      <c r="O423" s="2" t="s">
        <v>5</v>
      </c>
      <c r="P423" s="3">
        <v>2130</v>
      </c>
      <c r="Q423" s="3">
        <v>2062</v>
      </c>
      <c r="R423" s="181">
        <v>0</v>
      </c>
      <c r="S423" s="3">
        <v>68</v>
      </c>
      <c r="T423" s="181">
        <v>0</v>
      </c>
    </row>
    <row r="424" spans="1:20" x14ac:dyDescent="0.3">
      <c r="A424" s="2" t="s">
        <v>6</v>
      </c>
      <c r="B424" s="3">
        <v>49</v>
      </c>
      <c r="C424" s="3">
        <v>6</v>
      </c>
      <c r="D424" s="4">
        <v>7</v>
      </c>
      <c r="E424" s="5">
        <v>21</v>
      </c>
      <c r="F424" s="6">
        <v>15</v>
      </c>
      <c r="H424" s="2" t="s">
        <v>6</v>
      </c>
      <c r="I424" s="3">
        <v>133</v>
      </c>
      <c r="J424" s="4">
        <v>13</v>
      </c>
      <c r="K424" s="5">
        <v>106</v>
      </c>
      <c r="L424" s="6">
        <v>14</v>
      </c>
      <c r="M424" s="3">
        <v>0</v>
      </c>
      <c r="O424" s="2" t="s">
        <v>6</v>
      </c>
      <c r="P424" s="3">
        <v>94</v>
      </c>
      <c r="Q424" s="5">
        <v>92</v>
      </c>
      <c r="R424" s="181">
        <v>0</v>
      </c>
      <c r="S424" s="6">
        <v>2</v>
      </c>
      <c r="T424" s="181">
        <v>0</v>
      </c>
    </row>
    <row r="425" spans="1:20" x14ac:dyDescent="0.3">
      <c r="A425" s="2" t="s">
        <v>7</v>
      </c>
      <c r="B425" s="3" t="s">
        <v>63</v>
      </c>
      <c r="C425" s="3" t="s">
        <v>418</v>
      </c>
      <c r="D425" s="4" t="s">
        <v>65</v>
      </c>
      <c r="E425" s="5" t="s">
        <v>238</v>
      </c>
      <c r="F425" s="6" t="s">
        <v>406</v>
      </c>
      <c r="H425" s="2" t="s">
        <v>7</v>
      </c>
      <c r="I425" s="3" t="s">
        <v>640</v>
      </c>
      <c r="J425" s="4" t="s">
        <v>468</v>
      </c>
      <c r="K425" s="5" t="s">
        <v>1267</v>
      </c>
      <c r="L425" s="6" t="s">
        <v>239</v>
      </c>
      <c r="M425" s="3">
        <v>0</v>
      </c>
      <c r="O425" s="2" t="s">
        <v>7</v>
      </c>
      <c r="P425" s="3" t="s">
        <v>867</v>
      </c>
      <c r="Q425" s="5" t="s">
        <v>856</v>
      </c>
      <c r="R425" s="181">
        <v>0</v>
      </c>
      <c r="S425" s="6" t="s">
        <v>1408</v>
      </c>
      <c r="T425" s="181">
        <v>0</v>
      </c>
    </row>
    <row r="426" spans="1:20" x14ac:dyDescent="0.3">
      <c r="A426" s="2" t="s">
        <v>12</v>
      </c>
      <c r="B426" s="3" t="s">
        <v>78</v>
      </c>
      <c r="C426" s="3" t="s">
        <v>88</v>
      </c>
      <c r="D426" s="4" t="s">
        <v>146</v>
      </c>
      <c r="E426" s="5" t="s">
        <v>1087</v>
      </c>
      <c r="F426" s="6" t="s">
        <v>200</v>
      </c>
      <c r="H426" s="2" t="s">
        <v>12</v>
      </c>
      <c r="I426" s="3" t="s">
        <v>1635</v>
      </c>
      <c r="J426" s="4" t="s">
        <v>134</v>
      </c>
      <c r="K426" s="5" t="s">
        <v>1649</v>
      </c>
      <c r="L426" s="6" t="s">
        <v>869</v>
      </c>
      <c r="M426" s="3">
        <v>0</v>
      </c>
      <c r="O426" s="2" t="s">
        <v>12</v>
      </c>
      <c r="P426" s="3" t="s">
        <v>416</v>
      </c>
      <c r="Q426" s="6" t="s">
        <v>152</v>
      </c>
      <c r="R426" s="181">
        <v>0</v>
      </c>
      <c r="S426" s="5" t="s">
        <v>236</v>
      </c>
      <c r="T426" s="181">
        <v>0</v>
      </c>
    </row>
    <row r="427" spans="1:20" x14ac:dyDescent="0.3">
      <c r="A427" s="2" t="s">
        <v>17</v>
      </c>
      <c r="B427" s="51">
        <f>B425-B426</f>
        <v>4.3000000000000009E-3</v>
      </c>
      <c r="C427" s="57" t="s">
        <v>158</v>
      </c>
      <c r="D427" s="58" t="s">
        <v>347</v>
      </c>
      <c r="E427" s="47">
        <f>E425-E426</f>
        <v>8.6000000000000017E-3</v>
      </c>
      <c r="F427" s="47">
        <f>F425-F426</f>
        <v>7.2999999999999992E-3</v>
      </c>
      <c r="H427" s="2" t="s">
        <v>17</v>
      </c>
      <c r="I427" s="48">
        <f>I435/I423</f>
        <v>3.8235294117647061E-3</v>
      </c>
      <c r="J427" s="116" t="s">
        <v>654</v>
      </c>
      <c r="K427" s="115" t="s">
        <v>99</v>
      </c>
      <c r="L427" s="114">
        <f>L435/L423</f>
        <v>3.8424591738712775E-3</v>
      </c>
      <c r="M427" s="3" t="s">
        <v>25</v>
      </c>
      <c r="O427" s="2" t="s">
        <v>17</v>
      </c>
      <c r="P427" s="3" t="s">
        <v>2016</v>
      </c>
      <c r="Q427" s="6" t="s">
        <v>533</v>
      </c>
      <c r="R427" s="181" t="s">
        <v>25</v>
      </c>
      <c r="S427" s="5" t="s">
        <v>48</v>
      </c>
      <c r="T427" s="181" t="s">
        <v>25</v>
      </c>
    </row>
    <row r="428" spans="1:20" x14ac:dyDescent="0.3">
      <c r="A428" s="2" t="s">
        <v>22</v>
      </c>
      <c r="B428" s="3" t="s">
        <v>347</v>
      </c>
      <c r="C428" s="3" t="s">
        <v>25</v>
      </c>
      <c r="D428" s="3" t="s">
        <v>25</v>
      </c>
      <c r="E428" s="5" t="s">
        <v>863</v>
      </c>
      <c r="F428" s="6" t="s">
        <v>591</v>
      </c>
      <c r="H428" s="2" t="s">
        <v>22</v>
      </c>
      <c r="I428" s="3" t="s">
        <v>347</v>
      </c>
      <c r="J428" s="4" t="s">
        <v>121</v>
      </c>
      <c r="K428" s="6" t="s">
        <v>99</v>
      </c>
      <c r="L428" s="5" t="s">
        <v>150</v>
      </c>
      <c r="M428" s="3" t="s">
        <v>25</v>
      </c>
      <c r="O428" s="2" t="s">
        <v>22</v>
      </c>
      <c r="P428" s="3" t="s">
        <v>25</v>
      </c>
      <c r="Q428" s="3" t="s">
        <v>25</v>
      </c>
      <c r="R428" s="181" t="s">
        <v>25</v>
      </c>
      <c r="S428" s="3" t="s">
        <v>25</v>
      </c>
      <c r="T428" s="181" t="s">
        <v>25</v>
      </c>
    </row>
    <row r="429" spans="1:20" x14ac:dyDescent="0.3">
      <c r="A429" s="7" t="s">
        <v>26</v>
      </c>
      <c r="B429" s="8">
        <v>24</v>
      </c>
      <c r="C429" s="8">
        <v>5</v>
      </c>
      <c r="D429" s="8">
        <v>4</v>
      </c>
      <c r="E429" s="8">
        <v>10</v>
      </c>
      <c r="F429" s="8">
        <v>5</v>
      </c>
      <c r="H429" s="7" t="s">
        <v>26</v>
      </c>
      <c r="I429" s="8">
        <v>119</v>
      </c>
      <c r="J429" s="8">
        <v>5</v>
      </c>
      <c r="K429" s="8">
        <v>104</v>
      </c>
      <c r="L429" s="8">
        <v>10</v>
      </c>
      <c r="M429" s="8">
        <v>0</v>
      </c>
      <c r="O429" s="7" t="s">
        <v>26</v>
      </c>
      <c r="P429" s="8">
        <v>14</v>
      </c>
      <c r="Q429" s="8">
        <v>13</v>
      </c>
      <c r="R429" s="186">
        <v>0</v>
      </c>
      <c r="S429" s="8">
        <v>1</v>
      </c>
      <c r="T429" s="186">
        <v>0</v>
      </c>
    </row>
    <row r="430" spans="1:20" x14ac:dyDescent="0.3">
      <c r="A430" s="9" t="s">
        <v>27</v>
      </c>
      <c r="B430" s="10">
        <v>11</v>
      </c>
      <c r="C430" s="10">
        <v>2</v>
      </c>
      <c r="D430" s="10">
        <v>4</v>
      </c>
      <c r="E430" s="10">
        <v>4</v>
      </c>
      <c r="F430" s="10">
        <v>1</v>
      </c>
      <c r="H430" s="9" t="s">
        <v>27</v>
      </c>
      <c r="I430" s="10">
        <v>17</v>
      </c>
      <c r="J430" s="10">
        <v>2</v>
      </c>
      <c r="K430" s="10">
        <v>11</v>
      </c>
      <c r="L430" s="10">
        <v>4</v>
      </c>
      <c r="M430" s="10">
        <v>0</v>
      </c>
      <c r="O430" s="9" t="s">
        <v>27</v>
      </c>
      <c r="P430" s="10">
        <v>7</v>
      </c>
      <c r="Q430" s="10">
        <v>6</v>
      </c>
      <c r="R430" s="188">
        <v>0</v>
      </c>
      <c r="S430" s="10">
        <v>1</v>
      </c>
      <c r="T430" s="188">
        <v>0</v>
      </c>
    </row>
    <row r="431" spans="1:20" x14ac:dyDescent="0.3">
      <c r="A431" s="9" t="s">
        <v>28</v>
      </c>
      <c r="B431" s="10">
        <v>4</v>
      </c>
      <c r="C431" s="10">
        <v>0</v>
      </c>
      <c r="D431" s="10">
        <v>0</v>
      </c>
      <c r="E431" s="10">
        <v>4</v>
      </c>
      <c r="F431" s="10">
        <v>0</v>
      </c>
      <c r="H431" s="9" t="s">
        <v>28</v>
      </c>
      <c r="I431" s="10">
        <v>7</v>
      </c>
      <c r="J431" s="10">
        <v>2</v>
      </c>
      <c r="K431" s="10">
        <v>3</v>
      </c>
      <c r="L431" s="10">
        <v>2</v>
      </c>
      <c r="M431" s="10">
        <v>0</v>
      </c>
      <c r="O431" s="9" t="s">
        <v>28</v>
      </c>
      <c r="P431" s="10">
        <v>0</v>
      </c>
      <c r="Q431" s="10">
        <v>0</v>
      </c>
      <c r="R431" s="188">
        <v>0</v>
      </c>
      <c r="S431" s="10">
        <v>0</v>
      </c>
      <c r="T431" s="188">
        <v>0</v>
      </c>
    </row>
    <row r="432" spans="1:20" x14ac:dyDescent="0.3">
      <c r="A432" s="9" t="s">
        <v>29</v>
      </c>
      <c r="B432" s="10">
        <v>0</v>
      </c>
      <c r="C432" s="10">
        <v>0</v>
      </c>
      <c r="D432" s="10">
        <v>0</v>
      </c>
      <c r="E432" s="10">
        <v>0</v>
      </c>
      <c r="F432" s="10">
        <v>0</v>
      </c>
      <c r="H432" s="9" t="s">
        <v>29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O432" s="9" t="s">
        <v>29</v>
      </c>
      <c r="P432" s="10">
        <v>0</v>
      </c>
      <c r="Q432" s="10">
        <v>0</v>
      </c>
      <c r="R432" s="188">
        <v>0</v>
      </c>
      <c r="S432" s="10">
        <v>0</v>
      </c>
      <c r="T432" s="188">
        <v>0</v>
      </c>
    </row>
    <row r="433" spans="1:20" x14ac:dyDescent="0.3">
      <c r="A433" s="9" t="s">
        <v>30</v>
      </c>
      <c r="B433" s="10">
        <v>9</v>
      </c>
      <c r="C433" s="10">
        <v>3</v>
      </c>
      <c r="D433" s="10">
        <v>0</v>
      </c>
      <c r="E433" s="10">
        <v>2</v>
      </c>
      <c r="F433" s="10">
        <v>4</v>
      </c>
      <c r="H433" s="9" t="s">
        <v>30</v>
      </c>
      <c r="I433" s="10">
        <v>95</v>
      </c>
      <c r="J433" s="10">
        <v>1</v>
      </c>
      <c r="K433" s="10">
        <v>90</v>
      </c>
      <c r="L433" s="10">
        <v>4</v>
      </c>
      <c r="M433" s="10">
        <v>0</v>
      </c>
      <c r="O433" s="9" t="s">
        <v>30</v>
      </c>
      <c r="P433" s="10">
        <v>7</v>
      </c>
      <c r="Q433" s="10">
        <v>7</v>
      </c>
      <c r="R433" s="188">
        <v>0</v>
      </c>
      <c r="S433" s="10">
        <v>0</v>
      </c>
      <c r="T433" s="188">
        <v>0</v>
      </c>
    </row>
    <row r="434" spans="1:20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O434" s="9" t="s">
        <v>31</v>
      </c>
      <c r="P434" s="10">
        <v>0</v>
      </c>
      <c r="Q434" s="10">
        <v>0</v>
      </c>
      <c r="R434" s="188">
        <v>0</v>
      </c>
      <c r="S434" s="10">
        <v>0</v>
      </c>
      <c r="T434" s="188">
        <v>0</v>
      </c>
    </row>
    <row r="435" spans="1:20" x14ac:dyDescent="0.3">
      <c r="A435" s="11" t="s">
        <v>32</v>
      </c>
      <c r="B435" s="12">
        <v>25</v>
      </c>
      <c r="C435" s="12">
        <v>1</v>
      </c>
      <c r="D435" s="12">
        <v>3</v>
      </c>
      <c r="E435" s="12">
        <v>11</v>
      </c>
      <c r="F435" s="12">
        <v>10</v>
      </c>
      <c r="H435" s="11" t="s">
        <v>32</v>
      </c>
      <c r="I435" s="12">
        <v>13</v>
      </c>
      <c r="J435" s="12">
        <v>7</v>
      </c>
      <c r="K435" s="12">
        <v>2</v>
      </c>
      <c r="L435" s="12">
        <v>4</v>
      </c>
      <c r="M435" s="12">
        <v>0</v>
      </c>
      <c r="O435" s="11" t="s">
        <v>32</v>
      </c>
      <c r="P435" s="12">
        <v>147</v>
      </c>
      <c r="Q435" s="12">
        <v>79</v>
      </c>
      <c r="R435" s="190">
        <v>0</v>
      </c>
      <c r="S435" s="12">
        <v>68</v>
      </c>
      <c r="T435" s="190">
        <v>0</v>
      </c>
    </row>
    <row r="436" spans="1:20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H436" s="13" t="s">
        <v>33</v>
      </c>
      <c r="I436" s="14">
        <v>7</v>
      </c>
      <c r="J436" s="14">
        <v>6</v>
      </c>
      <c r="K436" s="14">
        <v>1</v>
      </c>
      <c r="L436" s="14">
        <v>0</v>
      </c>
      <c r="M436" s="14">
        <v>0</v>
      </c>
      <c r="O436" s="13" t="s">
        <v>33</v>
      </c>
      <c r="P436" s="14">
        <v>135</v>
      </c>
      <c r="Q436" s="14">
        <v>67</v>
      </c>
      <c r="R436" s="192">
        <v>0</v>
      </c>
      <c r="S436" s="14">
        <v>68</v>
      </c>
      <c r="T436" s="192">
        <v>0</v>
      </c>
    </row>
    <row r="437" spans="1:20" x14ac:dyDescent="0.3">
      <c r="A437" s="13" t="s">
        <v>34</v>
      </c>
      <c r="B437" s="14">
        <v>25</v>
      </c>
      <c r="C437" s="14">
        <v>1</v>
      </c>
      <c r="D437" s="14">
        <v>3</v>
      </c>
      <c r="E437" s="14">
        <v>11</v>
      </c>
      <c r="F437" s="14">
        <v>10</v>
      </c>
      <c r="H437" s="13" t="s">
        <v>34</v>
      </c>
      <c r="I437" s="14">
        <v>6</v>
      </c>
      <c r="J437" s="14">
        <v>1</v>
      </c>
      <c r="K437" s="14">
        <v>1</v>
      </c>
      <c r="L437" s="14">
        <v>4</v>
      </c>
      <c r="M437" s="14">
        <v>0</v>
      </c>
      <c r="O437" s="13" t="s">
        <v>34</v>
      </c>
      <c r="P437" s="14">
        <v>12</v>
      </c>
      <c r="Q437" s="14">
        <v>12</v>
      </c>
      <c r="R437" s="192">
        <v>0</v>
      </c>
      <c r="S437" s="14">
        <v>0</v>
      </c>
      <c r="T437" s="192">
        <v>0</v>
      </c>
    </row>
    <row r="438" spans="1:20" x14ac:dyDescent="0.3">
      <c r="A438" s="15" t="s">
        <v>35</v>
      </c>
      <c r="B438" s="16">
        <v>14</v>
      </c>
      <c r="C438" s="16">
        <v>0</v>
      </c>
      <c r="D438" s="16">
        <v>0</v>
      </c>
      <c r="E438" s="16">
        <v>7</v>
      </c>
      <c r="F438" s="16">
        <v>7</v>
      </c>
      <c r="H438" s="15" t="s">
        <v>35</v>
      </c>
      <c r="I438" s="16">
        <v>8</v>
      </c>
      <c r="J438" s="16">
        <v>2</v>
      </c>
      <c r="K438" s="16">
        <v>2</v>
      </c>
      <c r="L438" s="16">
        <v>4</v>
      </c>
      <c r="M438" s="16">
        <v>0</v>
      </c>
      <c r="O438" s="15" t="s">
        <v>35</v>
      </c>
      <c r="P438" s="16">
        <v>0</v>
      </c>
      <c r="Q438" s="16">
        <v>0</v>
      </c>
      <c r="R438" s="194">
        <v>0</v>
      </c>
      <c r="S438" s="16">
        <v>0</v>
      </c>
      <c r="T438" s="194">
        <v>0</v>
      </c>
    </row>
    <row r="439" spans="1:20" x14ac:dyDescent="0.3">
      <c r="A439" s="17" t="s">
        <v>36</v>
      </c>
      <c r="B439" s="55">
        <v>14</v>
      </c>
      <c r="C439" s="55">
        <v>0</v>
      </c>
      <c r="D439" s="55">
        <v>0</v>
      </c>
      <c r="E439" s="55">
        <v>7</v>
      </c>
      <c r="F439" s="55">
        <v>7</v>
      </c>
      <c r="H439" s="17" t="s">
        <v>36</v>
      </c>
      <c r="I439" s="109">
        <v>4</v>
      </c>
      <c r="J439" s="109">
        <v>0</v>
      </c>
      <c r="K439" s="109">
        <v>0</v>
      </c>
      <c r="L439" s="109">
        <v>4</v>
      </c>
      <c r="M439" s="109">
        <v>0</v>
      </c>
      <c r="O439" s="17" t="s">
        <v>36</v>
      </c>
      <c r="P439" s="138">
        <v>0</v>
      </c>
      <c r="Q439" s="138">
        <v>0</v>
      </c>
      <c r="R439" s="196">
        <v>0</v>
      </c>
      <c r="S439" s="138">
        <v>0</v>
      </c>
      <c r="T439" s="196">
        <v>0</v>
      </c>
    </row>
    <row r="440" spans="1:20" x14ac:dyDescent="0.3">
      <c r="A440" s="17" t="s">
        <v>37</v>
      </c>
      <c r="B440" s="55">
        <v>0</v>
      </c>
      <c r="C440" s="55">
        <v>0</v>
      </c>
      <c r="D440" s="55">
        <v>0</v>
      </c>
      <c r="E440" s="55">
        <v>0</v>
      </c>
      <c r="F440" s="55">
        <v>0</v>
      </c>
      <c r="H440" s="17" t="s">
        <v>37</v>
      </c>
      <c r="I440" s="109">
        <v>4</v>
      </c>
      <c r="J440" s="109">
        <v>2</v>
      </c>
      <c r="K440" s="109">
        <v>2</v>
      </c>
      <c r="L440" s="109">
        <v>0</v>
      </c>
      <c r="M440" s="109">
        <v>0</v>
      </c>
      <c r="O440" s="17" t="s">
        <v>37</v>
      </c>
      <c r="P440" s="138">
        <v>0</v>
      </c>
      <c r="Q440" s="138">
        <v>0</v>
      </c>
      <c r="R440" s="196">
        <v>0</v>
      </c>
      <c r="S440" s="138">
        <v>0</v>
      </c>
      <c r="T440" s="196">
        <v>0</v>
      </c>
    </row>
    <row r="441" spans="1:20" x14ac:dyDescent="0.3">
      <c r="A441" s="17" t="s">
        <v>38</v>
      </c>
      <c r="B441" s="167" t="s">
        <v>751</v>
      </c>
      <c r="C441" s="168"/>
      <c r="D441" s="168"/>
      <c r="E441" s="168"/>
      <c r="F441" s="168"/>
      <c r="H441" s="17" t="s">
        <v>38</v>
      </c>
      <c r="I441" s="175" t="s">
        <v>751</v>
      </c>
      <c r="J441" s="176"/>
      <c r="K441" s="176"/>
      <c r="L441" s="176"/>
      <c r="M441" s="176"/>
      <c r="O441" s="17" t="s">
        <v>38</v>
      </c>
      <c r="P441" s="172" t="s">
        <v>1446</v>
      </c>
      <c r="Q441" s="173"/>
      <c r="R441" s="173"/>
      <c r="S441" s="173"/>
      <c r="T441" s="173"/>
    </row>
    <row r="442" spans="1:20" ht="19.8" x14ac:dyDescent="0.3">
      <c r="A442" s="170">
        <v>46111</v>
      </c>
      <c r="B442" s="168"/>
      <c r="C442" s="168"/>
      <c r="D442" s="168"/>
      <c r="E442" s="168"/>
      <c r="F442" s="168"/>
      <c r="H442" s="171">
        <v>46137</v>
      </c>
      <c r="I442" s="174"/>
      <c r="J442" s="174"/>
      <c r="K442" s="174"/>
      <c r="L442" s="174"/>
      <c r="M442" s="174"/>
      <c r="O442" s="171">
        <v>46169</v>
      </c>
      <c r="P442" s="171"/>
      <c r="Q442" s="171"/>
      <c r="R442" s="171"/>
      <c r="S442" s="171"/>
      <c r="T442" s="171"/>
    </row>
    <row r="443" spans="1:20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871</v>
      </c>
      <c r="O443" s="1" t="s">
        <v>0</v>
      </c>
      <c r="P443" s="1" t="s">
        <v>1</v>
      </c>
      <c r="Q443" s="1" t="s">
        <v>2</v>
      </c>
      <c r="R443" s="179" t="s">
        <v>760</v>
      </c>
      <c r="S443" s="1" t="s">
        <v>40</v>
      </c>
      <c r="T443" s="179" t="s">
        <v>871</v>
      </c>
    </row>
    <row r="444" spans="1:20" x14ac:dyDescent="0.3">
      <c r="A444" s="2" t="s">
        <v>5</v>
      </c>
      <c r="B444" s="3">
        <v>61</v>
      </c>
      <c r="C444" s="3">
        <v>29</v>
      </c>
      <c r="D444" s="3">
        <v>21</v>
      </c>
      <c r="E444" s="3">
        <v>7</v>
      </c>
      <c r="F444" s="3">
        <v>4</v>
      </c>
      <c r="H444" s="2" t="s">
        <v>5</v>
      </c>
      <c r="I444" s="3">
        <v>4229</v>
      </c>
      <c r="J444" s="3">
        <v>2145</v>
      </c>
      <c r="K444" s="3">
        <v>4</v>
      </c>
      <c r="L444" s="3">
        <v>2080</v>
      </c>
      <c r="M444" s="3">
        <v>0</v>
      </c>
      <c r="O444" s="2" t="s">
        <v>5</v>
      </c>
      <c r="P444" s="3">
        <v>1537</v>
      </c>
      <c r="Q444" s="3">
        <v>1531</v>
      </c>
      <c r="R444" s="181">
        <v>0</v>
      </c>
      <c r="S444" s="3">
        <v>6</v>
      </c>
      <c r="T444" s="181">
        <v>0</v>
      </c>
    </row>
    <row r="445" spans="1:20" x14ac:dyDescent="0.3">
      <c r="A445" s="2" t="s">
        <v>6</v>
      </c>
      <c r="B445" s="3">
        <v>1</v>
      </c>
      <c r="C445" s="3">
        <v>0</v>
      </c>
      <c r="D445" s="5">
        <v>1</v>
      </c>
      <c r="E445" s="3">
        <v>0</v>
      </c>
      <c r="F445" s="3">
        <v>0</v>
      </c>
      <c r="H445" s="2" t="s">
        <v>6</v>
      </c>
      <c r="I445" s="3">
        <v>72</v>
      </c>
      <c r="J445" s="6">
        <v>24</v>
      </c>
      <c r="K445" s="4">
        <v>2</v>
      </c>
      <c r="L445" s="5">
        <v>46</v>
      </c>
      <c r="M445" s="3">
        <v>0</v>
      </c>
      <c r="O445" s="2" t="s">
        <v>6</v>
      </c>
      <c r="P445" s="3">
        <v>73</v>
      </c>
      <c r="Q445" s="5">
        <v>67</v>
      </c>
      <c r="R445" s="181">
        <v>0</v>
      </c>
      <c r="S445" s="6">
        <v>6</v>
      </c>
      <c r="T445" s="181">
        <v>0</v>
      </c>
    </row>
    <row r="446" spans="1:20" x14ac:dyDescent="0.3">
      <c r="A446" s="2" t="s">
        <v>7</v>
      </c>
      <c r="B446" s="3" t="s">
        <v>238</v>
      </c>
      <c r="C446" s="3" t="s">
        <v>25</v>
      </c>
      <c r="D446" s="5" t="s">
        <v>848</v>
      </c>
      <c r="E446" s="3" t="s">
        <v>25</v>
      </c>
      <c r="F446" s="3" t="s">
        <v>25</v>
      </c>
      <c r="H446" s="2" t="s">
        <v>7</v>
      </c>
      <c r="I446" s="3" t="s">
        <v>714</v>
      </c>
      <c r="J446" s="4" t="s">
        <v>1373</v>
      </c>
      <c r="K446" s="5" t="s">
        <v>1666</v>
      </c>
      <c r="L446" s="6" t="s">
        <v>1045</v>
      </c>
      <c r="M446" s="3">
        <v>0</v>
      </c>
      <c r="O446" s="2" t="s">
        <v>7</v>
      </c>
      <c r="P446" s="3" t="s">
        <v>842</v>
      </c>
      <c r="Q446" s="6" t="s">
        <v>1200</v>
      </c>
      <c r="R446" s="181">
        <v>0</v>
      </c>
      <c r="S446" s="5" t="s">
        <v>48</v>
      </c>
      <c r="T446" s="181">
        <v>0</v>
      </c>
    </row>
    <row r="447" spans="1:20" x14ac:dyDescent="0.3">
      <c r="A447" s="2" t="s">
        <v>12</v>
      </c>
      <c r="B447" s="3" t="s">
        <v>238</v>
      </c>
      <c r="C447" s="3" t="s">
        <v>25</v>
      </c>
      <c r="D447" s="5" t="s">
        <v>848</v>
      </c>
      <c r="E447" s="3" t="s">
        <v>25</v>
      </c>
      <c r="F447" s="3" t="s">
        <v>25</v>
      </c>
      <c r="H447" s="2" t="s">
        <v>12</v>
      </c>
      <c r="I447" s="3" t="s">
        <v>186</v>
      </c>
      <c r="J447" s="4" t="s">
        <v>551</v>
      </c>
      <c r="K447" s="5" t="s">
        <v>1666</v>
      </c>
      <c r="L447" s="6" t="s">
        <v>476</v>
      </c>
      <c r="M447" s="3">
        <v>0</v>
      </c>
      <c r="O447" s="2" t="s">
        <v>12</v>
      </c>
      <c r="P447" s="3" t="s">
        <v>542</v>
      </c>
      <c r="Q447" s="5" t="s">
        <v>542</v>
      </c>
      <c r="R447" s="181">
        <v>0</v>
      </c>
      <c r="S447" s="3" t="s">
        <v>25</v>
      </c>
      <c r="T447" s="181">
        <v>0</v>
      </c>
    </row>
    <row r="448" spans="1:20" x14ac:dyDescent="0.3">
      <c r="A448" s="2" t="s">
        <v>17</v>
      </c>
      <c r="B448" s="3" t="s">
        <v>25</v>
      </c>
      <c r="C448" s="3" t="s">
        <v>25</v>
      </c>
      <c r="D448" s="3" t="s">
        <v>25</v>
      </c>
      <c r="E448" s="3" t="s">
        <v>25</v>
      </c>
      <c r="F448" s="3" t="s">
        <v>25</v>
      </c>
      <c r="H448" s="2" t="s">
        <v>17</v>
      </c>
      <c r="I448" s="48">
        <f>I456/I444</f>
        <v>6.8574131000236462E-3</v>
      </c>
      <c r="J448" s="6" t="s">
        <v>654</v>
      </c>
      <c r="K448" s="3" t="s">
        <v>25</v>
      </c>
      <c r="L448" s="50">
        <f>L456/L444</f>
        <v>8.6538461538461543E-3</v>
      </c>
      <c r="M448" s="3" t="s">
        <v>25</v>
      </c>
      <c r="O448" s="2" t="s">
        <v>17</v>
      </c>
      <c r="P448" s="3" t="s">
        <v>886</v>
      </c>
      <c r="Q448" s="6" t="s">
        <v>862</v>
      </c>
      <c r="R448" s="181" t="s">
        <v>25</v>
      </c>
      <c r="S448" s="5" t="s">
        <v>48</v>
      </c>
      <c r="T448" s="181" t="s">
        <v>25</v>
      </c>
    </row>
    <row r="449" spans="1:20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595</v>
      </c>
      <c r="J449" s="3" t="s">
        <v>25</v>
      </c>
      <c r="K449" s="3" t="s">
        <v>25</v>
      </c>
      <c r="L449" s="5" t="s">
        <v>137</v>
      </c>
      <c r="M449" s="3" t="s">
        <v>25</v>
      </c>
      <c r="O449" s="2" t="s">
        <v>22</v>
      </c>
      <c r="P449" s="3" t="s">
        <v>419</v>
      </c>
      <c r="Q449" s="3" t="s">
        <v>25</v>
      </c>
      <c r="R449" s="181" t="s">
        <v>25</v>
      </c>
      <c r="S449" s="5" t="s">
        <v>48</v>
      </c>
      <c r="T449" s="181" t="s">
        <v>25</v>
      </c>
    </row>
    <row r="450" spans="1:20" x14ac:dyDescent="0.3">
      <c r="A450" s="7" t="s">
        <v>26</v>
      </c>
      <c r="B450" s="8">
        <v>1</v>
      </c>
      <c r="C450" s="8">
        <v>0</v>
      </c>
      <c r="D450" s="8">
        <v>1</v>
      </c>
      <c r="E450" s="8">
        <v>0</v>
      </c>
      <c r="F450" s="8">
        <v>0</v>
      </c>
      <c r="H450" s="7" t="s">
        <v>26</v>
      </c>
      <c r="I450" s="8">
        <v>41</v>
      </c>
      <c r="J450" s="8">
        <v>13</v>
      </c>
      <c r="K450" s="8">
        <v>2</v>
      </c>
      <c r="L450" s="8">
        <v>26</v>
      </c>
      <c r="M450" s="8">
        <v>0</v>
      </c>
      <c r="O450" s="7" t="s">
        <v>26</v>
      </c>
      <c r="P450" s="8">
        <v>17</v>
      </c>
      <c r="Q450" s="8">
        <v>17</v>
      </c>
      <c r="R450" s="186">
        <v>0</v>
      </c>
      <c r="S450" s="8">
        <v>0</v>
      </c>
      <c r="T450" s="186">
        <v>0</v>
      </c>
    </row>
    <row r="451" spans="1:20" x14ac:dyDescent="0.3">
      <c r="A451" s="9" t="s">
        <v>27</v>
      </c>
      <c r="B451" s="10">
        <v>0</v>
      </c>
      <c r="C451" s="10">
        <v>0</v>
      </c>
      <c r="D451" s="10">
        <v>0</v>
      </c>
      <c r="E451" s="10">
        <v>0</v>
      </c>
      <c r="F451" s="10">
        <v>0</v>
      </c>
      <c r="H451" s="9" t="s">
        <v>27</v>
      </c>
      <c r="I451" s="10">
        <v>8</v>
      </c>
      <c r="J451" s="10">
        <v>3</v>
      </c>
      <c r="K451" s="10">
        <v>0</v>
      </c>
      <c r="L451" s="10">
        <v>5</v>
      </c>
      <c r="M451" s="10">
        <v>0</v>
      </c>
      <c r="O451" s="9" t="s">
        <v>27</v>
      </c>
      <c r="P451" s="10">
        <v>5</v>
      </c>
      <c r="Q451" s="10">
        <v>5</v>
      </c>
      <c r="R451" s="188">
        <v>0</v>
      </c>
      <c r="S451" s="10">
        <v>0</v>
      </c>
      <c r="T451" s="188">
        <v>0</v>
      </c>
    </row>
    <row r="452" spans="1:20" x14ac:dyDescent="0.3">
      <c r="A452" s="9" t="s">
        <v>28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H452" s="9" t="s">
        <v>28</v>
      </c>
      <c r="I452" s="10">
        <v>5</v>
      </c>
      <c r="J452" s="10">
        <v>1</v>
      </c>
      <c r="K452" s="10">
        <v>0</v>
      </c>
      <c r="L452" s="10">
        <v>4</v>
      </c>
      <c r="M452" s="10">
        <v>0</v>
      </c>
      <c r="O452" s="9" t="s">
        <v>28</v>
      </c>
      <c r="P452" s="10">
        <v>0</v>
      </c>
      <c r="Q452" s="10">
        <v>0</v>
      </c>
      <c r="R452" s="188">
        <v>0</v>
      </c>
      <c r="S452" s="10">
        <v>0</v>
      </c>
      <c r="T452" s="188">
        <v>0</v>
      </c>
    </row>
    <row r="453" spans="1:20" x14ac:dyDescent="0.3">
      <c r="A453" s="9" t="s">
        <v>29</v>
      </c>
      <c r="B453" s="10">
        <v>0</v>
      </c>
      <c r="C453" s="10">
        <v>0</v>
      </c>
      <c r="D453" s="10">
        <v>0</v>
      </c>
      <c r="E453" s="10">
        <v>0</v>
      </c>
      <c r="F453" s="10">
        <v>0</v>
      </c>
      <c r="H453" s="9" t="s">
        <v>29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O453" s="9" t="s">
        <v>29</v>
      </c>
      <c r="P453" s="10">
        <v>0</v>
      </c>
      <c r="Q453" s="10">
        <v>0</v>
      </c>
      <c r="R453" s="188">
        <v>0</v>
      </c>
      <c r="S453" s="10">
        <v>0</v>
      </c>
      <c r="T453" s="188">
        <v>0</v>
      </c>
    </row>
    <row r="454" spans="1:20" x14ac:dyDescent="0.3">
      <c r="A454" s="9" t="s">
        <v>30</v>
      </c>
      <c r="B454" s="10">
        <v>1</v>
      </c>
      <c r="C454" s="10">
        <v>0</v>
      </c>
      <c r="D454" s="10">
        <v>1</v>
      </c>
      <c r="E454" s="10">
        <v>0</v>
      </c>
      <c r="F454" s="10">
        <v>0</v>
      </c>
      <c r="H454" s="9" t="s">
        <v>30</v>
      </c>
      <c r="I454" s="10">
        <v>28</v>
      </c>
      <c r="J454" s="10">
        <v>9</v>
      </c>
      <c r="K454" s="10">
        <v>2</v>
      </c>
      <c r="L454" s="10">
        <v>17</v>
      </c>
      <c r="M454" s="10">
        <v>0</v>
      </c>
      <c r="O454" s="9" t="s">
        <v>30</v>
      </c>
      <c r="P454" s="10">
        <v>12</v>
      </c>
      <c r="Q454" s="10">
        <v>12</v>
      </c>
      <c r="R454" s="188">
        <v>0</v>
      </c>
      <c r="S454" s="10">
        <v>0</v>
      </c>
      <c r="T454" s="188">
        <v>0</v>
      </c>
    </row>
    <row r="455" spans="1:20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O455" s="9" t="s">
        <v>31</v>
      </c>
      <c r="P455" s="10">
        <v>0</v>
      </c>
      <c r="Q455" s="10">
        <v>0</v>
      </c>
      <c r="R455" s="188">
        <v>0</v>
      </c>
      <c r="S455" s="10">
        <v>0</v>
      </c>
      <c r="T455" s="188">
        <v>0</v>
      </c>
    </row>
    <row r="456" spans="1:20" x14ac:dyDescent="0.3">
      <c r="A456" s="11" t="s">
        <v>32</v>
      </c>
      <c r="B456" s="12">
        <v>11</v>
      </c>
      <c r="C456" s="12">
        <v>0</v>
      </c>
      <c r="D456" s="12">
        <v>0</v>
      </c>
      <c r="E456" s="12">
        <v>0</v>
      </c>
      <c r="F456" s="12">
        <v>0</v>
      </c>
      <c r="H456" s="11" t="s">
        <v>32</v>
      </c>
      <c r="I456" s="12">
        <v>29</v>
      </c>
      <c r="J456" s="12">
        <v>11</v>
      </c>
      <c r="K456" s="12">
        <v>0</v>
      </c>
      <c r="L456" s="12">
        <v>18</v>
      </c>
      <c r="M456" s="12">
        <v>0</v>
      </c>
      <c r="O456" s="11" t="s">
        <v>32</v>
      </c>
      <c r="P456" s="12">
        <v>56</v>
      </c>
      <c r="Q456" s="12">
        <v>50</v>
      </c>
      <c r="R456" s="190">
        <v>0</v>
      </c>
      <c r="S456" s="12">
        <v>6</v>
      </c>
      <c r="T456" s="190">
        <v>0</v>
      </c>
    </row>
    <row r="457" spans="1:20" x14ac:dyDescent="0.3">
      <c r="A457" s="13" t="s">
        <v>33</v>
      </c>
      <c r="B457" s="14">
        <v>11</v>
      </c>
      <c r="C457" s="14">
        <v>0</v>
      </c>
      <c r="D457" s="14">
        <v>0</v>
      </c>
      <c r="E457" s="14">
        <v>0</v>
      </c>
      <c r="F457" s="14">
        <v>0</v>
      </c>
      <c r="H457" s="13" t="s">
        <v>33</v>
      </c>
      <c r="I457" s="14">
        <v>3</v>
      </c>
      <c r="J457" s="14">
        <v>3</v>
      </c>
      <c r="K457" s="14">
        <v>0</v>
      </c>
      <c r="L457" s="14">
        <v>0</v>
      </c>
      <c r="M457" s="14">
        <v>0</v>
      </c>
      <c r="O457" s="13" t="s">
        <v>33</v>
      </c>
      <c r="P457" s="14">
        <v>47</v>
      </c>
      <c r="Q457" s="14">
        <v>47</v>
      </c>
      <c r="R457" s="192">
        <v>0</v>
      </c>
      <c r="S457" s="14">
        <v>0</v>
      </c>
      <c r="T457" s="192">
        <v>0</v>
      </c>
    </row>
    <row r="458" spans="1:20" x14ac:dyDescent="0.3">
      <c r="A458" s="13" t="s">
        <v>34</v>
      </c>
      <c r="B458" s="14">
        <v>0</v>
      </c>
      <c r="C458" s="14">
        <v>0</v>
      </c>
      <c r="D458" s="14">
        <v>0</v>
      </c>
      <c r="E458" s="14">
        <v>0</v>
      </c>
      <c r="F458" s="14">
        <v>0</v>
      </c>
      <c r="H458" s="13" t="s">
        <v>34</v>
      </c>
      <c r="I458" s="14">
        <v>26</v>
      </c>
      <c r="J458" s="14">
        <v>8</v>
      </c>
      <c r="K458" s="14">
        <v>0</v>
      </c>
      <c r="L458" s="14">
        <v>18</v>
      </c>
      <c r="M458" s="14">
        <v>0</v>
      </c>
      <c r="O458" s="13" t="s">
        <v>34</v>
      </c>
      <c r="P458" s="14">
        <v>9</v>
      </c>
      <c r="Q458" s="14">
        <v>3</v>
      </c>
      <c r="R458" s="192">
        <v>0</v>
      </c>
      <c r="S458" s="14">
        <v>6</v>
      </c>
      <c r="T458" s="192">
        <v>0</v>
      </c>
    </row>
    <row r="459" spans="1:20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F459" s="16">
        <v>0</v>
      </c>
      <c r="H459" s="15" t="s">
        <v>35</v>
      </c>
      <c r="I459" s="16">
        <v>12</v>
      </c>
      <c r="J459" s="16">
        <v>0</v>
      </c>
      <c r="K459" s="16">
        <v>0</v>
      </c>
      <c r="L459" s="16">
        <v>12</v>
      </c>
      <c r="M459" s="16">
        <v>0</v>
      </c>
      <c r="O459" s="15" t="s">
        <v>35</v>
      </c>
      <c r="P459" s="16">
        <v>6</v>
      </c>
      <c r="Q459" s="16">
        <v>0</v>
      </c>
      <c r="R459" s="194">
        <v>0</v>
      </c>
      <c r="S459" s="16">
        <v>6</v>
      </c>
      <c r="T459" s="194">
        <v>0</v>
      </c>
    </row>
    <row r="460" spans="1:20" x14ac:dyDescent="0.3">
      <c r="A460" s="17" t="s">
        <v>36</v>
      </c>
      <c r="B460" s="55">
        <v>0</v>
      </c>
      <c r="C460" s="55">
        <v>0</v>
      </c>
      <c r="D460" s="55">
        <v>0</v>
      </c>
      <c r="E460" s="55">
        <v>0</v>
      </c>
      <c r="F460" s="55">
        <v>0</v>
      </c>
      <c r="H460" s="17" t="s">
        <v>36</v>
      </c>
      <c r="I460" s="109">
        <v>12</v>
      </c>
      <c r="J460" s="109">
        <v>0</v>
      </c>
      <c r="K460" s="109">
        <v>0</v>
      </c>
      <c r="L460" s="109">
        <v>12</v>
      </c>
      <c r="M460" s="109">
        <v>0</v>
      </c>
      <c r="O460" s="17" t="s">
        <v>36</v>
      </c>
      <c r="P460" s="138">
        <v>6</v>
      </c>
      <c r="Q460" s="138">
        <v>0</v>
      </c>
      <c r="R460" s="196">
        <v>0</v>
      </c>
      <c r="S460" s="138">
        <v>6</v>
      </c>
      <c r="T460" s="196">
        <v>0</v>
      </c>
    </row>
    <row r="461" spans="1:20" x14ac:dyDescent="0.3">
      <c r="A461" s="17" t="s">
        <v>37</v>
      </c>
      <c r="B461" s="55">
        <v>0</v>
      </c>
      <c r="C461" s="55">
        <v>0</v>
      </c>
      <c r="D461" s="55">
        <v>0</v>
      </c>
      <c r="E461" s="55">
        <v>0</v>
      </c>
      <c r="F461" s="55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  <c r="O461" s="17" t="s">
        <v>37</v>
      </c>
      <c r="P461" s="138">
        <v>0</v>
      </c>
      <c r="Q461" s="138">
        <v>0</v>
      </c>
      <c r="R461" s="196">
        <v>0</v>
      </c>
      <c r="S461" s="138">
        <v>0</v>
      </c>
      <c r="T461" s="196">
        <v>0</v>
      </c>
    </row>
    <row r="462" spans="1:20" x14ac:dyDescent="0.3">
      <c r="A462" s="17" t="s">
        <v>38</v>
      </c>
      <c r="B462" s="167" t="s">
        <v>751</v>
      </c>
      <c r="C462" s="168"/>
      <c r="D462" s="168"/>
      <c r="E462" s="168"/>
      <c r="F462" s="168"/>
      <c r="H462" s="17" t="s">
        <v>38</v>
      </c>
      <c r="I462" s="172" t="s">
        <v>751</v>
      </c>
      <c r="J462" s="173"/>
      <c r="K462" s="173"/>
      <c r="L462" s="173"/>
      <c r="M462" s="173"/>
      <c r="O462" s="17" t="s">
        <v>38</v>
      </c>
      <c r="P462" s="172" t="s">
        <v>2020</v>
      </c>
      <c r="Q462" s="173"/>
      <c r="R462" s="173"/>
      <c r="S462" s="173"/>
      <c r="T462" s="173"/>
    </row>
    <row r="463" spans="1:20" ht="19.8" x14ac:dyDescent="0.3">
      <c r="A463" s="170">
        <v>46112</v>
      </c>
      <c r="B463" s="168"/>
      <c r="C463" s="168"/>
      <c r="D463" s="168"/>
      <c r="E463" s="168"/>
      <c r="F463" s="168"/>
      <c r="H463" s="170">
        <v>46139</v>
      </c>
      <c r="I463" s="170"/>
      <c r="J463" s="170"/>
      <c r="K463" s="170"/>
      <c r="L463" s="170"/>
      <c r="M463" s="170"/>
      <c r="O463" s="171">
        <v>46170</v>
      </c>
      <c r="P463" s="171"/>
      <c r="Q463" s="171"/>
      <c r="R463" s="171"/>
      <c r="S463" s="171"/>
      <c r="T463" s="171"/>
    </row>
    <row r="464" spans="1:20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760</v>
      </c>
      <c r="L464" s="1" t="s">
        <v>40</v>
      </c>
      <c r="M464" s="1" t="s">
        <v>871</v>
      </c>
      <c r="O464" s="179" t="s">
        <v>0</v>
      </c>
      <c r="P464" s="179" t="s">
        <v>1</v>
      </c>
      <c r="Q464" s="179" t="s">
        <v>2</v>
      </c>
      <c r="R464" s="179" t="s">
        <v>760</v>
      </c>
      <c r="S464" s="179" t="s">
        <v>40</v>
      </c>
      <c r="T464" s="179" t="s">
        <v>871</v>
      </c>
    </row>
    <row r="465" spans="1:20" x14ac:dyDescent="0.3">
      <c r="A465" s="2" t="s">
        <v>5</v>
      </c>
      <c r="B465" s="3">
        <v>4313</v>
      </c>
      <c r="C465" s="3">
        <v>1422</v>
      </c>
      <c r="D465" s="3">
        <v>923</v>
      </c>
      <c r="E465" s="3">
        <v>943</v>
      </c>
      <c r="F465" s="3">
        <v>1025</v>
      </c>
      <c r="H465" s="2" t="s">
        <v>5</v>
      </c>
      <c r="I465" s="3">
        <v>1661</v>
      </c>
      <c r="J465" s="3">
        <v>1655</v>
      </c>
      <c r="K465" s="3">
        <v>0</v>
      </c>
      <c r="L465" s="3">
        <v>6</v>
      </c>
      <c r="M465" s="3">
        <v>0</v>
      </c>
      <c r="O465" s="180" t="s">
        <v>5</v>
      </c>
      <c r="P465" s="181">
        <v>4031</v>
      </c>
      <c r="Q465" s="181">
        <v>2177</v>
      </c>
      <c r="R465" s="181">
        <v>0</v>
      </c>
      <c r="S465" s="181">
        <v>1854</v>
      </c>
      <c r="T465" s="181">
        <v>0</v>
      </c>
    </row>
    <row r="466" spans="1:20" x14ac:dyDescent="0.3">
      <c r="A466" s="2" t="s">
        <v>6</v>
      </c>
      <c r="B466" s="3">
        <v>35</v>
      </c>
      <c r="C466" s="6">
        <v>9</v>
      </c>
      <c r="D466" s="4">
        <v>8</v>
      </c>
      <c r="E466" s="5">
        <v>12</v>
      </c>
      <c r="F466" s="3">
        <v>6</v>
      </c>
      <c r="H466" s="2" t="s">
        <v>6</v>
      </c>
      <c r="I466" s="3">
        <v>25</v>
      </c>
      <c r="J466" s="5">
        <v>19</v>
      </c>
      <c r="K466" s="3">
        <v>0</v>
      </c>
      <c r="L466" s="6">
        <v>6</v>
      </c>
      <c r="M466" s="3">
        <v>0</v>
      </c>
      <c r="O466" s="180" t="s">
        <v>6</v>
      </c>
      <c r="P466" s="181">
        <v>124</v>
      </c>
      <c r="Q466" s="184">
        <v>57</v>
      </c>
      <c r="R466" s="181">
        <v>0</v>
      </c>
      <c r="S466" s="183">
        <v>67</v>
      </c>
      <c r="T466" s="181">
        <v>0</v>
      </c>
    </row>
    <row r="467" spans="1:20" x14ac:dyDescent="0.3">
      <c r="A467" s="2" t="s">
        <v>7</v>
      </c>
      <c r="B467" s="3" t="s">
        <v>64</v>
      </c>
      <c r="C467" s="4" t="s">
        <v>152</v>
      </c>
      <c r="D467" s="6" t="s">
        <v>45</v>
      </c>
      <c r="E467" s="5" t="s">
        <v>851</v>
      </c>
      <c r="F467" s="3" t="s">
        <v>66</v>
      </c>
      <c r="H467" s="2" t="s">
        <v>7</v>
      </c>
      <c r="I467" s="3" t="s">
        <v>155</v>
      </c>
      <c r="J467" s="6" t="s">
        <v>417</v>
      </c>
      <c r="K467" s="3">
        <v>0</v>
      </c>
      <c r="L467" s="5" t="s">
        <v>48</v>
      </c>
      <c r="M467" s="3">
        <v>0</v>
      </c>
      <c r="O467" s="180" t="s">
        <v>7</v>
      </c>
      <c r="P467" s="181" t="s">
        <v>575</v>
      </c>
      <c r="Q467" s="184" t="s">
        <v>636</v>
      </c>
      <c r="R467" s="181">
        <v>0</v>
      </c>
      <c r="S467" s="183" t="s">
        <v>1703</v>
      </c>
      <c r="T467" s="181">
        <v>0</v>
      </c>
    </row>
    <row r="468" spans="1:20" x14ac:dyDescent="0.3">
      <c r="A468" s="2" t="s">
        <v>12</v>
      </c>
      <c r="B468" s="3" t="s">
        <v>76</v>
      </c>
      <c r="C468" s="3" t="s">
        <v>77</v>
      </c>
      <c r="D468" s="5" t="s">
        <v>607</v>
      </c>
      <c r="E468" s="6" t="s">
        <v>42</v>
      </c>
      <c r="F468" s="4" t="s">
        <v>76</v>
      </c>
      <c r="H468" s="2" t="s">
        <v>12</v>
      </c>
      <c r="I468" s="3" t="s">
        <v>153</v>
      </c>
      <c r="J468" s="5" t="s">
        <v>153</v>
      </c>
      <c r="K468" s="3">
        <v>0</v>
      </c>
      <c r="L468" s="3" t="s">
        <v>25</v>
      </c>
      <c r="M468" s="3">
        <v>0</v>
      </c>
      <c r="O468" s="180" t="s">
        <v>12</v>
      </c>
      <c r="P468" s="181" t="s">
        <v>87</v>
      </c>
      <c r="Q468" s="184" t="s">
        <v>200</v>
      </c>
      <c r="R468" s="181">
        <v>0</v>
      </c>
      <c r="S468" s="183" t="s">
        <v>229</v>
      </c>
      <c r="T468" s="181">
        <v>0</v>
      </c>
    </row>
    <row r="469" spans="1:20" x14ac:dyDescent="0.3">
      <c r="A469" s="2" t="s">
        <v>17</v>
      </c>
      <c r="B469" s="48">
        <f>B467-B468</f>
        <v>3.1999999999999997E-3</v>
      </c>
      <c r="C469" s="6" t="s">
        <v>78</v>
      </c>
      <c r="D469" s="4" t="s">
        <v>49</v>
      </c>
      <c r="E469" s="50">
        <f>E467-E468</f>
        <v>6.2999999999999992E-3</v>
      </c>
      <c r="F469" s="50">
        <f>F467-F468</f>
        <v>1E-3</v>
      </c>
      <c r="H469" s="2" t="s">
        <v>17</v>
      </c>
      <c r="I469" s="3" t="s">
        <v>869</v>
      </c>
      <c r="J469" s="6" t="s">
        <v>174</v>
      </c>
      <c r="K469" s="3" t="s">
        <v>25</v>
      </c>
      <c r="L469" s="5" t="s">
        <v>48</v>
      </c>
      <c r="M469" s="3" t="s">
        <v>25</v>
      </c>
      <c r="O469" s="180" t="s">
        <v>17</v>
      </c>
      <c r="P469" s="181" t="s">
        <v>2025</v>
      </c>
      <c r="Q469" s="184" t="s">
        <v>534</v>
      </c>
      <c r="R469" s="181" t="s">
        <v>25</v>
      </c>
      <c r="S469" s="183" t="s">
        <v>48</v>
      </c>
      <c r="T469" s="181" t="s">
        <v>25</v>
      </c>
    </row>
    <row r="470" spans="1:20" x14ac:dyDescent="0.3">
      <c r="A470" s="2" t="s">
        <v>22</v>
      </c>
      <c r="B470" s="3" t="s">
        <v>154</v>
      </c>
      <c r="C470" s="3" t="s">
        <v>25</v>
      </c>
      <c r="D470" s="6" t="s">
        <v>49</v>
      </c>
      <c r="E470" s="5" t="s">
        <v>466</v>
      </c>
      <c r="F470" s="4" t="s">
        <v>81</v>
      </c>
      <c r="H470" s="2" t="s">
        <v>22</v>
      </c>
      <c r="I470" s="3" t="s">
        <v>134</v>
      </c>
      <c r="J470" s="3" t="s">
        <v>25</v>
      </c>
      <c r="K470" s="3" t="s">
        <v>25</v>
      </c>
      <c r="L470" s="5" t="s">
        <v>48</v>
      </c>
      <c r="M470" s="3" t="s">
        <v>25</v>
      </c>
      <c r="O470" s="180" t="s">
        <v>22</v>
      </c>
      <c r="P470" s="181" t="s">
        <v>108</v>
      </c>
      <c r="Q470" s="181" t="s">
        <v>25</v>
      </c>
      <c r="R470" s="181" t="s">
        <v>25</v>
      </c>
      <c r="S470" s="183" t="s">
        <v>150</v>
      </c>
      <c r="T470" s="181" t="s">
        <v>25</v>
      </c>
    </row>
    <row r="471" spans="1:20" x14ac:dyDescent="0.3">
      <c r="A471" s="7" t="s">
        <v>26</v>
      </c>
      <c r="B471" s="8">
        <v>21</v>
      </c>
      <c r="C471" s="8">
        <v>3</v>
      </c>
      <c r="D471" s="8">
        <v>7</v>
      </c>
      <c r="E471" s="8">
        <v>6</v>
      </c>
      <c r="F471" s="8">
        <v>5</v>
      </c>
      <c r="H471" s="7" t="s">
        <v>26</v>
      </c>
      <c r="I471" s="8">
        <v>8</v>
      </c>
      <c r="J471" s="8">
        <v>8</v>
      </c>
      <c r="K471" s="8">
        <v>0</v>
      </c>
      <c r="L471" s="8">
        <v>0</v>
      </c>
      <c r="M471" s="8">
        <v>0</v>
      </c>
      <c r="O471" s="185" t="s">
        <v>26</v>
      </c>
      <c r="P471" s="186">
        <v>25</v>
      </c>
      <c r="Q471" s="186">
        <v>8</v>
      </c>
      <c r="R471" s="186">
        <v>0</v>
      </c>
      <c r="S471" s="186">
        <v>17</v>
      </c>
      <c r="T471" s="186">
        <v>0</v>
      </c>
    </row>
    <row r="472" spans="1:20" x14ac:dyDescent="0.3">
      <c r="A472" s="9" t="s">
        <v>27</v>
      </c>
      <c r="B472" s="10">
        <v>11</v>
      </c>
      <c r="C472" s="10">
        <v>1</v>
      </c>
      <c r="D472" s="10">
        <v>6</v>
      </c>
      <c r="E472" s="10">
        <v>0</v>
      </c>
      <c r="F472" s="10">
        <v>4</v>
      </c>
      <c r="H472" s="9" t="s">
        <v>27</v>
      </c>
      <c r="I472" s="10">
        <v>4</v>
      </c>
      <c r="J472" s="10">
        <v>4</v>
      </c>
      <c r="K472" s="10">
        <v>0</v>
      </c>
      <c r="L472" s="10">
        <v>0</v>
      </c>
      <c r="M472" s="10">
        <v>0</v>
      </c>
      <c r="O472" s="187" t="s">
        <v>27</v>
      </c>
      <c r="P472" s="188">
        <v>8</v>
      </c>
      <c r="Q472" s="188">
        <v>7</v>
      </c>
      <c r="R472" s="188">
        <v>0</v>
      </c>
      <c r="S472" s="188">
        <v>1</v>
      </c>
      <c r="T472" s="188">
        <v>0</v>
      </c>
    </row>
    <row r="473" spans="1:20" x14ac:dyDescent="0.3">
      <c r="A473" s="9" t="s">
        <v>28</v>
      </c>
      <c r="B473" s="10">
        <v>3</v>
      </c>
      <c r="C473" s="10">
        <v>1</v>
      </c>
      <c r="D473" s="10">
        <v>0</v>
      </c>
      <c r="E473" s="10">
        <v>2</v>
      </c>
      <c r="F473" s="10">
        <v>0</v>
      </c>
      <c r="H473" s="9" t="s">
        <v>28</v>
      </c>
      <c r="I473" s="10">
        <v>1</v>
      </c>
      <c r="J473" s="10">
        <v>1</v>
      </c>
      <c r="K473" s="10">
        <v>0</v>
      </c>
      <c r="L473" s="10">
        <v>0</v>
      </c>
      <c r="M473" s="10">
        <v>0</v>
      </c>
      <c r="O473" s="187" t="s">
        <v>28</v>
      </c>
      <c r="P473" s="188">
        <v>12</v>
      </c>
      <c r="Q473" s="188">
        <v>1</v>
      </c>
      <c r="R473" s="188">
        <v>0</v>
      </c>
      <c r="S473" s="188">
        <v>11</v>
      </c>
      <c r="T473" s="188">
        <v>0</v>
      </c>
    </row>
    <row r="474" spans="1:20" x14ac:dyDescent="0.3">
      <c r="A474" s="9" t="s">
        <v>29</v>
      </c>
      <c r="B474" s="10">
        <v>0</v>
      </c>
      <c r="C474" s="10">
        <v>0</v>
      </c>
      <c r="D474" s="10">
        <v>0</v>
      </c>
      <c r="E474" s="10">
        <v>0</v>
      </c>
      <c r="F474" s="10">
        <v>0</v>
      </c>
      <c r="H474" s="9" t="s">
        <v>29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O474" s="187" t="s">
        <v>29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</row>
    <row r="475" spans="1:20" x14ac:dyDescent="0.3">
      <c r="A475" s="9" t="s">
        <v>30</v>
      </c>
      <c r="B475" s="10">
        <v>7</v>
      </c>
      <c r="C475" s="10">
        <v>1</v>
      </c>
      <c r="D475" s="10">
        <v>1</v>
      </c>
      <c r="E475" s="10">
        <v>4</v>
      </c>
      <c r="F475" s="10">
        <v>1</v>
      </c>
      <c r="H475" s="9" t="s">
        <v>30</v>
      </c>
      <c r="I475" s="10">
        <v>3</v>
      </c>
      <c r="J475" s="10">
        <v>3</v>
      </c>
      <c r="K475" s="10">
        <v>0</v>
      </c>
      <c r="L475" s="10">
        <v>0</v>
      </c>
      <c r="M475" s="10">
        <v>0</v>
      </c>
      <c r="O475" s="187" t="s">
        <v>30</v>
      </c>
      <c r="P475" s="188">
        <v>5</v>
      </c>
      <c r="Q475" s="188">
        <v>0</v>
      </c>
      <c r="R475" s="188">
        <v>0</v>
      </c>
      <c r="S475" s="188">
        <v>5</v>
      </c>
      <c r="T475" s="188">
        <v>0</v>
      </c>
    </row>
    <row r="476" spans="1:20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0</v>
      </c>
      <c r="Q476" s="188">
        <v>0</v>
      </c>
      <c r="R476" s="188">
        <v>0</v>
      </c>
      <c r="S476" s="188">
        <v>0</v>
      </c>
      <c r="T476" s="188">
        <v>0</v>
      </c>
    </row>
    <row r="477" spans="1:20" x14ac:dyDescent="0.3">
      <c r="A477" s="11" t="s">
        <v>32</v>
      </c>
      <c r="B477" s="12">
        <v>14</v>
      </c>
      <c r="C477" s="12">
        <v>6</v>
      </c>
      <c r="D477" s="12">
        <v>1</v>
      </c>
      <c r="E477" s="12">
        <v>6</v>
      </c>
      <c r="F477" s="12">
        <v>1</v>
      </c>
      <c r="H477" s="11" t="s">
        <v>32</v>
      </c>
      <c r="I477" s="12">
        <v>16</v>
      </c>
      <c r="J477" s="12">
        <v>10</v>
      </c>
      <c r="K477" s="12">
        <v>0</v>
      </c>
      <c r="L477" s="12">
        <v>6</v>
      </c>
      <c r="M477" s="12">
        <v>0</v>
      </c>
      <c r="O477" s="189" t="s">
        <v>32</v>
      </c>
      <c r="P477" s="190">
        <v>1903</v>
      </c>
      <c r="Q477" s="190">
        <v>49</v>
      </c>
      <c r="R477" s="190">
        <v>0</v>
      </c>
      <c r="S477" s="190">
        <v>1854</v>
      </c>
      <c r="T477" s="190">
        <v>0</v>
      </c>
    </row>
    <row r="478" spans="1:20" x14ac:dyDescent="0.3">
      <c r="A478" s="13" t="s">
        <v>33</v>
      </c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H478" s="13" t="s">
        <v>33</v>
      </c>
      <c r="I478" s="14">
        <v>5</v>
      </c>
      <c r="J478" s="14">
        <v>5</v>
      </c>
      <c r="K478" s="14">
        <v>0</v>
      </c>
      <c r="L478" s="14">
        <v>0</v>
      </c>
      <c r="M478" s="14">
        <v>0</v>
      </c>
      <c r="O478" s="191" t="s">
        <v>33</v>
      </c>
      <c r="P478" s="192">
        <v>1890</v>
      </c>
      <c r="Q478" s="192">
        <v>47</v>
      </c>
      <c r="R478" s="192">
        <v>0</v>
      </c>
      <c r="S478" s="192">
        <v>1843</v>
      </c>
      <c r="T478" s="192">
        <v>0</v>
      </c>
    </row>
    <row r="479" spans="1:20" x14ac:dyDescent="0.3">
      <c r="A479" s="13" t="s">
        <v>34</v>
      </c>
      <c r="B479" s="14">
        <v>14</v>
      </c>
      <c r="C479" s="14">
        <v>6</v>
      </c>
      <c r="D479" s="14">
        <v>1</v>
      </c>
      <c r="E479" s="14">
        <v>6</v>
      </c>
      <c r="F479" s="14">
        <v>1</v>
      </c>
      <c r="H479" s="13" t="s">
        <v>34</v>
      </c>
      <c r="I479" s="14">
        <v>11</v>
      </c>
      <c r="J479" s="14">
        <v>5</v>
      </c>
      <c r="K479" s="14">
        <v>0</v>
      </c>
      <c r="L479" s="14">
        <v>6</v>
      </c>
      <c r="M479" s="14">
        <v>0</v>
      </c>
      <c r="O479" s="191" t="s">
        <v>34</v>
      </c>
      <c r="P479" s="192">
        <v>13</v>
      </c>
      <c r="Q479" s="192">
        <v>2</v>
      </c>
      <c r="R479" s="192">
        <v>0</v>
      </c>
      <c r="S479" s="192">
        <v>11</v>
      </c>
      <c r="T479" s="192">
        <v>0</v>
      </c>
    </row>
    <row r="480" spans="1:20" x14ac:dyDescent="0.3">
      <c r="A480" s="15" t="s">
        <v>35</v>
      </c>
      <c r="B480" s="16">
        <v>7</v>
      </c>
      <c r="C480" s="16">
        <v>0</v>
      </c>
      <c r="D480" s="16">
        <v>1</v>
      </c>
      <c r="E480" s="16">
        <v>5</v>
      </c>
      <c r="F480" s="16">
        <v>1</v>
      </c>
      <c r="H480" s="15" t="s">
        <v>35</v>
      </c>
      <c r="I480" s="16">
        <v>6</v>
      </c>
      <c r="J480" s="16">
        <v>0</v>
      </c>
      <c r="K480" s="16">
        <v>0</v>
      </c>
      <c r="L480" s="16">
        <v>6</v>
      </c>
      <c r="M480" s="16">
        <v>0</v>
      </c>
      <c r="O480" s="193" t="s">
        <v>35</v>
      </c>
      <c r="P480" s="194">
        <v>7</v>
      </c>
      <c r="Q480" s="194">
        <v>0</v>
      </c>
      <c r="R480" s="194">
        <v>0</v>
      </c>
      <c r="S480" s="194">
        <v>7</v>
      </c>
      <c r="T480" s="194">
        <v>0</v>
      </c>
    </row>
    <row r="481" spans="1:20" x14ac:dyDescent="0.3">
      <c r="A481" s="17" t="s">
        <v>36</v>
      </c>
      <c r="B481" s="56">
        <v>6</v>
      </c>
      <c r="C481" s="56">
        <v>0</v>
      </c>
      <c r="D481" s="56">
        <v>0</v>
      </c>
      <c r="E481" s="56">
        <v>5</v>
      </c>
      <c r="F481" s="56">
        <v>1</v>
      </c>
      <c r="H481" s="17" t="s">
        <v>36</v>
      </c>
      <c r="I481" s="109">
        <v>6</v>
      </c>
      <c r="J481" s="109">
        <v>0</v>
      </c>
      <c r="K481" s="109">
        <v>0</v>
      </c>
      <c r="L481" s="109">
        <v>6</v>
      </c>
      <c r="M481" s="109">
        <v>0</v>
      </c>
      <c r="O481" s="195" t="s">
        <v>36</v>
      </c>
      <c r="P481" s="196">
        <v>7</v>
      </c>
      <c r="Q481" s="196">
        <v>0</v>
      </c>
      <c r="R481" s="196">
        <v>0</v>
      </c>
      <c r="S481" s="196">
        <v>7</v>
      </c>
      <c r="T481" s="196">
        <v>0</v>
      </c>
    </row>
    <row r="482" spans="1:20" x14ac:dyDescent="0.3">
      <c r="A482" s="17" t="s">
        <v>37</v>
      </c>
      <c r="B482" s="56">
        <v>1</v>
      </c>
      <c r="C482" s="56">
        <v>0</v>
      </c>
      <c r="D482" s="56">
        <v>1</v>
      </c>
      <c r="E482" s="56">
        <v>0</v>
      </c>
      <c r="F482" s="56">
        <v>0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  <c r="O482" s="195" t="s">
        <v>37</v>
      </c>
      <c r="P482" s="196">
        <v>0</v>
      </c>
      <c r="Q482" s="196">
        <v>0</v>
      </c>
      <c r="R482" s="196">
        <v>0</v>
      </c>
      <c r="S482" s="196">
        <v>0</v>
      </c>
      <c r="T482" s="196">
        <v>0</v>
      </c>
    </row>
    <row r="483" spans="1:20" x14ac:dyDescent="0.3">
      <c r="A483" s="17" t="s">
        <v>38</v>
      </c>
      <c r="B483" s="167" t="s">
        <v>751</v>
      </c>
      <c r="C483" s="168"/>
      <c r="D483" s="168"/>
      <c r="E483" s="168"/>
      <c r="F483" s="168"/>
      <c r="H483" s="17" t="s">
        <v>38</v>
      </c>
      <c r="I483" s="175" t="s">
        <v>1284</v>
      </c>
      <c r="J483" s="176"/>
      <c r="K483" s="176"/>
      <c r="L483" s="176"/>
      <c r="M483" s="176"/>
      <c r="O483" s="195" t="s">
        <v>38</v>
      </c>
      <c r="P483" s="172" t="s">
        <v>751</v>
      </c>
      <c r="Q483" s="173"/>
      <c r="R483" s="173"/>
      <c r="S483" s="173"/>
      <c r="T483" s="173"/>
    </row>
    <row r="484" spans="1:20" ht="19.8" x14ac:dyDescent="0.3">
      <c r="H484" s="171">
        <v>46140</v>
      </c>
      <c r="I484" s="171"/>
      <c r="J484" s="171"/>
      <c r="K484" s="171"/>
      <c r="L484" s="171"/>
      <c r="M484" s="171"/>
    </row>
    <row r="485" spans="1:20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871</v>
      </c>
    </row>
    <row r="486" spans="1:20" x14ac:dyDescent="0.3">
      <c r="H486" s="2" t="s">
        <v>5</v>
      </c>
      <c r="I486" s="3">
        <v>4630</v>
      </c>
      <c r="J486" s="3">
        <v>2256</v>
      </c>
      <c r="K486" s="3">
        <v>4</v>
      </c>
      <c r="L486" s="3">
        <v>2370</v>
      </c>
      <c r="M486" s="3">
        <v>0</v>
      </c>
    </row>
    <row r="487" spans="1:20" x14ac:dyDescent="0.3">
      <c r="H487" s="2" t="s">
        <v>6</v>
      </c>
      <c r="I487" s="3">
        <v>107</v>
      </c>
      <c r="J487" s="6">
        <v>38</v>
      </c>
      <c r="K487" s="4">
        <v>3</v>
      </c>
      <c r="L487" s="5">
        <v>66</v>
      </c>
      <c r="M487" s="3">
        <v>0</v>
      </c>
    </row>
    <row r="488" spans="1:20" x14ac:dyDescent="0.3">
      <c r="H488" s="2" t="s">
        <v>7</v>
      </c>
      <c r="I488" s="3" t="s">
        <v>43</v>
      </c>
      <c r="J488" s="4" t="s">
        <v>342</v>
      </c>
      <c r="K488" s="5" t="s">
        <v>1707</v>
      </c>
      <c r="L488" s="6" t="s">
        <v>1381</v>
      </c>
      <c r="M488" s="3">
        <v>0</v>
      </c>
    </row>
    <row r="489" spans="1:20" x14ac:dyDescent="0.3">
      <c r="H489" s="2" t="s">
        <v>12</v>
      </c>
      <c r="I489" s="3" t="s">
        <v>1246</v>
      </c>
      <c r="J489" s="4" t="s">
        <v>46</v>
      </c>
      <c r="K489" s="5" t="s">
        <v>1666</v>
      </c>
      <c r="L489" s="6" t="s">
        <v>1074</v>
      </c>
      <c r="M489" s="3">
        <v>0</v>
      </c>
    </row>
    <row r="490" spans="1:20" x14ac:dyDescent="0.3">
      <c r="H490" s="2" t="s">
        <v>17</v>
      </c>
      <c r="I490" s="48">
        <f>I498/I486</f>
        <v>6.0475161987041037E-3</v>
      </c>
      <c r="J490" s="4" t="s">
        <v>416</v>
      </c>
      <c r="K490" s="6" t="s">
        <v>1708</v>
      </c>
      <c r="L490" s="50">
        <f>L498/L486</f>
        <v>5.0632911392405064E-3</v>
      </c>
      <c r="M490" s="3" t="s">
        <v>25</v>
      </c>
    </row>
    <row r="491" spans="1:20" x14ac:dyDescent="0.3">
      <c r="H491" s="2" t="s">
        <v>22</v>
      </c>
      <c r="I491" s="3" t="s">
        <v>121</v>
      </c>
      <c r="J491" s="3" t="s">
        <v>25</v>
      </c>
      <c r="K491" s="5" t="s">
        <v>1708</v>
      </c>
      <c r="L491" s="6" t="s">
        <v>47</v>
      </c>
      <c r="M491" s="3" t="s">
        <v>25</v>
      </c>
    </row>
    <row r="492" spans="1:20" x14ac:dyDescent="0.3">
      <c r="H492" s="7" t="s">
        <v>26</v>
      </c>
      <c r="I492" s="8">
        <v>60</v>
      </c>
      <c r="J492" s="8">
        <v>23</v>
      </c>
      <c r="K492" s="8">
        <v>2</v>
      </c>
      <c r="L492" s="8">
        <v>35</v>
      </c>
      <c r="M492" s="8">
        <v>0</v>
      </c>
    </row>
    <row r="493" spans="1:20" x14ac:dyDescent="0.3">
      <c r="H493" s="9" t="s">
        <v>27</v>
      </c>
      <c r="I493" s="10">
        <v>43</v>
      </c>
      <c r="J493" s="10">
        <v>19</v>
      </c>
      <c r="K493" s="10">
        <v>0</v>
      </c>
      <c r="L493" s="10">
        <v>24</v>
      </c>
      <c r="M493" s="10">
        <v>0</v>
      </c>
    </row>
    <row r="494" spans="1:20" x14ac:dyDescent="0.3">
      <c r="H494" s="9" t="s">
        <v>28</v>
      </c>
      <c r="I494" s="10">
        <v>1</v>
      </c>
      <c r="J494" s="10">
        <v>0</v>
      </c>
      <c r="K494" s="10">
        <v>0</v>
      </c>
      <c r="L494" s="10">
        <v>1</v>
      </c>
      <c r="M494" s="10">
        <v>0</v>
      </c>
    </row>
    <row r="495" spans="1:20" x14ac:dyDescent="0.3">
      <c r="H495" s="9" t="s">
        <v>29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20" x14ac:dyDescent="0.3">
      <c r="H496" s="9" t="s">
        <v>30</v>
      </c>
      <c r="I496" s="10">
        <v>16</v>
      </c>
      <c r="J496" s="10">
        <v>4</v>
      </c>
      <c r="K496" s="10">
        <v>2</v>
      </c>
      <c r="L496" s="10">
        <v>10</v>
      </c>
      <c r="M496" s="10">
        <v>0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28</v>
      </c>
      <c r="J498" s="12">
        <v>15</v>
      </c>
      <c r="K498" s="12">
        <v>1</v>
      </c>
      <c r="L498" s="12">
        <v>12</v>
      </c>
      <c r="M498" s="12">
        <v>0</v>
      </c>
    </row>
    <row r="499" spans="8:13" x14ac:dyDescent="0.3">
      <c r="H499" s="13" t="s">
        <v>33</v>
      </c>
      <c r="I499" s="14">
        <v>11</v>
      </c>
      <c r="J499" s="14">
        <v>11</v>
      </c>
      <c r="K499" s="14">
        <v>0</v>
      </c>
      <c r="L499" s="14">
        <v>0</v>
      </c>
      <c r="M499" s="14">
        <v>0</v>
      </c>
    </row>
    <row r="500" spans="8:13" x14ac:dyDescent="0.3">
      <c r="H500" s="13" t="s">
        <v>34</v>
      </c>
      <c r="I500" s="14">
        <v>17</v>
      </c>
      <c r="J500" s="14">
        <v>4</v>
      </c>
      <c r="K500" s="14">
        <v>1</v>
      </c>
      <c r="L500" s="14">
        <v>12</v>
      </c>
      <c r="M500" s="14">
        <v>0</v>
      </c>
    </row>
    <row r="501" spans="8:13" x14ac:dyDescent="0.3">
      <c r="H501" s="15" t="s">
        <v>35</v>
      </c>
      <c r="I501" s="16">
        <v>7</v>
      </c>
      <c r="J501" s="16">
        <v>0</v>
      </c>
      <c r="K501" s="16">
        <v>1</v>
      </c>
      <c r="L501" s="16">
        <v>6</v>
      </c>
      <c r="M501" s="16">
        <v>0</v>
      </c>
    </row>
    <row r="502" spans="8:13" x14ac:dyDescent="0.3">
      <c r="H502" s="17" t="s">
        <v>36</v>
      </c>
      <c r="I502" s="109">
        <v>6</v>
      </c>
      <c r="J502" s="109">
        <v>0</v>
      </c>
      <c r="K502" s="109">
        <v>0</v>
      </c>
      <c r="L502" s="109">
        <v>6</v>
      </c>
      <c r="M502" s="109">
        <v>0</v>
      </c>
    </row>
    <row r="503" spans="8:13" x14ac:dyDescent="0.3">
      <c r="H503" s="17" t="s">
        <v>37</v>
      </c>
      <c r="I503" s="109">
        <v>1</v>
      </c>
      <c r="J503" s="109">
        <v>0</v>
      </c>
      <c r="K503" s="109">
        <v>1</v>
      </c>
      <c r="L503" s="109">
        <v>0</v>
      </c>
      <c r="M503" s="109">
        <v>0</v>
      </c>
    </row>
    <row r="504" spans="8:13" x14ac:dyDescent="0.3">
      <c r="H504" s="17" t="s">
        <v>38</v>
      </c>
      <c r="I504" s="172" t="s">
        <v>1307</v>
      </c>
      <c r="J504" s="173"/>
      <c r="K504" s="173"/>
      <c r="L504" s="173"/>
      <c r="M504" s="173"/>
    </row>
    <row r="505" spans="8:13" ht="19.8" x14ac:dyDescent="0.3">
      <c r="H505" s="171">
        <v>46141</v>
      </c>
      <c r="I505" s="171"/>
      <c r="J505" s="171"/>
      <c r="K505" s="171"/>
      <c r="L505" s="171"/>
      <c r="M505" s="171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760</v>
      </c>
      <c r="L506" s="1" t="s">
        <v>40</v>
      </c>
      <c r="M506" s="1" t="s">
        <v>871</v>
      </c>
    </row>
    <row r="507" spans="8:13" x14ac:dyDescent="0.3">
      <c r="H507" s="2" t="s">
        <v>5</v>
      </c>
      <c r="I507" s="3">
        <v>4538</v>
      </c>
      <c r="J507" s="3">
        <v>2190</v>
      </c>
      <c r="K507" s="3">
        <v>0</v>
      </c>
      <c r="L507" s="3">
        <v>2348</v>
      </c>
      <c r="M507" s="3">
        <v>0</v>
      </c>
    </row>
    <row r="508" spans="8:13" x14ac:dyDescent="0.3">
      <c r="H508" s="2" t="s">
        <v>6</v>
      </c>
      <c r="I508" s="3">
        <v>111</v>
      </c>
      <c r="J508" s="6">
        <v>52</v>
      </c>
      <c r="K508" s="3">
        <v>0</v>
      </c>
      <c r="L508" s="5">
        <v>59</v>
      </c>
      <c r="M508" s="3">
        <v>0</v>
      </c>
    </row>
    <row r="509" spans="8:13" x14ac:dyDescent="0.3">
      <c r="H509" s="2" t="s">
        <v>7</v>
      </c>
      <c r="I509" s="3" t="s">
        <v>1214</v>
      </c>
      <c r="J509" s="6" t="s">
        <v>503</v>
      </c>
      <c r="K509" s="3">
        <v>0</v>
      </c>
      <c r="L509" s="5" t="s">
        <v>548</v>
      </c>
      <c r="M509" s="3">
        <v>0</v>
      </c>
    </row>
    <row r="510" spans="8:13" x14ac:dyDescent="0.3">
      <c r="H510" s="2" t="s">
        <v>12</v>
      </c>
      <c r="I510" s="3" t="s">
        <v>545</v>
      </c>
      <c r="J510" s="5" t="s">
        <v>45</v>
      </c>
      <c r="K510" s="3">
        <v>0</v>
      </c>
      <c r="L510" s="6" t="s">
        <v>750</v>
      </c>
      <c r="M510" s="3">
        <v>0</v>
      </c>
    </row>
    <row r="511" spans="8:13" x14ac:dyDescent="0.3">
      <c r="H511" s="2" t="s">
        <v>17</v>
      </c>
      <c r="I511" s="48">
        <f>I519/I507</f>
        <v>1.1018069634200088E-2</v>
      </c>
      <c r="J511" s="6" t="s">
        <v>155</v>
      </c>
      <c r="K511" s="3" t="s">
        <v>25</v>
      </c>
      <c r="L511" s="50">
        <f>L519/L507</f>
        <v>7.2402044293015336E-3</v>
      </c>
      <c r="M511" s="3" t="s">
        <v>25</v>
      </c>
    </row>
    <row r="512" spans="8:13" x14ac:dyDescent="0.3">
      <c r="H512" s="2" t="s">
        <v>22</v>
      </c>
      <c r="I512" s="3" t="s">
        <v>227</v>
      </c>
      <c r="J512" s="3" t="s">
        <v>25</v>
      </c>
      <c r="K512" s="3" t="s">
        <v>25</v>
      </c>
      <c r="L512" s="5" t="s">
        <v>863</v>
      </c>
      <c r="M512" s="3" t="s">
        <v>25</v>
      </c>
    </row>
    <row r="513" spans="8:13" x14ac:dyDescent="0.3">
      <c r="H513" s="7" t="s">
        <v>26</v>
      </c>
      <c r="I513" s="8">
        <v>36</v>
      </c>
      <c r="J513" s="8">
        <v>19</v>
      </c>
      <c r="K513" s="8">
        <v>0</v>
      </c>
      <c r="L513" s="8">
        <v>17</v>
      </c>
      <c r="M513" s="8">
        <v>0</v>
      </c>
    </row>
    <row r="514" spans="8:13" x14ac:dyDescent="0.3">
      <c r="H514" s="9" t="s">
        <v>27</v>
      </c>
      <c r="I514" s="10">
        <v>24</v>
      </c>
      <c r="J514" s="10">
        <v>12</v>
      </c>
      <c r="K514" s="10">
        <v>0</v>
      </c>
      <c r="L514" s="10">
        <v>12</v>
      </c>
      <c r="M514" s="10">
        <v>0</v>
      </c>
    </row>
    <row r="515" spans="8:13" x14ac:dyDescent="0.3">
      <c r="H515" s="9" t="s">
        <v>28</v>
      </c>
      <c r="I515" s="10">
        <v>3</v>
      </c>
      <c r="J515" s="10">
        <v>1</v>
      </c>
      <c r="K515" s="10">
        <v>0</v>
      </c>
      <c r="L515" s="10">
        <v>2</v>
      </c>
      <c r="M515" s="10">
        <v>0</v>
      </c>
    </row>
    <row r="516" spans="8:13" x14ac:dyDescent="0.3">
      <c r="H516" s="9" t="s">
        <v>29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8:13" x14ac:dyDescent="0.3">
      <c r="H517" s="9" t="s">
        <v>30</v>
      </c>
      <c r="I517" s="10">
        <v>9</v>
      </c>
      <c r="J517" s="10">
        <v>6</v>
      </c>
      <c r="K517" s="10">
        <v>0</v>
      </c>
      <c r="L517" s="10">
        <v>3</v>
      </c>
      <c r="M517" s="10">
        <v>0</v>
      </c>
    </row>
    <row r="518" spans="8:13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8:13" x14ac:dyDescent="0.3">
      <c r="H519" s="11" t="s">
        <v>32</v>
      </c>
      <c r="I519" s="12">
        <v>50</v>
      </c>
      <c r="J519" s="12">
        <v>33</v>
      </c>
      <c r="K519" s="12">
        <v>0</v>
      </c>
      <c r="L519" s="12">
        <v>17</v>
      </c>
      <c r="M519" s="12">
        <v>0</v>
      </c>
    </row>
    <row r="520" spans="8:13" x14ac:dyDescent="0.3">
      <c r="H520" s="13" t="s">
        <v>33</v>
      </c>
      <c r="I520" s="14">
        <v>30</v>
      </c>
      <c r="J520" s="14">
        <v>30</v>
      </c>
      <c r="K520" s="14">
        <v>0</v>
      </c>
      <c r="L520" s="14">
        <v>0</v>
      </c>
      <c r="M520" s="14">
        <v>0</v>
      </c>
    </row>
    <row r="521" spans="8:13" x14ac:dyDescent="0.3">
      <c r="H521" s="13" t="s">
        <v>34</v>
      </c>
      <c r="I521" s="14">
        <v>20</v>
      </c>
      <c r="J521" s="14">
        <v>3</v>
      </c>
      <c r="K521" s="14">
        <v>0</v>
      </c>
      <c r="L521" s="14">
        <v>17</v>
      </c>
      <c r="M521" s="14">
        <v>0</v>
      </c>
    </row>
    <row r="522" spans="8:13" x14ac:dyDescent="0.3">
      <c r="H522" s="15" t="s">
        <v>35</v>
      </c>
      <c r="I522" s="16">
        <v>13</v>
      </c>
      <c r="J522" s="16">
        <v>0</v>
      </c>
      <c r="K522" s="16">
        <v>0</v>
      </c>
      <c r="L522" s="16">
        <v>13</v>
      </c>
      <c r="M522" s="16">
        <v>0</v>
      </c>
    </row>
    <row r="523" spans="8:13" x14ac:dyDescent="0.3">
      <c r="H523" s="17" t="s">
        <v>36</v>
      </c>
      <c r="I523" s="109">
        <v>13</v>
      </c>
      <c r="J523" s="109">
        <v>0</v>
      </c>
      <c r="K523" s="112">
        <v>0</v>
      </c>
      <c r="L523" s="109">
        <v>13</v>
      </c>
      <c r="M523" s="112">
        <v>0</v>
      </c>
    </row>
    <row r="524" spans="8:13" x14ac:dyDescent="0.3">
      <c r="H524" s="17" t="s">
        <v>37</v>
      </c>
      <c r="I524" s="109">
        <v>0</v>
      </c>
      <c r="J524" s="109">
        <v>0</v>
      </c>
      <c r="K524" s="112">
        <v>0</v>
      </c>
      <c r="L524" s="109">
        <v>0</v>
      </c>
      <c r="M524" s="112">
        <v>0</v>
      </c>
    </row>
    <row r="525" spans="8:13" x14ac:dyDescent="0.3">
      <c r="H525" s="17" t="s">
        <v>38</v>
      </c>
      <c r="I525" s="172" t="s">
        <v>1307</v>
      </c>
      <c r="J525" s="173"/>
      <c r="K525" s="173"/>
      <c r="L525" s="173"/>
      <c r="M525" s="173"/>
    </row>
    <row r="526" spans="8:13" ht="19.8" x14ac:dyDescent="0.3">
      <c r="H526" s="171">
        <v>46142</v>
      </c>
      <c r="I526" s="171"/>
      <c r="J526" s="171"/>
      <c r="K526" s="171"/>
      <c r="L526" s="171"/>
      <c r="M526" s="171"/>
    </row>
    <row r="527" spans="8:13" x14ac:dyDescent="0.3">
      <c r="H527" s="1" t="s">
        <v>0</v>
      </c>
      <c r="I527" s="1" t="s">
        <v>1</v>
      </c>
      <c r="J527" s="1" t="s">
        <v>2</v>
      </c>
      <c r="K527" s="1" t="s">
        <v>760</v>
      </c>
      <c r="L527" s="1" t="s">
        <v>40</v>
      </c>
      <c r="M527" s="1" t="s">
        <v>871</v>
      </c>
    </row>
    <row r="528" spans="8:13" x14ac:dyDescent="0.3">
      <c r="H528" s="2" t="s">
        <v>5</v>
      </c>
      <c r="I528" s="3">
        <v>4236</v>
      </c>
      <c r="J528" s="3">
        <v>2050</v>
      </c>
      <c r="K528" s="3">
        <v>0</v>
      </c>
      <c r="L528" s="3">
        <v>2186</v>
      </c>
      <c r="M528" s="3">
        <v>0</v>
      </c>
    </row>
    <row r="529" spans="8:13" x14ac:dyDescent="0.3">
      <c r="H529" s="2" t="s">
        <v>6</v>
      </c>
      <c r="I529" s="3">
        <v>70</v>
      </c>
      <c r="J529" s="6">
        <v>16</v>
      </c>
      <c r="K529" s="3">
        <v>0</v>
      </c>
      <c r="L529" s="5">
        <v>54</v>
      </c>
      <c r="M529" s="3">
        <v>0</v>
      </c>
    </row>
    <row r="530" spans="8:13" x14ac:dyDescent="0.3">
      <c r="H530" s="2" t="s">
        <v>7</v>
      </c>
      <c r="I530" s="3" t="s">
        <v>182</v>
      </c>
      <c r="J530" s="6" t="s">
        <v>1087</v>
      </c>
      <c r="K530" s="3">
        <v>0</v>
      </c>
      <c r="L530" s="5" t="s">
        <v>116</v>
      </c>
      <c r="M530" s="3">
        <v>0</v>
      </c>
    </row>
    <row r="531" spans="8:13" x14ac:dyDescent="0.3">
      <c r="H531" s="2" t="s">
        <v>12</v>
      </c>
      <c r="I531" s="3" t="s">
        <v>542</v>
      </c>
      <c r="J531" s="6" t="s">
        <v>66</v>
      </c>
      <c r="K531" s="3">
        <v>0</v>
      </c>
      <c r="L531" s="5" t="s">
        <v>432</v>
      </c>
      <c r="M531" s="3">
        <v>0</v>
      </c>
    </row>
    <row r="532" spans="8:13" x14ac:dyDescent="0.3">
      <c r="H532" s="2" t="s">
        <v>17</v>
      </c>
      <c r="I532" s="48">
        <f>I540/I528</f>
        <v>5.1935788479697828E-3</v>
      </c>
      <c r="J532" s="6" t="s">
        <v>99</v>
      </c>
      <c r="K532" s="3" t="s">
        <v>25</v>
      </c>
      <c r="L532" s="50">
        <f>L540/L528</f>
        <v>8.2342177493138144E-3</v>
      </c>
      <c r="M532" s="3" t="s">
        <v>25</v>
      </c>
    </row>
    <row r="533" spans="8:13" x14ac:dyDescent="0.3">
      <c r="H533" s="2" t="s">
        <v>22</v>
      </c>
      <c r="I533" s="3" t="s">
        <v>150</v>
      </c>
      <c r="J533" s="3" t="s">
        <v>25</v>
      </c>
      <c r="K533" s="3" t="s">
        <v>25</v>
      </c>
      <c r="L533" s="5" t="s">
        <v>300</v>
      </c>
      <c r="M533" s="3" t="s">
        <v>25</v>
      </c>
    </row>
    <row r="534" spans="8:13" x14ac:dyDescent="0.3">
      <c r="H534" s="7" t="s">
        <v>26</v>
      </c>
      <c r="I534" s="8">
        <v>47</v>
      </c>
      <c r="J534" s="8">
        <v>12</v>
      </c>
      <c r="K534" s="8">
        <v>0</v>
      </c>
      <c r="L534" s="8">
        <v>35</v>
      </c>
      <c r="M534" s="8">
        <v>0</v>
      </c>
    </row>
    <row r="535" spans="8:13" x14ac:dyDescent="0.3">
      <c r="H535" s="9" t="s">
        <v>27</v>
      </c>
      <c r="I535" s="10">
        <v>26</v>
      </c>
      <c r="J535" s="10">
        <v>11</v>
      </c>
      <c r="K535" s="10">
        <v>0</v>
      </c>
      <c r="L535" s="10">
        <v>15</v>
      </c>
      <c r="M535" s="10">
        <v>0</v>
      </c>
    </row>
    <row r="536" spans="8:13" x14ac:dyDescent="0.3">
      <c r="H536" s="9" t="s">
        <v>28</v>
      </c>
      <c r="I536" s="10">
        <v>1</v>
      </c>
      <c r="J536" s="10">
        <v>0</v>
      </c>
      <c r="K536" s="10">
        <v>0</v>
      </c>
      <c r="L536" s="10">
        <v>1</v>
      </c>
      <c r="M536" s="10">
        <v>0</v>
      </c>
    </row>
    <row r="537" spans="8:13" x14ac:dyDescent="0.3">
      <c r="H537" s="9" t="s">
        <v>29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</row>
    <row r="538" spans="8:13" x14ac:dyDescent="0.3">
      <c r="H538" s="9" t="s">
        <v>30</v>
      </c>
      <c r="I538" s="10">
        <v>20</v>
      </c>
      <c r="J538" s="10">
        <v>1</v>
      </c>
      <c r="K538" s="10">
        <v>0</v>
      </c>
      <c r="L538" s="10">
        <v>19</v>
      </c>
      <c r="M538" s="10">
        <v>0</v>
      </c>
    </row>
    <row r="539" spans="8:13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8:13" x14ac:dyDescent="0.3">
      <c r="H540" s="11" t="s">
        <v>32</v>
      </c>
      <c r="I540" s="12">
        <v>22</v>
      </c>
      <c r="J540" s="12">
        <v>4</v>
      </c>
      <c r="K540" s="12">
        <v>0</v>
      </c>
      <c r="L540" s="12">
        <v>18</v>
      </c>
      <c r="M540" s="12">
        <v>0</v>
      </c>
    </row>
    <row r="541" spans="8:13" x14ac:dyDescent="0.3">
      <c r="H541" s="13" t="s">
        <v>33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</row>
    <row r="542" spans="8:13" x14ac:dyDescent="0.3">
      <c r="H542" s="13" t="s">
        <v>34</v>
      </c>
      <c r="I542" s="14">
        <v>22</v>
      </c>
      <c r="J542" s="14">
        <v>4</v>
      </c>
      <c r="K542" s="14">
        <v>0</v>
      </c>
      <c r="L542" s="14">
        <v>18</v>
      </c>
      <c r="M542" s="14">
        <v>0</v>
      </c>
    </row>
    <row r="543" spans="8:13" x14ac:dyDescent="0.3">
      <c r="H543" s="15" t="s">
        <v>35</v>
      </c>
      <c r="I543" s="16">
        <v>16</v>
      </c>
      <c r="J543" s="16">
        <v>0</v>
      </c>
      <c r="K543" s="16">
        <v>0</v>
      </c>
      <c r="L543" s="16">
        <v>16</v>
      </c>
      <c r="M543" s="16">
        <v>0</v>
      </c>
    </row>
    <row r="544" spans="8:13" x14ac:dyDescent="0.3">
      <c r="H544" s="17" t="s">
        <v>36</v>
      </c>
      <c r="I544" s="112">
        <v>16</v>
      </c>
      <c r="J544" s="112">
        <v>0</v>
      </c>
      <c r="K544" s="112">
        <v>0</v>
      </c>
      <c r="L544" s="112">
        <v>16</v>
      </c>
      <c r="M544" s="112">
        <v>0</v>
      </c>
    </row>
    <row r="545" spans="8:13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8:13" x14ac:dyDescent="0.3">
      <c r="H546" s="17" t="s">
        <v>38</v>
      </c>
      <c r="I546" s="172" t="s">
        <v>1307</v>
      </c>
      <c r="J546" s="173"/>
      <c r="K546" s="173"/>
      <c r="L546" s="173"/>
      <c r="M546" s="173"/>
    </row>
  </sheetData>
  <mergeCells count="144">
    <mergeCell ref="O463:T463"/>
    <mergeCell ref="P483:T483"/>
    <mergeCell ref="P462:T462"/>
    <mergeCell ref="O442:T442"/>
    <mergeCell ref="P441:T441"/>
    <mergeCell ref="O421:T421"/>
    <mergeCell ref="H526:M526"/>
    <mergeCell ref="I525:M525"/>
    <mergeCell ref="I546:M546"/>
    <mergeCell ref="H505:M505"/>
    <mergeCell ref="O169:T169"/>
    <mergeCell ref="P189:T189"/>
    <mergeCell ref="O190:T190"/>
    <mergeCell ref="P210:T210"/>
    <mergeCell ref="O22:T22"/>
    <mergeCell ref="H400:M400"/>
    <mergeCell ref="I420:M420"/>
    <mergeCell ref="H253:M253"/>
    <mergeCell ref="I273:M273"/>
    <mergeCell ref="I210:M210"/>
    <mergeCell ref="H211:M211"/>
    <mergeCell ref="I231:M231"/>
    <mergeCell ref="H232:M232"/>
    <mergeCell ref="I252:M252"/>
    <mergeCell ref="H379:M379"/>
    <mergeCell ref="I399:M399"/>
    <mergeCell ref="H358:M358"/>
    <mergeCell ref="I378:M378"/>
    <mergeCell ref="H274:M274"/>
    <mergeCell ref="I294:M294"/>
    <mergeCell ref="P21:T21"/>
    <mergeCell ref="O1:T1"/>
    <mergeCell ref="O148:T148"/>
    <mergeCell ref="P168:T168"/>
    <mergeCell ref="P84:T84"/>
    <mergeCell ref="O64:T64"/>
    <mergeCell ref="P63:T63"/>
    <mergeCell ref="O43:T43"/>
    <mergeCell ref="P42:T42"/>
    <mergeCell ref="O127:T127"/>
    <mergeCell ref="P147:T147"/>
    <mergeCell ref="P126:T126"/>
    <mergeCell ref="O106:T106"/>
    <mergeCell ref="O85:T85"/>
    <mergeCell ref="P105:T105"/>
    <mergeCell ref="H148:M148"/>
    <mergeCell ref="I168:M168"/>
    <mergeCell ref="H169:M169"/>
    <mergeCell ref="I189:M189"/>
    <mergeCell ref="H190:M190"/>
    <mergeCell ref="I105:M105"/>
    <mergeCell ref="H106:M106"/>
    <mergeCell ref="I126:M126"/>
    <mergeCell ref="H127:M127"/>
    <mergeCell ref="I147:M147"/>
    <mergeCell ref="H43:M43"/>
    <mergeCell ref="I63:M63"/>
    <mergeCell ref="H64:M64"/>
    <mergeCell ref="I84:M84"/>
    <mergeCell ref="H85:M85"/>
    <mergeCell ref="B441:F441"/>
    <mergeCell ref="A442:F442"/>
    <mergeCell ref="B462:F462"/>
    <mergeCell ref="B252:F252"/>
    <mergeCell ref="A127:F127"/>
    <mergeCell ref="A400:F400"/>
    <mergeCell ref="B420:F420"/>
    <mergeCell ref="A421:F421"/>
    <mergeCell ref="B147:F147"/>
    <mergeCell ref="A148:F148"/>
    <mergeCell ref="B168:F168"/>
    <mergeCell ref="A169:F169"/>
    <mergeCell ref="B189:F189"/>
    <mergeCell ref="A190:F190"/>
    <mergeCell ref="B210:F210"/>
    <mergeCell ref="A211:F211"/>
    <mergeCell ref="B126:F126"/>
    <mergeCell ref="B105:F105"/>
    <mergeCell ref="A106:F106"/>
    <mergeCell ref="A1:F1"/>
    <mergeCell ref="B21:F21"/>
    <mergeCell ref="A22:F22"/>
    <mergeCell ref="B42:F42"/>
    <mergeCell ref="A43:F43"/>
    <mergeCell ref="B63:F63"/>
    <mergeCell ref="A64:F64"/>
    <mergeCell ref="B84:F84"/>
    <mergeCell ref="A85:F85"/>
    <mergeCell ref="B378:F378"/>
    <mergeCell ref="B231:F231"/>
    <mergeCell ref="A232:F232"/>
    <mergeCell ref="A253:F253"/>
    <mergeCell ref="B273:F273"/>
    <mergeCell ref="A274:F274"/>
    <mergeCell ref="A463:F463"/>
    <mergeCell ref="B483:F483"/>
    <mergeCell ref="H1:M1"/>
    <mergeCell ref="I21:M21"/>
    <mergeCell ref="H22:M22"/>
    <mergeCell ref="I42:M42"/>
    <mergeCell ref="B294:F294"/>
    <mergeCell ref="A295:F295"/>
    <mergeCell ref="A379:F379"/>
    <mergeCell ref="B399:F399"/>
    <mergeCell ref="B315:F315"/>
    <mergeCell ref="A316:F316"/>
    <mergeCell ref="B336:F336"/>
    <mergeCell ref="B357:F357"/>
    <mergeCell ref="A337:F337"/>
    <mergeCell ref="A358:F358"/>
    <mergeCell ref="H295:M295"/>
    <mergeCell ref="I315:M315"/>
    <mergeCell ref="H484:M484"/>
    <mergeCell ref="I504:M504"/>
    <mergeCell ref="I483:M483"/>
    <mergeCell ref="O211:T211"/>
    <mergeCell ref="P231:T231"/>
    <mergeCell ref="O253:T253"/>
    <mergeCell ref="O232:T232"/>
    <mergeCell ref="P252:T252"/>
    <mergeCell ref="P273:T273"/>
    <mergeCell ref="O274:T274"/>
    <mergeCell ref="P294:T294"/>
    <mergeCell ref="I357:M357"/>
    <mergeCell ref="H316:M316"/>
    <mergeCell ref="I336:M336"/>
    <mergeCell ref="H337:M337"/>
    <mergeCell ref="O316:T316"/>
    <mergeCell ref="P336:T336"/>
    <mergeCell ref="O337:T337"/>
    <mergeCell ref="P357:T357"/>
    <mergeCell ref="O295:T295"/>
    <mergeCell ref="P315:T315"/>
    <mergeCell ref="H442:M442"/>
    <mergeCell ref="I462:M462"/>
    <mergeCell ref="H463:M463"/>
    <mergeCell ref="H421:M421"/>
    <mergeCell ref="I441:M441"/>
    <mergeCell ref="O379:T379"/>
    <mergeCell ref="P378:T378"/>
    <mergeCell ref="O358:T358"/>
    <mergeCell ref="P399:T399"/>
    <mergeCell ref="O400:T400"/>
    <mergeCell ref="P420:T420"/>
  </mergeCells>
  <phoneticPr fontId="1" type="noConversion"/>
  <pageMargins left="0.7" right="0.7" top="0.75" bottom="0.75" header="0.3" footer="0.3"/>
  <pageSetup paperSize="9" orientation="portrait" r:id="rId1"/>
  <ignoredErrors>
    <ignoredError sqref="B467:F470 B446:F44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EAEC-E4B4-458E-92E8-3E0E653A2118}">
  <dimension ref="A1:T567"/>
  <sheetViews>
    <sheetView topLeftCell="A455" zoomScaleNormal="100" workbookViewId="0">
      <selection activeCell="O464" sqref="O464"/>
    </sheetView>
  </sheetViews>
  <sheetFormatPr defaultRowHeight="15" x14ac:dyDescent="0.3"/>
  <cols>
    <col min="15" max="15" width="9.125" customWidth="1"/>
  </cols>
  <sheetData>
    <row r="1" spans="1:20" ht="19.8" x14ac:dyDescent="0.3">
      <c r="A1" s="170">
        <v>46083</v>
      </c>
      <c r="B1" s="168"/>
      <c r="C1" s="168"/>
      <c r="D1" s="168"/>
      <c r="E1" s="168"/>
      <c r="F1" s="168"/>
      <c r="H1" s="170">
        <v>46113</v>
      </c>
      <c r="I1" s="168"/>
      <c r="J1" s="168"/>
      <c r="K1" s="168"/>
      <c r="L1" s="168"/>
      <c r="M1" s="168"/>
      <c r="O1" s="170">
        <v>46143</v>
      </c>
      <c r="P1" s="168"/>
      <c r="Q1" s="168"/>
      <c r="R1" s="168"/>
      <c r="S1" s="168"/>
      <c r="T1" s="168"/>
    </row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  <c r="F2" s="1" t="s">
        <v>4</v>
      </c>
      <c r="H2" s="1" t="s">
        <v>0</v>
      </c>
      <c r="I2" s="1" t="s">
        <v>1</v>
      </c>
      <c r="J2" s="1" t="s">
        <v>2</v>
      </c>
      <c r="K2" s="1" t="s">
        <v>3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3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4622</v>
      </c>
      <c r="C3" s="3">
        <v>1298</v>
      </c>
      <c r="D3" s="3">
        <v>1237</v>
      </c>
      <c r="E3" s="3">
        <v>1073</v>
      </c>
      <c r="F3" s="3">
        <v>1014</v>
      </c>
      <c r="H3" s="2" t="s">
        <v>5</v>
      </c>
      <c r="I3" s="3">
        <v>2327</v>
      </c>
      <c r="J3" s="3">
        <v>743</v>
      </c>
      <c r="K3" s="3">
        <v>701</v>
      </c>
      <c r="L3" s="3">
        <v>572</v>
      </c>
      <c r="M3" s="3">
        <v>311</v>
      </c>
      <c r="O3" s="2" t="s">
        <v>5</v>
      </c>
      <c r="P3" s="3">
        <v>6586</v>
      </c>
      <c r="Q3" s="3">
        <v>1886</v>
      </c>
      <c r="R3" s="3">
        <v>2066</v>
      </c>
      <c r="S3" s="3">
        <v>1930</v>
      </c>
      <c r="T3" s="3">
        <v>704</v>
      </c>
    </row>
    <row r="4" spans="1:20" x14ac:dyDescent="0.3">
      <c r="A4" s="2" t="s">
        <v>6</v>
      </c>
      <c r="B4" s="3">
        <v>247</v>
      </c>
      <c r="C4" s="4">
        <v>61</v>
      </c>
      <c r="D4" s="3">
        <v>37</v>
      </c>
      <c r="E4" s="5">
        <v>78</v>
      </c>
      <c r="F4" s="6">
        <v>71</v>
      </c>
      <c r="H4" s="2" t="s">
        <v>6</v>
      </c>
      <c r="I4" s="3">
        <v>225</v>
      </c>
      <c r="J4" s="6">
        <v>78</v>
      </c>
      <c r="K4" s="5">
        <v>118</v>
      </c>
      <c r="L4" s="3">
        <v>4</v>
      </c>
      <c r="M4" s="4">
        <v>25</v>
      </c>
      <c r="O4" s="2" t="s">
        <v>6</v>
      </c>
      <c r="P4" s="3">
        <v>948</v>
      </c>
      <c r="Q4" s="6">
        <v>249</v>
      </c>
      <c r="R4" s="5">
        <v>284</v>
      </c>
      <c r="S4" s="3">
        <v>204</v>
      </c>
      <c r="T4" s="4">
        <v>211</v>
      </c>
    </row>
    <row r="5" spans="1:20" x14ac:dyDescent="0.3">
      <c r="A5" s="2" t="s">
        <v>7</v>
      </c>
      <c r="B5" s="3" t="s">
        <v>52</v>
      </c>
      <c r="C5" s="4" t="s">
        <v>53</v>
      </c>
      <c r="D5" s="3" t="s">
        <v>54</v>
      </c>
      <c r="E5" s="5" t="s">
        <v>55</v>
      </c>
      <c r="F5" s="6" t="s">
        <v>56</v>
      </c>
      <c r="H5" s="2" t="s">
        <v>7</v>
      </c>
      <c r="I5" s="3" t="s">
        <v>1212</v>
      </c>
      <c r="J5" s="6" t="s">
        <v>829</v>
      </c>
      <c r="K5" s="5" t="s">
        <v>1213</v>
      </c>
      <c r="L5" s="3" t="s">
        <v>484</v>
      </c>
      <c r="M5" s="4" t="s">
        <v>721</v>
      </c>
      <c r="O5" s="2" t="s">
        <v>7</v>
      </c>
      <c r="P5" s="3" t="s">
        <v>1261</v>
      </c>
      <c r="Q5" s="4" t="s">
        <v>1783</v>
      </c>
      <c r="R5" s="6" t="s">
        <v>1784</v>
      </c>
      <c r="S5" s="3" t="s">
        <v>512</v>
      </c>
      <c r="T5" s="5" t="s">
        <v>1785</v>
      </c>
    </row>
    <row r="6" spans="1:20" x14ac:dyDescent="0.3">
      <c r="A6" s="2" t="s">
        <v>12</v>
      </c>
      <c r="B6" s="3" t="s">
        <v>57</v>
      </c>
      <c r="C6" s="4" t="s">
        <v>58</v>
      </c>
      <c r="D6" s="3" t="s">
        <v>59</v>
      </c>
      <c r="E6" s="5" t="s">
        <v>60</v>
      </c>
      <c r="F6" s="6" t="s">
        <v>61</v>
      </c>
      <c r="H6" s="2" t="s">
        <v>12</v>
      </c>
      <c r="I6" s="3" t="s">
        <v>271</v>
      </c>
      <c r="J6" s="5" t="s">
        <v>734</v>
      </c>
      <c r="K6" s="4" t="s">
        <v>256</v>
      </c>
      <c r="L6" s="3" t="s">
        <v>484</v>
      </c>
      <c r="M6" s="6" t="s">
        <v>324</v>
      </c>
      <c r="O6" s="2" t="s">
        <v>12</v>
      </c>
      <c r="P6" s="3" t="s">
        <v>73</v>
      </c>
      <c r="Q6" s="6" t="s">
        <v>1217</v>
      </c>
      <c r="R6" s="5" t="s">
        <v>502</v>
      </c>
      <c r="S6" s="3" t="s">
        <v>81</v>
      </c>
      <c r="T6" s="4" t="s">
        <v>358</v>
      </c>
    </row>
    <row r="7" spans="1:20" x14ac:dyDescent="0.3">
      <c r="A7" s="2" t="s">
        <v>17</v>
      </c>
      <c r="B7" s="3" t="s">
        <v>62</v>
      </c>
      <c r="C7" s="5" t="s">
        <v>63</v>
      </c>
      <c r="D7" s="6" t="s">
        <v>64</v>
      </c>
      <c r="E7" s="3" t="s">
        <v>65</v>
      </c>
      <c r="F7" s="4" t="s">
        <v>66</v>
      </c>
      <c r="H7" s="2" t="s">
        <v>17</v>
      </c>
      <c r="I7" s="3" t="s">
        <v>1214</v>
      </c>
      <c r="J7" s="3" t="s">
        <v>491</v>
      </c>
      <c r="K7" s="5" t="s">
        <v>1215</v>
      </c>
      <c r="L7" s="4" t="s">
        <v>484</v>
      </c>
      <c r="M7" s="6" t="s">
        <v>869</v>
      </c>
      <c r="O7" s="2" t="s">
        <v>17</v>
      </c>
      <c r="P7" s="3" t="s">
        <v>1132</v>
      </c>
      <c r="Q7" s="3" t="s">
        <v>1405</v>
      </c>
      <c r="R7" s="4" t="s">
        <v>112</v>
      </c>
      <c r="S7" s="6" t="s">
        <v>1302</v>
      </c>
      <c r="T7" s="5" t="s">
        <v>1786</v>
      </c>
    </row>
    <row r="8" spans="1:20" x14ac:dyDescent="0.3">
      <c r="A8" s="2" t="s">
        <v>22</v>
      </c>
      <c r="B8" s="3" t="s">
        <v>25</v>
      </c>
      <c r="C8" s="3" t="s">
        <v>25</v>
      </c>
      <c r="D8" s="3" t="s">
        <v>25</v>
      </c>
      <c r="E8" s="3" t="s">
        <v>25</v>
      </c>
      <c r="F8" s="3" t="s">
        <v>25</v>
      </c>
      <c r="H8" s="2" t="s">
        <v>22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O8" s="2" t="s">
        <v>22</v>
      </c>
      <c r="P8" s="3" t="s">
        <v>77</v>
      </c>
      <c r="Q8" s="3" t="s">
        <v>25</v>
      </c>
      <c r="R8" s="3" t="s">
        <v>25</v>
      </c>
      <c r="S8" s="5" t="s">
        <v>300</v>
      </c>
      <c r="T8" s="3" t="s">
        <v>25</v>
      </c>
    </row>
    <row r="9" spans="1:20" x14ac:dyDescent="0.3">
      <c r="A9" s="7" t="s">
        <v>26</v>
      </c>
      <c r="B9" s="8">
        <v>228</v>
      </c>
      <c r="C9" s="8">
        <v>59</v>
      </c>
      <c r="D9" s="8">
        <v>27</v>
      </c>
      <c r="E9" s="8">
        <v>77</v>
      </c>
      <c r="F9" s="8">
        <v>65</v>
      </c>
      <c r="H9" s="7" t="s">
        <v>26</v>
      </c>
      <c r="I9" s="8">
        <v>137</v>
      </c>
      <c r="J9" s="8">
        <v>75</v>
      </c>
      <c r="K9" s="8">
        <v>35</v>
      </c>
      <c r="L9" s="8">
        <v>4</v>
      </c>
      <c r="M9" s="8">
        <v>23</v>
      </c>
      <c r="O9" s="7" t="s">
        <v>26</v>
      </c>
      <c r="P9" s="8">
        <v>167</v>
      </c>
      <c r="Q9" s="8">
        <v>67</v>
      </c>
      <c r="R9" s="8">
        <v>76</v>
      </c>
      <c r="S9" s="8">
        <v>2</v>
      </c>
      <c r="T9" s="8">
        <v>22</v>
      </c>
    </row>
    <row r="10" spans="1:20" x14ac:dyDescent="0.3">
      <c r="A10" s="9" t="s">
        <v>27</v>
      </c>
      <c r="B10" s="10">
        <v>40</v>
      </c>
      <c r="C10" s="10">
        <v>10</v>
      </c>
      <c r="D10" s="10">
        <v>19</v>
      </c>
      <c r="E10" s="10">
        <v>1</v>
      </c>
      <c r="F10" s="10">
        <v>10</v>
      </c>
      <c r="H10" s="9" t="s">
        <v>27</v>
      </c>
      <c r="I10" s="10">
        <v>4</v>
      </c>
      <c r="J10" s="10">
        <v>1</v>
      </c>
      <c r="K10" s="10">
        <v>1</v>
      </c>
      <c r="L10" s="10">
        <v>0</v>
      </c>
      <c r="M10" s="10">
        <v>2</v>
      </c>
      <c r="O10" s="9" t="s">
        <v>27</v>
      </c>
      <c r="P10" s="10">
        <v>23</v>
      </c>
      <c r="Q10" s="10">
        <v>9</v>
      </c>
      <c r="R10" s="10">
        <v>8</v>
      </c>
      <c r="S10" s="10">
        <v>1</v>
      </c>
      <c r="T10" s="10">
        <v>5</v>
      </c>
    </row>
    <row r="11" spans="1:20" x14ac:dyDescent="0.3">
      <c r="A11" s="9" t="s">
        <v>28</v>
      </c>
      <c r="B11" s="10">
        <v>2</v>
      </c>
      <c r="C11" s="10">
        <v>2</v>
      </c>
      <c r="D11" s="10">
        <v>0</v>
      </c>
      <c r="E11" s="10">
        <v>0</v>
      </c>
      <c r="F11" s="10">
        <v>0</v>
      </c>
      <c r="H11" s="9" t="s">
        <v>28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O11" s="9" t="s">
        <v>28</v>
      </c>
      <c r="P11" s="10">
        <v>1</v>
      </c>
      <c r="Q11" s="10">
        <v>0</v>
      </c>
      <c r="R11" s="10">
        <v>0</v>
      </c>
      <c r="S11" s="10">
        <v>0</v>
      </c>
      <c r="T11" s="10">
        <v>1</v>
      </c>
    </row>
    <row r="12" spans="1:20" x14ac:dyDescent="0.3">
      <c r="A12" s="9" t="s">
        <v>29</v>
      </c>
      <c r="B12" s="10">
        <v>163</v>
      </c>
      <c r="C12" s="10">
        <v>35</v>
      </c>
      <c r="D12" s="10">
        <v>2</v>
      </c>
      <c r="E12" s="10">
        <v>74</v>
      </c>
      <c r="F12" s="10">
        <v>52</v>
      </c>
      <c r="H12" s="9" t="s">
        <v>29</v>
      </c>
      <c r="I12" s="10">
        <v>131</v>
      </c>
      <c r="J12" s="10">
        <v>73</v>
      </c>
      <c r="K12" s="10">
        <v>34</v>
      </c>
      <c r="L12" s="10">
        <v>4</v>
      </c>
      <c r="M12" s="10">
        <v>20</v>
      </c>
      <c r="O12" s="9" t="s">
        <v>29</v>
      </c>
      <c r="P12" s="10">
        <v>126</v>
      </c>
      <c r="Q12" s="10">
        <v>52</v>
      </c>
      <c r="R12" s="10">
        <v>59</v>
      </c>
      <c r="S12" s="10">
        <v>0</v>
      </c>
      <c r="T12" s="10">
        <v>15</v>
      </c>
    </row>
    <row r="13" spans="1:20" x14ac:dyDescent="0.3">
      <c r="A13" s="9" t="s">
        <v>30</v>
      </c>
      <c r="B13" s="10">
        <v>23</v>
      </c>
      <c r="C13" s="10">
        <v>12</v>
      </c>
      <c r="D13" s="10">
        <v>6</v>
      </c>
      <c r="E13" s="10">
        <v>2</v>
      </c>
      <c r="F13" s="10">
        <v>3</v>
      </c>
      <c r="H13" s="9" t="s">
        <v>30</v>
      </c>
      <c r="I13" s="10">
        <v>2</v>
      </c>
      <c r="J13" s="10">
        <v>1</v>
      </c>
      <c r="K13" s="10">
        <v>0</v>
      </c>
      <c r="L13" s="10">
        <v>0</v>
      </c>
      <c r="M13" s="10">
        <v>1</v>
      </c>
      <c r="O13" s="9" t="s">
        <v>30</v>
      </c>
      <c r="P13" s="10">
        <v>17</v>
      </c>
      <c r="Q13" s="10">
        <v>6</v>
      </c>
      <c r="R13" s="10">
        <v>9</v>
      </c>
      <c r="S13" s="10">
        <v>1</v>
      </c>
      <c r="T13" s="10">
        <v>1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33</v>
      </c>
      <c r="C15" s="12">
        <v>11</v>
      </c>
      <c r="D15" s="12">
        <v>10</v>
      </c>
      <c r="E15" s="12">
        <v>6</v>
      </c>
      <c r="F15" s="12">
        <v>6</v>
      </c>
      <c r="H15" s="11" t="s">
        <v>32</v>
      </c>
      <c r="I15" s="12">
        <v>57</v>
      </c>
      <c r="J15" s="12">
        <v>3</v>
      </c>
      <c r="K15" s="12">
        <v>47</v>
      </c>
      <c r="L15" s="12">
        <v>4</v>
      </c>
      <c r="M15" s="12">
        <v>3</v>
      </c>
      <c r="O15" s="11" t="s">
        <v>32</v>
      </c>
      <c r="P15" s="12">
        <v>785</v>
      </c>
      <c r="Q15" s="12">
        <v>182</v>
      </c>
      <c r="R15" s="12">
        <v>210</v>
      </c>
      <c r="S15" s="12">
        <v>202</v>
      </c>
      <c r="T15" s="12">
        <v>191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46</v>
      </c>
      <c r="J16" s="14">
        <v>1</v>
      </c>
      <c r="K16" s="14">
        <v>44</v>
      </c>
      <c r="L16" s="14">
        <v>0</v>
      </c>
      <c r="M16" s="14">
        <v>1</v>
      </c>
      <c r="O16" s="13" t="s">
        <v>33</v>
      </c>
      <c r="P16" s="14">
        <v>149</v>
      </c>
      <c r="Q16" s="14">
        <v>0</v>
      </c>
      <c r="R16" s="14">
        <v>2</v>
      </c>
      <c r="S16" s="14">
        <v>1</v>
      </c>
      <c r="T16" s="14">
        <v>146</v>
      </c>
    </row>
    <row r="17" spans="1:20" x14ac:dyDescent="0.3">
      <c r="A17" s="13" t="s">
        <v>34</v>
      </c>
      <c r="B17" s="14">
        <v>33</v>
      </c>
      <c r="C17" s="14">
        <v>11</v>
      </c>
      <c r="D17" s="14">
        <v>10</v>
      </c>
      <c r="E17" s="14">
        <v>6</v>
      </c>
      <c r="F17" s="14">
        <v>6</v>
      </c>
      <c r="H17" s="13" t="s">
        <v>34</v>
      </c>
      <c r="I17" s="14">
        <v>11</v>
      </c>
      <c r="J17" s="14">
        <v>2</v>
      </c>
      <c r="K17" s="14">
        <v>3</v>
      </c>
      <c r="L17" s="14">
        <v>4</v>
      </c>
      <c r="M17" s="14">
        <v>2</v>
      </c>
      <c r="O17" s="13" t="s">
        <v>34</v>
      </c>
      <c r="P17" s="14">
        <v>636</v>
      </c>
      <c r="Q17" s="14">
        <v>182</v>
      </c>
      <c r="R17" s="14">
        <v>208</v>
      </c>
      <c r="S17" s="14">
        <v>201</v>
      </c>
      <c r="T17" s="14">
        <v>45</v>
      </c>
    </row>
    <row r="18" spans="1:20" x14ac:dyDescent="0.3">
      <c r="A18" s="15" t="s">
        <v>35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H18" s="15" t="s">
        <v>35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O18" s="15" t="s">
        <v>35</v>
      </c>
      <c r="P18" s="16">
        <v>14</v>
      </c>
      <c r="Q18" s="16">
        <v>0</v>
      </c>
      <c r="R18" s="16">
        <v>0</v>
      </c>
      <c r="S18" s="16">
        <v>14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13</v>
      </c>
      <c r="Q19" s="112">
        <v>0</v>
      </c>
      <c r="R19" s="112">
        <v>0</v>
      </c>
      <c r="S19" s="112">
        <v>13</v>
      </c>
      <c r="T19" s="112">
        <v>0</v>
      </c>
    </row>
    <row r="20" spans="1:20" x14ac:dyDescent="0.3">
      <c r="A20" s="17" t="s">
        <v>37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H20" s="17" t="s">
        <v>37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O20" s="17" t="s">
        <v>37</v>
      </c>
      <c r="P20" s="112">
        <v>1</v>
      </c>
      <c r="Q20" s="112">
        <v>0</v>
      </c>
      <c r="R20" s="112">
        <v>0</v>
      </c>
      <c r="S20" s="112">
        <v>1</v>
      </c>
      <c r="T20" s="112">
        <v>0</v>
      </c>
    </row>
    <row r="21" spans="1:20" x14ac:dyDescent="0.3">
      <c r="A21" s="17" t="s">
        <v>38</v>
      </c>
      <c r="B21" s="167" t="s">
        <v>67</v>
      </c>
      <c r="C21" s="168"/>
      <c r="D21" s="168"/>
      <c r="E21" s="168"/>
      <c r="F21" s="168"/>
      <c r="H21" s="17" t="s">
        <v>38</v>
      </c>
      <c r="I21" s="167" t="s">
        <v>1141</v>
      </c>
      <c r="J21" s="168"/>
      <c r="K21" s="168"/>
      <c r="L21" s="168"/>
      <c r="M21" s="168"/>
      <c r="O21" s="17" t="s">
        <v>38</v>
      </c>
      <c r="P21" s="167" t="s">
        <v>1506</v>
      </c>
      <c r="Q21" s="168"/>
      <c r="R21" s="168"/>
      <c r="S21" s="168"/>
      <c r="T21" s="168"/>
    </row>
    <row r="22" spans="1:20" ht="19.8" x14ac:dyDescent="0.3">
      <c r="A22" s="170">
        <v>46084</v>
      </c>
      <c r="B22" s="168"/>
      <c r="C22" s="168"/>
      <c r="D22" s="168"/>
      <c r="E22" s="168"/>
      <c r="F22" s="168"/>
      <c r="H22" s="170">
        <v>46114</v>
      </c>
      <c r="I22" s="168"/>
      <c r="J22" s="168"/>
      <c r="K22" s="168"/>
      <c r="L22" s="168"/>
      <c r="M22" s="168"/>
      <c r="O22" s="169" t="s">
        <v>1180</v>
      </c>
      <c r="P22" s="168"/>
      <c r="Q22" s="168"/>
      <c r="R22" s="168"/>
      <c r="S22" s="168"/>
      <c r="T22" s="168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3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1800</v>
      </c>
      <c r="R23" s="1" t="s">
        <v>3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5803</v>
      </c>
      <c r="C24" s="3">
        <v>1691</v>
      </c>
      <c r="D24" s="3">
        <v>1602</v>
      </c>
      <c r="E24" s="3">
        <v>1368</v>
      </c>
      <c r="F24" s="3">
        <v>1142</v>
      </c>
      <c r="H24" s="2" t="s">
        <v>5</v>
      </c>
      <c r="I24" s="3">
        <v>4605</v>
      </c>
      <c r="J24" s="3">
        <v>1393</v>
      </c>
      <c r="K24" s="3">
        <v>1113</v>
      </c>
      <c r="L24" s="3">
        <v>1035</v>
      </c>
      <c r="M24" s="3">
        <v>1064</v>
      </c>
      <c r="O24" s="2" t="s">
        <v>5</v>
      </c>
      <c r="P24" s="3">
        <v>3986</v>
      </c>
      <c r="Q24" s="3">
        <v>1228</v>
      </c>
      <c r="R24" s="3">
        <v>920</v>
      </c>
      <c r="S24" s="3">
        <v>886</v>
      </c>
      <c r="T24" s="3">
        <v>952</v>
      </c>
    </row>
    <row r="25" spans="1:20" x14ac:dyDescent="0.3">
      <c r="A25" s="2" t="s">
        <v>6</v>
      </c>
      <c r="B25" s="3">
        <v>436</v>
      </c>
      <c r="C25" s="4">
        <v>62</v>
      </c>
      <c r="D25" s="3">
        <v>34</v>
      </c>
      <c r="E25" s="5">
        <v>241</v>
      </c>
      <c r="F25" s="6">
        <v>99</v>
      </c>
      <c r="H25" s="2" t="s">
        <v>6</v>
      </c>
      <c r="I25" s="3">
        <v>554</v>
      </c>
      <c r="J25" s="6">
        <v>185</v>
      </c>
      <c r="K25" s="5">
        <v>203</v>
      </c>
      <c r="L25" s="4">
        <v>83</v>
      </c>
      <c r="M25" s="4">
        <v>83</v>
      </c>
      <c r="O25" s="2" t="s">
        <v>6</v>
      </c>
      <c r="P25" s="3">
        <v>95</v>
      </c>
      <c r="Q25" s="6">
        <v>29</v>
      </c>
      <c r="R25" s="5">
        <v>39</v>
      </c>
      <c r="S25" s="3">
        <v>0</v>
      </c>
      <c r="T25" s="4">
        <v>27</v>
      </c>
    </row>
    <row r="26" spans="1:20" x14ac:dyDescent="0.3">
      <c r="A26" s="2" t="s">
        <v>7</v>
      </c>
      <c r="B26" s="3" t="s">
        <v>124</v>
      </c>
      <c r="C26" s="4" t="s">
        <v>125</v>
      </c>
      <c r="D26" s="3" t="s">
        <v>126</v>
      </c>
      <c r="E26" s="5" t="s">
        <v>127</v>
      </c>
      <c r="F26" s="6" t="s">
        <v>128</v>
      </c>
      <c r="H26" s="2" t="s">
        <v>7</v>
      </c>
      <c r="I26" s="3" t="s">
        <v>1232</v>
      </c>
      <c r="J26" s="6" t="s">
        <v>1233</v>
      </c>
      <c r="K26" s="5" t="s">
        <v>497</v>
      </c>
      <c r="L26" s="4" t="s">
        <v>382</v>
      </c>
      <c r="M26" s="3" t="s">
        <v>1138</v>
      </c>
      <c r="O26" s="2" t="s">
        <v>7</v>
      </c>
      <c r="P26" s="3" t="s">
        <v>971</v>
      </c>
      <c r="Q26" s="4" t="s">
        <v>471</v>
      </c>
      <c r="R26" s="5" t="s">
        <v>963</v>
      </c>
      <c r="S26" s="3" t="s">
        <v>25</v>
      </c>
      <c r="T26" s="6" t="s">
        <v>1235</v>
      </c>
    </row>
    <row r="27" spans="1:20" x14ac:dyDescent="0.3">
      <c r="A27" s="2" t="s">
        <v>12</v>
      </c>
      <c r="B27" s="3" t="s">
        <v>129</v>
      </c>
      <c r="C27" s="4" t="s">
        <v>130</v>
      </c>
      <c r="D27" s="3" t="s">
        <v>131</v>
      </c>
      <c r="E27" s="5" t="s">
        <v>132</v>
      </c>
      <c r="F27" s="6" t="s">
        <v>133</v>
      </c>
      <c r="H27" s="2" t="s">
        <v>12</v>
      </c>
      <c r="I27" s="3" t="s">
        <v>242</v>
      </c>
      <c r="J27" s="5" t="s">
        <v>1234</v>
      </c>
      <c r="K27" s="4" t="s">
        <v>1229</v>
      </c>
      <c r="L27" s="6" t="s">
        <v>726</v>
      </c>
      <c r="M27" s="3" t="s">
        <v>303</v>
      </c>
      <c r="O27" s="2" t="s">
        <v>12</v>
      </c>
      <c r="P27" s="3" t="s">
        <v>971</v>
      </c>
      <c r="Q27" s="4" t="s">
        <v>471</v>
      </c>
      <c r="R27" s="5" t="s">
        <v>963</v>
      </c>
      <c r="S27" s="3" t="s">
        <v>25</v>
      </c>
      <c r="T27" s="6" t="s">
        <v>1235</v>
      </c>
    </row>
    <row r="28" spans="1:20" x14ac:dyDescent="0.3">
      <c r="A28" s="2" t="s">
        <v>17</v>
      </c>
      <c r="B28" s="3" t="s">
        <v>134</v>
      </c>
      <c r="C28" s="6" t="s">
        <v>135</v>
      </c>
      <c r="D28" s="3" t="s">
        <v>136</v>
      </c>
      <c r="E28" s="5" t="s">
        <v>137</v>
      </c>
      <c r="F28" s="4" t="s">
        <v>135</v>
      </c>
      <c r="H28" s="2" t="s">
        <v>17</v>
      </c>
      <c r="I28" s="3" t="s">
        <v>1235</v>
      </c>
      <c r="J28" s="6" t="s">
        <v>389</v>
      </c>
      <c r="K28" s="5" t="s">
        <v>682</v>
      </c>
      <c r="L28" s="3" t="s">
        <v>405</v>
      </c>
      <c r="M28" s="4" t="s">
        <v>648</v>
      </c>
      <c r="O28" s="2" t="s">
        <v>17</v>
      </c>
      <c r="P28" s="3" t="s">
        <v>99</v>
      </c>
      <c r="Q28" s="6" t="s">
        <v>347</v>
      </c>
      <c r="R28" s="4" t="s">
        <v>49</v>
      </c>
      <c r="S28" s="5" t="s">
        <v>100</v>
      </c>
      <c r="T28" s="3" t="s">
        <v>49</v>
      </c>
    </row>
    <row r="29" spans="1:20" x14ac:dyDescent="0.3">
      <c r="A29" s="2" t="s">
        <v>22</v>
      </c>
      <c r="B29" s="3" t="s">
        <v>84</v>
      </c>
      <c r="C29" s="5" t="s">
        <v>109</v>
      </c>
      <c r="D29" s="3" t="s">
        <v>25</v>
      </c>
      <c r="E29" s="4" t="s">
        <v>138</v>
      </c>
      <c r="F29" s="6" t="s">
        <v>84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421</v>
      </c>
      <c r="C30" s="8">
        <v>57</v>
      </c>
      <c r="D30" s="8">
        <v>31</v>
      </c>
      <c r="E30" s="8">
        <v>238</v>
      </c>
      <c r="F30" s="8">
        <v>95</v>
      </c>
      <c r="H30" s="7" t="s">
        <v>26</v>
      </c>
      <c r="I30" s="8">
        <v>392</v>
      </c>
      <c r="J30" s="8">
        <v>158</v>
      </c>
      <c r="K30" s="8">
        <v>88</v>
      </c>
      <c r="L30" s="8">
        <v>82</v>
      </c>
      <c r="M30" s="8">
        <v>64</v>
      </c>
      <c r="O30" s="7" t="s">
        <v>26</v>
      </c>
      <c r="P30" s="8">
        <v>95</v>
      </c>
      <c r="Q30" s="8">
        <v>29</v>
      </c>
      <c r="R30" s="8">
        <v>39</v>
      </c>
      <c r="S30" s="8">
        <v>0</v>
      </c>
      <c r="T30" s="8">
        <v>27</v>
      </c>
    </row>
    <row r="31" spans="1:20" x14ac:dyDescent="0.3">
      <c r="A31" s="9" t="s">
        <v>27</v>
      </c>
      <c r="B31" s="10">
        <v>46</v>
      </c>
      <c r="C31" s="10">
        <v>11</v>
      </c>
      <c r="D31" s="10">
        <v>23</v>
      </c>
      <c r="E31" s="10">
        <v>1</v>
      </c>
      <c r="F31" s="10">
        <v>11</v>
      </c>
      <c r="H31" s="9" t="s">
        <v>27</v>
      </c>
      <c r="I31" s="10">
        <v>18</v>
      </c>
      <c r="J31" s="10">
        <v>5</v>
      </c>
      <c r="K31" s="10">
        <v>4</v>
      </c>
      <c r="L31" s="10">
        <v>2</v>
      </c>
      <c r="M31" s="10">
        <v>7</v>
      </c>
      <c r="O31" s="9" t="s">
        <v>27</v>
      </c>
      <c r="P31" s="10">
        <v>31</v>
      </c>
      <c r="Q31" s="10">
        <v>6</v>
      </c>
      <c r="R31" s="10">
        <v>13</v>
      </c>
      <c r="S31" s="10">
        <v>0</v>
      </c>
      <c r="T31" s="10">
        <v>12</v>
      </c>
    </row>
    <row r="32" spans="1:20" x14ac:dyDescent="0.3">
      <c r="A32" s="9" t="s">
        <v>28</v>
      </c>
      <c r="B32" s="10">
        <v>1</v>
      </c>
      <c r="C32" s="10">
        <v>1</v>
      </c>
      <c r="D32" s="10">
        <v>0</v>
      </c>
      <c r="E32" s="10">
        <v>0</v>
      </c>
      <c r="F32" s="10">
        <v>0</v>
      </c>
      <c r="H32" s="9" t="s">
        <v>28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O32" s="9" t="s">
        <v>28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3">
      <c r="A33" s="9" t="s">
        <v>29</v>
      </c>
      <c r="B33" s="10">
        <v>344</v>
      </c>
      <c r="C33" s="10">
        <v>23</v>
      </c>
      <c r="D33" s="10">
        <v>2</v>
      </c>
      <c r="E33" s="10">
        <v>237</v>
      </c>
      <c r="F33" s="10">
        <v>82</v>
      </c>
      <c r="H33" s="9" t="s">
        <v>29</v>
      </c>
      <c r="I33" s="10">
        <v>361</v>
      </c>
      <c r="J33" s="10">
        <v>146</v>
      </c>
      <c r="K33" s="10">
        <v>82</v>
      </c>
      <c r="L33" s="10">
        <v>80</v>
      </c>
      <c r="M33" s="10">
        <v>53</v>
      </c>
      <c r="O33" s="9" t="s">
        <v>29</v>
      </c>
      <c r="P33" s="10">
        <v>57</v>
      </c>
      <c r="Q33" s="10">
        <v>21</v>
      </c>
      <c r="R33" s="10">
        <v>23</v>
      </c>
      <c r="S33" s="10">
        <v>0</v>
      </c>
      <c r="T33" s="10">
        <v>13</v>
      </c>
    </row>
    <row r="34" spans="1:20" x14ac:dyDescent="0.3">
      <c r="A34" s="9" t="s">
        <v>30</v>
      </c>
      <c r="B34" s="10">
        <v>30</v>
      </c>
      <c r="C34" s="10">
        <v>22</v>
      </c>
      <c r="D34" s="10">
        <v>6</v>
      </c>
      <c r="E34" s="10">
        <v>0</v>
      </c>
      <c r="F34" s="10">
        <v>2</v>
      </c>
      <c r="H34" s="9" t="s">
        <v>30</v>
      </c>
      <c r="I34" s="10">
        <v>13</v>
      </c>
      <c r="J34" s="10">
        <v>7</v>
      </c>
      <c r="K34" s="10">
        <v>2</v>
      </c>
      <c r="L34" s="10">
        <v>0</v>
      </c>
      <c r="M34" s="10">
        <v>4</v>
      </c>
      <c r="O34" s="9" t="s">
        <v>30</v>
      </c>
      <c r="P34" s="10">
        <v>7</v>
      </c>
      <c r="Q34" s="10">
        <v>2</v>
      </c>
      <c r="R34" s="10">
        <v>3</v>
      </c>
      <c r="S34" s="10">
        <v>0</v>
      </c>
      <c r="T34" s="10">
        <v>2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21</v>
      </c>
      <c r="C36" s="12">
        <v>6</v>
      </c>
      <c r="D36" s="12">
        <v>3</v>
      </c>
      <c r="E36" s="12">
        <v>8</v>
      </c>
      <c r="F36" s="12">
        <v>4</v>
      </c>
      <c r="H36" s="11" t="s">
        <v>32</v>
      </c>
      <c r="I36" s="12">
        <v>131</v>
      </c>
      <c r="J36" s="12">
        <v>26</v>
      </c>
      <c r="K36" s="12">
        <v>76</v>
      </c>
      <c r="L36" s="12">
        <v>11</v>
      </c>
      <c r="M36" s="12">
        <v>18</v>
      </c>
      <c r="O36" s="11" t="s">
        <v>32</v>
      </c>
      <c r="P36" s="12">
        <v>8</v>
      </c>
      <c r="Q36" s="12">
        <v>3</v>
      </c>
      <c r="R36" s="12">
        <v>1</v>
      </c>
      <c r="S36" s="12">
        <v>3</v>
      </c>
      <c r="T36" s="12">
        <v>1</v>
      </c>
    </row>
    <row r="37" spans="1:20" x14ac:dyDescent="0.3">
      <c r="A37" s="13" t="s">
        <v>33</v>
      </c>
      <c r="B37" s="14">
        <v>3</v>
      </c>
      <c r="C37" s="14">
        <v>0</v>
      </c>
      <c r="D37" s="14">
        <v>1</v>
      </c>
      <c r="E37" s="14">
        <v>0</v>
      </c>
      <c r="F37" s="14">
        <v>2</v>
      </c>
      <c r="H37" s="13" t="s">
        <v>33</v>
      </c>
      <c r="I37" s="14">
        <v>66</v>
      </c>
      <c r="J37" s="14">
        <v>1</v>
      </c>
      <c r="K37" s="14">
        <v>64</v>
      </c>
      <c r="L37" s="14">
        <v>0</v>
      </c>
      <c r="M37" s="14">
        <v>1</v>
      </c>
      <c r="O37" s="13" t="s">
        <v>33</v>
      </c>
      <c r="P37" s="14">
        <v>1</v>
      </c>
      <c r="Q37" s="14">
        <v>1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18</v>
      </c>
      <c r="C38" s="14">
        <v>6</v>
      </c>
      <c r="D38" s="14">
        <v>2</v>
      </c>
      <c r="E38" s="14">
        <v>8</v>
      </c>
      <c r="F38" s="14">
        <v>2</v>
      </c>
      <c r="H38" s="13" t="s">
        <v>34</v>
      </c>
      <c r="I38" s="14">
        <v>65</v>
      </c>
      <c r="J38" s="14">
        <v>25</v>
      </c>
      <c r="K38" s="14">
        <v>12</v>
      </c>
      <c r="L38" s="14">
        <v>11</v>
      </c>
      <c r="M38" s="14">
        <v>17</v>
      </c>
      <c r="O38" s="13" t="s">
        <v>34</v>
      </c>
      <c r="P38" s="14">
        <v>7</v>
      </c>
      <c r="Q38" s="14">
        <v>2</v>
      </c>
      <c r="R38" s="14">
        <v>1</v>
      </c>
      <c r="S38" s="14">
        <v>3</v>
      </c>
      <c r="T38" s="14">
        <v>1</v>
      </c>
    </row>
    <row r="39" spans="1:20" x14ac:dyDescent="0.3">
      <c r="A39" s="15" t="s">
        <v>35</v>
      </c>
      <c r="B39" s="16">
        <v>5</v>
      </c>
      <c r="C39" s="16">
        <v>3</v>
      </c>
      <c r="D39" s="16">
        <v>0</v>
      </c>
      <c r="E39" s="16">
        <v>1</v>
      </c>
      <c r="F39" s="16">
        <v>1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5</v>
      </c>
      <c r="C40" s="18">
        <v>3</v>
      </c>
      <c r="D40" s="18">
        <v>0</v>
      </c>
      <c r="E40" s="18">
        <v>1</v>
      </c>
      <c r="F40" s="18">
        <v>1</v>
      </c>
      <c r="H40" s="17" t="s">
        <v>36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67" t="s">
        <v>67</v>
      </c>
      <c r="C42" s="168"/>
      <c r="D42" s="168"/>
      <c r="E42" s="168"/>
      <c r="F42" s="168"/>
      <c r="H42" s="17" t="s">
        <v>38</v>
      </c>
      <c r="I42" s="167" t="s">
        <v>1236</v>
      </c>
      <c r="J42" s="168"/>
      <c r="K42" s="168"/>
      <c r="L42" s="168"/>
      <c r="M42" s="168"/>
      <c r="O42" s="17" t="s">
        <v>38</v>
      </c>
      <c r="P42" s="167" t="s">
        <v>926</v>
      </c>
      <c r="Q42" s="168"/>
      <c r="R42" s="168"/>
      <c r="S42" s="168"/>
      <c r="T42" s="168"/>
    </row>
    <row r="43" spans="1:20" ht="19.8" x14ac:dyDescent="0.3">
      <c r="A43" s="170">
        <v>46085</v>
      </c>
      <c r="B43" s="168"/>
      <c r="C43" s="168"/>
      <c r="D43" s="168"/>
      <c r="E43" s="168"/>
      <c r="F43" s="168"/>
      <c r="H43" s="170">
        <v>46115</v>
      </c>
      <c r="I43" s="168"/>
      <c r="J43" s="168"/>
      <c r="K43" s="168"/>
      <c r="L43" s="168"/>
      <c r="M43" s="168"/>
      <c r="O43" s="170">
        <v>46147</v>
      </c>
      <c r="P43" s="168"/>
      <c r="Q43" s="168"/>
      <c r="R43" s="168"/>
      <c r="S43" s="168"/>
      <c r="T43" s="168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3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1800</v>
      </c>
      <c r="R44" s="1" t="s">
        <v>3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5987</v>
      </c>
      <c r="C45" s="3">
        <v>1618</v>
      </c>
      <c r="D45" s="3">
        <v>1649</v>
      </c>
      <c r="E45" s="3">
        <v>1450</v>
      </c>
      <c r="F45" s="3">
        <v>1270</v>
      </c>
      <c r="H45" s="2" t="s">
        <v>5</v>
      </c>
      <c r="I45" s="3">
        <v>5878</v>
      </c>
      <c r="J45" s="3">
        <v>1811</v>
      </c>
      <c r="K45" s="3">
        <v>1459</v>
      </c>
      <c r="L45" s="3">
        <v>1245</v>
      </c>
      <c r="M45" s="3">
        <v>1363</v>
      </c>
      <c r="O45" s="2" t="s">
        <v>5</v>
      </c>
      <c r="P45" s="3">
        <v>6379</v>
      </c>
      <c r="Q45" s="3">
        <v>1914</v>
      </c>
      <c r="R45" s="3">
        <v>1530</v>
      </c>
      <c r="S45" s="3">
        <v>1420</v>
      </c>
      <c r="T45" s="3">
        <v>1515</v>
      </c>
    </row>
    <row r="46" spans="1:20" x14ac:dyDescent="0.3">
      <c r="A46" s="2" t="s">
        <v>6</v>
      </c>
      <c r="B46" s="3">
        <v>453</v>
      </c>
      <c r="C46" s="3">
        <v>61</v>
      </c>
      <c r="D46" s="4">
        <v>73</v>
      </c>
      <c r="E46" s="6">
        <v>145</v>
      </c>
      <c r="F46" s="5">
        <v>174</v>
      </c>
      <c r="H46" s="2" t="s">
        <v>6</v>
      </c>
      <c r="I46" s="3">
        <v>916</v>
      </c>
      <c r="J46" s="5">
        <v>364</v>
      </c>
      <c r="K46" s="6">
        <v>234</v>
      </c>
      <c r="L46" s="3">
        <v>101</v>
      </c>
      <c r="M46" s="4">
        <v>217</v>
      </c>
      <c r="O46" s="2" t="s">
        <v>6</v>
      </c>
      <c r="P46" s="3">
        <v>321</v>
      </c>
      <c r="Q46" s="6">
        <v>104</v>
      </c>
      <c r="R46" s="5">
        <v>115</v>
      </c>
      <c r="S46" s="3">
        <v>2</v>
      </c>
      <c r="T46" s="4">
        <v>100</v>
      </c>
    </row>
    <row r="47" spans="1:20" x14ac:dyDescent="0.3">
      <c r="A47" s="2" t="s">
        <v>7</v>
      </c>
      <c r="B47" s="3" t="s">
        <v>189</v>
      </c>
      <c r="C47" s="3" t="s">
        <v>190</v>
      </c>
      <c r="D47" s="4" t="s">
        <v>191</v>
      </c>
      <c r="E47" s="6" t="s">
        <v>192</v>
      </c>
      <c r="F47" s="5" t="s">
        <v>193</v>
      </c>
      <c r="H47" s="2" t="s">
        <v>7</v>
      </c>
      <c r="I47" s="3" t="s">
        <v>1256</v>
      </c>
      <c r="J47" s="5" t="s">
        <v>1257</v>
      </c>
      <c r="K47" s="6" t="s">
        <v>1120</v>
      </c>
      <c r="L47" s="3" t="s">
        <v>893</v>
      </c>
      <c r="M47" s="4" t="s">
        <v>1258</v>
      </c>
      <c r="O47" s="2" t="s">
        <v>7</v>
      </c>
      <c r="P47" s="3" t="s">
        <v>921</v>
      </c>
      <c r="Q47" s="4" t="s">
        <v>740</v>
      </c>
      <c r="R47" s="5" t="s">
        <v>757</v>
      </c>
      <c r="S47" s="3" t="s">
        <v>310</v>
      </c>
      <c r="T47" s="6" t="s">
        <v>1038</v>
      </c>
    </row>
    <row r="48" spans="1:20" x14ac:dyDescent="0.3">
      <c r="A48" s="2" t="s">
        <v>12</v>
      </c>
      <c r="B48" s="3" t="s">
        <v>194</v>
      </c>
      <c r="C48" s="4" t="s">
        <v>195</v>
      </c>
      <c r="D48" s="3" t="s">
        <v>196</v>
      </c>
      <c r="E48" s="6" t="s">
        <v>197</v>
      </c>
      <c r="F48" s="5" t="s">
        <v>198</v>
      </c>
      <c r="H48" s="2" t="s">
        <v>12</v>
      </c>
      <c r="I48" s="3" t="s">
        <v>1259</v>
      </c>
      <c r="J48" s="5" t="s">
        <v>1260</v>
      </c>
      <c r="K48" s="6" t="s">
        <v>1261</v>
      </c>
      <c r="L48" s="3" t="s">
        <v>1262</v>
      </c>
      <c r="M48" s="4" t="s">
        <v>1037</v>
      </c>
      <c r="O48" s="2" t="s">
        <v>12</v>
      </c>
      <c r="P48" s="3" t="s">
        <v>1636</v>
      </c>
      <c r="Q48" s="4" t="s">
        <v>693</v>
      </c>
      <c r="R48" s="5" t="s">
        <v>1227</v>
      </c>
      <c r="S48" s="3" t="s">
        <v>138</v>
      </c>
      <c r="T48" s="6" t="s">
        <v>375</v>
      </c>
    </row>
    <row r="49" spans="1:20" x14ac:dyDescent="0.3">
      <c r="A49" s="2" t="s">
        <v>17</v>
      </c>
      <c r="B49" s="3" t="s">
        <v>199</v>
      </c>
      <c r="C49" s="3" t="s">
        <v>200</v>
      </c>
      <c r="D49" s="4" t="s">
        <v>59</v>
      </c>
      <c r="E49" s="6" t="s">
        <v>201</v>
      </c>
      <c r="F49" s="5" t="s">
        <v>202</v>
      </c>
      <c r="H49" s="2" t="s">
        <v>17</v>
      </c>
      <c r="I49" s="3" t="s">
        <v>511</v>
      </c>
      <c r="J49" s="4" t="s">
        <v>1073</v>
      </c>
      <c r="K49" s="3" t="s">
        <v>155</v>
      </c>
      <c r="L49" s="6" t="s">
        <v>1178</v>
      </c>
      <c r="M49" s="5" t="s">
        <v>1178</v>
      </c>
      <c r="O49" s="2" t="s">
        <v>17</v>
      </c>
      <c r="P49" s="3" t="s">
        <v>347</v>
      </c>
      <c r="Q49" s="5" t="s">
        <v>74</v>
      </c>
      <c r="R49" s="3" t="s">
        <v>99</v>
      </c>
      <c r="S49" s="6" t="s">
        <v>77</v>
      </c>
      <c r="T49" s="4" t="s">
        <v>99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267</v>
      </c>
      <c r="J50" s="3" t="s">
        <v>25</v>
      </c>
      <c r="K50" s="3" t="s">
        <v>25</v>
      </c>
      <c r="L50" s="5" t="s">
        <v>309</v>
      </c>
      <c r="M50" s="3" t="s">
        <v>25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336</v>
      </c>
      <c r="C51" s="8">
        <v>59</v>
      </c>
      <c r="D51" s="8">
        <v>33</v>
      </c>
      <c r="E51" s="8">
        <v>110</v>
      </c>
      <c r="F51" s="8">
        <v>134</v>
      </c>
      <c r="H51" s="7" t="s">
        <v>26</v>
      </c>
      <c r="I51" s="8">
        <v>791</v>
      </c>
      <c r="J51" s="8">
        <v>328</v>
      </c>
      <c r="K51" s="8">
        <v>210</v>
      </c>
      <c r="L51" s="8">
        <v>70</v>
      </c>
      <c r="M51" s="8">
        <v>183</v>
      </c>
      <c r="O51" s="7" t="s">
        <v>26</v>
      </c>
      <c r="P51" s="8">
        <v>316</v>
      </c>
      <c r="Q51" s="8">
        <v>102</v>
      </c>
      <c r="R51" s="8">
        <v>114</v>
      </c>
      <c r="S51" s="8">
        <v>1</v>
      </c>
      <c r="T51" s="8">
        <v>99</v>
      </c>
    </row>
    <row r="52" spans="1:20" x14ac:dyDescent="0.3">
      <c r="A52" s="9" t="s">
        <v>27</v>
      </c>
      <c r="B52" s="10">
        <v>32</v>
      </c>
      <c r="C52" s="10">
        <v>9</v>
      </c>
      <c r="D52" s="10">
        <v>16</v>
      </c>
      <c r="E52" s="10">
        <v>1</v>
      </c>
      <c r="F52" s="10">
        <v>6</v>
      </c>
      <c r="H52" s="9" t="s">
        <v>27</v>
      </c>
      <c r="I52" s="10">
        <v>105</v>
      </c>
      <c r="J52" s="10">
        <v>32</v>
      </c>
      <c r="K52" s="10">
        <v>34</v>
      </c>
      <c r="L52" s="10">
        <v>10</v>
      </c>
      <c r="M52" s="10">
        <v>29</v>
      </c>
      <c r="O52" s="9" t="s">
        <v>27</v>
      </c>
      <c r="P52" s="10">
        <v>82</v>
      </c>
      <c r="Q52" s="10">
        <v>30</v>
      </c>
      <c r="R52" s="10">
        <v>31</v>
      </c>
      <c r="S52" s="10">
        <v>0</v>
      </c>
      <c r="T52" s="10">
        <v>21</v>
      </c>
    </row>
    <row r="53" spans="1:20" x14ac:dyDescent="0.3">
      <c r="A53" s="9" t="s">
        <v>28</v>
      </c>
      <c r="B53" s="10">
        <v>4</v>
      </c>
      <c r="C53" s="10">
        <v>4</v>
      </c>
      <c r="D53" s="10">
        <v>0</v>
      </c>
      <c r="E53" s="10">
        <v>0</v>
      </c>
      <c r="F53" s="10">
        <v>0</v>
      </c>
      <c r="H53" s="9" t="s">
        <v>28</v>
      </c>
      <c r="I53" s="10">
        <v>16</v>
      </c>
      <c r="J53" s="10">
        <v>5</v>
      </c>
      <c r="K53" s="10">
        <v>5</v>
      </c>
      <c r="L53" s="10">
        <v>0</v>
      </c>
      <c r="M53" s="10">
        <v>6</v>
      </c>
      <c r="O53" s="9" t="s">
        <v>28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3">
      <c r="A54" s="9" t="s">
        <v>29</v>
      </c>
      <c r="B54" s="10">
        <v>281</v>
      </c>
      <c r="C54" s="10">
        <v>30</v>
      </c>
      <c r="D54" s="10">
        <v>16</v>
      </c>
      <c r="E54" s="10">
        <v>109</v>
      </c>
      <c r="F54" s="10">
        <v>126</v>
      </c>
      <c r="H54" s="9" t="s">
        <v>29</v>
      </c>
      <c r="I54" s="10">
        <v>515</v>
      </c>
      <c r="J54" s="10">
        <v>224</v>
      </c>
      <c r="K54" s="10">
        <v>124</v>
      </c>
      <c r="L54" s="10">
        <v>58</v>
      </c>
      <c r="M54" s="10">
        <v>109</v>
      </c>
      <c r="O54" s="9" t="s">
        <v>29</v>
      </c>
      <c r="P54" s="10">
        <v>228</v>
      </c>
      <c r="Q54" s="10">
        <v>69</v>
      </c>
      <c r="R54" s="10">
        <v>83</v>
      </c>
      <c r="S54" s="10">
        <v>1</v>
      </c>
      <c r="T54" s="10">
        <v>75</v>
      </c>
    </row>
    <row r="55" spans="1:20" x14ac:dyDescent="0.3">
      <c r="A55" s="9" t="s">
        <v>30</v>
      </c>
      <c r="B55" s="10">
        <v>19</v>
      </c>
      <c r="C55" s="10">
        <v>16</v>
      </c>
      <c r="D55" s="10">
        <v>1</v>
      </c>
      <c r="E55" s="10">
        <v>0</v>
      </c>
      <c r="F55" s="10">
        <v>2</v>
      </c>
      <c r="H55" s="9" t="s">
        <v>30</v>
      </c>
      <c r="I55" s="10">
        <v>155</v>
      </c>
      <c r="J55" s="10">
        <v>67</v>
      </c>
      <c r="K55" s="10">
        <v>47</v>
      </c>
      <c r="L55" s="10">
        <v>2</v>
      </c>
      <c r="M55" s="10">
        <v>39</v>
      </c>
      <c r="O55" s="9" t="s">
        <v>30</v>
      </c>
      <c r="P55" s="10">
        <v>6</v>
      </c>
      <c r="Q55" s="10">
        <v>3</v>
      </c>
      <c r="R55" s="10">
        <v>0</v>
      </c>
      <c r="S55" s="10">
        <v>0</v>
      </c>
      <c r="T55" s="10">
        <v>3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106</v>
      </c>
      <c r="C57" s="12">
        <v>6</v>
      </c>
      <c r="D57" s="12">
        <v>36</v>
      </c>
      <c r="E57" s="12">
        <v>33</v>
      </c>
      <c r="F57" s="12">
        <v>31</v>
      </c>
      <c r="H57" s="11" t="s">
        <v>32</v>
      </c>
      <c r="I57" s="12">
        <v>123</v>
      </c>
      <c r="J57" s="12">
        <v>36</v>
      </c>
      <c r="K57" s="12">
        <v>22</v>
      </c>
      <c r="L57" s="12">
        <v>31</v>
      </c>
      <c r="M57" s="12">
        <v>34</v>
      </c>
      <c r="O57" s="11" t="s">
        <v>32</v>
      </c>
      <c r="P57" s="12">
        <v>15</v>
      </c>
      <c r="Q57" s="12">
        <v>6</v>
      </c>
      <c r="R57" s="12">
        <v>3</v>
      </c>
      <c r="S57" s="12">
        <v>3</v>
      </c>
      <c r="T57" s="12">
        <v>3</v>
      </c>
    </row>
    <row r="58" spans="1:20" x14ac:dyDescent="0.3">
      <c r="A58" s="13" t="s">
        <v>33</v>
      </c>
      <c r="B58" s="14">
        <v>82</v>
      </c>
      <c r="C58" s="14">
        <v>2</v>
      </c>
      <c r="D58" s="14">
        <v>26</v>
      </c>
      <c r="E58" s="14">
        <v>30</v>
      </c>
      <c r="F58" s="14">
        <v>24</v>
      </c>
      <c r="H58" s="13" t="s">
        <v>33</v>
      </c>
      <c r="I58" s="14">
        <v>3</v>
      </c>
      <c r="J58" s="14">
        <v>0</v>
      </c>
      <c r="K58" s="14">
        <v>3</v>
      </c>
      <c r="L58" s="14">
        <v>0</v>
      </c>
      <c r="M58" s="14">
        <v>0</v>
      </c>
      <c r="O58" s="13" t="s">
        <v>33</v>
      </c>
      <c r="P58" s="14">
        <v>3</v>
      </c>
      <c r="Q58" s="14">
        <v>1</v>
      </c>
      <c r="R58" s="14">
        <v>1</v>
      </c>
      <c r="S58" s="14">
        <v>0</v>
      </c>
      <c r="T58" s="14">
        <v>1</v>
      </c>
    </row>
    <row r="59" spans="1:20" x14ac:dyDescent="0.3">
      <c r="A59" s="13" t="s">
        <v>34</v>
      </c>
      <c r="B59" s="14">
        <v>24</v>
      </c>
      <c r="C59" s="14">
        <v>4</v>
      </c>
      <c r="D59" s="14">
        <v>10</v>
      </c>
      <c r="E59" s="14">
        <v>3</v>
      </c>
      <c r="F59" s="14">
        <v>7</v>
      </c>
      <c r="H59" s="13" t="s">
        <v>34</v>
      </c>
      <c r="I59" s="14">
        <v>120</v>
      </c>
      <c r="J59" s="14">
        <v>36</v>
      </c>
      <c r="K59" s="14">
        <v>19</v>
      </c>
      <c r="L59" s="14">
        <v>31</v>
      </c>
      <c r="M59" s="14">
        <v>34</v>
      </c>
      <c r="O59" s="13" t="s">
        <v>34</v>
      </c>
      <c r="P59" s="14">
        <v>12</v>
      </c>
      <c r="Q59" s="14">
        <v>5</v>
      </c>
      <c r="R59" s="14">
        <v>2</v>
      </c>
      <c r="S59" s="14">
        <v>3</v>
      </c>
      <c r="T59" s="14">
        <v>2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1</v>
      </c>
      <c r="J60" s="16">
        <v>0</v>
      </c>
      <c r="K60" s="16">
        <v>0</v>
      </c>
      <c r="L60" s="16">
        <v>1</v>
      </c>
      <c r="M60" s="16">
        <v>0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1</v>
      </c>
      <c r="J62" s="78">
        <v>0</v>
      </c>
      <c r="K62" s="78">
        <v>0</v>
      </c>
      <c r="L62" s="78">
        <v>1</v>
      </c>
      <c r="M62" s="78">
        <v>0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67" t="s">
        <v>203</v>
      </c>
      <c r="C63" s="168"/>
      <c r="D63" s="168"/>
      <c r="E63" s="168"/>
      <c r="F63" s="168"/>
      <c r="H63" s="17" t="s">
        <v>38</v>
      </c>
      <c r="I63" s="167" t="s">
        <v>1603</v>
      </c>
      <c r="J63" s="168"/>
      <c r="K63" s="168"/>
      <c r="L63" s="168"/>
      <c r="M63" s="168"/>
      <c r="O63" s="17" t="s">
        <v>38</v>
      </c>
      <c r="P63" s="167" t="s">
        <v>1810</v>
      </c>
      <c r="Q63" s="168"/>
      <c r="R63" s="168"/>
      <c r="S63" s="168"/>
      <c r="T63" s="168"/>
    </row>
    <row r="64" spans="1:20" ht="19.8" x14ac:dyDescent="0.3">
      <c r="A64" s="170">
        <v>46086</v>
      </c>
      <c r="B64" s="168"/>
      <c r="C64" s="168"/>
      <c r="D64" s="168"/>
      <c r="E64" s="168"/>
      <c r="F64" s="168"/>
      <c r="H64" s="170">
        <v>46116</v>
      </c>
      <c r="I64" s="168"/>
      <c r="J64" s="168"/>
      <c r="K64" s="168"/>
      <c r="L64" s="168"/>
      <c r="M64" s="168"/>
      <c r="O64" s="170">
        <v>46148</v>
      </c>
      <c r="P64" s="168"/>
      <c r="Q64" s="168"/>
      <c r="R64" s="168"/>
      <c r="S64" s="168"/>
      <c r="T64" s="168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3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3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1800</v>
      </c>
      <c r="R65" s="1" t="s">
        <v>3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3442</v>
      </c>
      <c r="C66" s="3">
        <v>871</v>
      </c>
      <c r="D66" s="3">
        <v>926</v>
      </c>
      <c r="E66" s="3">
        <v>809</v>
      </c>
      <c r="F66" s="3">
        <v>836</v>
      </c>
      <c r="H66" s="2" t="s">
        <v>5</v>
      </c>
      <c r="I66" s="3">
        <v>3092</v>
      </c>
      <c r="J66" s="3">
        <v>924</v>
      </c>
      <c r="K66" s="3">
        <v>779</v>
      </c>
      <c r="L66" s="3">
        <v>687</v>
      </c>
      <c r="M66" s="3">
        <v>702</v>
      </c>
      <c r="O66" s="2" t="s">
        <v>5</v>
      </c>
      <c r="P66" s="3">
        <v>5243</v>
      </c>
      <c r="Q66" s="3">
        <v>1535</v>
      </c>
      <c r="R66" s="3">
        <v>1347</v>
      </c>
      <c r="S66" s="3">
        <v>1143</v>
      </c>
      <c r="T66" s="3">
        <v>1218</v>
      </c>
    </row>
    <row r="67" spans="1:20" x14ac:dyDescent="0.3">
      <c r="A67" s="2" t="s">
        <v>6</v>
      </c>
      <c r="B67" s="3">
        <v>293</v>
      </c>
      <c r="C67" s="4">
        <v>49</v>
      </c>
      <c r="D67" s="5">
        <v>110</v>
      </c>
      <c r="E67" s="3">
        <v>41</v>
      </c>
      <c r="F67" s="6">
        <v>93</v>
      </c>
      <c r="H67" s="2" t="s">
        <v>6</v>
      </c>
      <c r="I67" s="3">
        <v>303</v>
      </c>
      <c r="J67" s="5">
        <v>92</v>
      </c>
      <c r="K67" s="3">
        <v>68</v>
      </c>
      <c r="L67" s="4">
        <v>71</v>
      </c>
      <c r="M67" s="6">
        <v>72</v>
      </c>
      <c r="O67" s="2" t="s">
        <v>6</v>
      </c>
      <c r="P67" s="3">
        <v>593</v>
      </c>
      <c r="Q67" s="6">
        <v>185</v>
      </c>
      <c r="R67" s="5">
        <v>220</v>
      </c>
      <c r="S67" s="3">
        <v>4</v>
      </c>
      <c r="T67" s="4">
        <v>184</v>
      </c>
    </row>
    <row r="68" spans="1:20" x14ac:dyDescent="0.3">
      <c r="A68" s="2" t="s">
        <v>7</v>
      </c>
      <c r="B68" s="3" t="s">
        <v>242</v>
      </c>
      <c r="C68" s="4" t="s">
        <v>243</v>
      </c>
      <c r="D68" s="5" t="s">
        <v>244</v>
      </c>
      <c r="E68" s="3" t="s">
        <v>245</v>
      </c>
      <c r="F68" s="6" t="s">
        <v>246</v>
      </c>
      <c r="H68" s="2" t="s">
        <v>7</v>
      </c>
      <c r="I68" s="3" t="s">
        <v>334</v>
      </c>
      <c r="J68" s="4" t="s">
        <v>163</v>
      </c>
      <c r="K68" s="3" t="s">
        <v>1009</v>
      </c>
      <c r="L68" s="5" t="s">
        <v>1285</v>
      </c>
      <c r="M68" s="6" t="s">
        <v>1286</v>
      </c>
      <c r="O68" s="2" t="s">
        <v>7</v>
      </c>
      <c r="P68" s="3" t="s">
        <v>1821</v>
      </c>
      <c r="Q68" s="4" t="s">
        <v>906</v>
      </c>
      <c r="R68" s="5" t="s">
        <v>1822</v>
      </c>
      <c r="S68" s="3" t="s">
        <v>135</v>
      </c>
      <c r="T68" s="6" t="s">
        <v>1324</v>
      </c>
    </row>
    <row r="69" spans="1:20" x14ac:dyDescent="0.3">
      <c r="A69" s="2" t="s">
        <v>12</v>
      </c>
      <c r="B69" s="3" t="s">
        <v>247</v>
      </c>
      <c r="C69" s="4" t="s">
        <v>243</v>
      </c>
      <c r="D69" s="5" t="s">
        <v>232</v>
      </c>
      <c r="E69" s="3" t="s">
        <v>248</v>
      </c>
      <c r="F69" s="6" t="s">
        <v>249</v>
      </c>
      <c r="H69" s="2" t="s">
        <v>12</v>
      </c>
      <c r="I69" s="3" t="s">
        <v>709</v>
      </c>
      <c r="J69" s="4" t="s">
        <v>1206</v>
      </c>
      <c r="K69" s="3" t="s">
        <v>1025</v>
      </c>
      <c r="L69" s="5" t="s">
        <v>700</v>
      </c>
      <c r="M69" s="6" t="s">
        <v>843</v>
      </c>
      <c r="O69" s="2" t="s">
        <v>12</v>
      </c>
      <c r="P69" s="3" t="s">
        <v>1823</v>
      </c>
      <c r="Q69" s="4" t="s">
        <v>616</v>
      </c>
      <c r="R69" s="5" t="s">
        <v>1824</v>
      </c>
      <c r="S69" s="3" t="s">
        <v>84</v>
      </c>
      <c r="T69" s="6" t="s">
        <v>501</v>
      </c>
    </row>
    <row r="70" spans="1:20" x14ac:dyDescent="0.3">
      <c r="A70" s="2" t="s">
        <v>17</v>
      </c>
      <c r="B70" s="3" t="s">
        <v>250</v>
      </c>
      <c r="C70" s="3" t="s">
        <v>185</v>
      </c>
      <c r="D70" s="6" t="s">
        <v>251</v>
      </c>
      <c r="E70" s="4" t="s">
        <v>252</v>
      </c>
      <c r="F70" s="5" t="s">
        <v>191</v>
      </c>
      <c r="H70" s="2" t="s">
        <v>17</v>
      </c>
      <c r="I70" s="3" t="s">
        <v>78</v>
      </c>
      <c r="J70" s="5" t="s">
        <v>354</v>
      </c>
      <c r="K70" s="6" t="s">
        <v>654</v>
      </c>
      <c r="L70" s="4" t="s">
        <v>227</v>
      </c>
      <c r="M70" s="3" t="s">
        <v>595</v>
      </c>
      <c r="O70" s="2" t="s">
        <v>17</v>
      </c>
      <c r="P70" s="3" t="s">
        <v>227</v>
      </c>
      <c r="Q70" s="6" t="s">
        <v>418</v>
      </c>
      <c r="R70" s="5" t="s">
        <v>200</v>
      </c>
      <c r="S70" s="4" t="s">
        <v>101</v>
      </c>
      <c r="T70" s="3" t="s">
        <v>154</v>
      </c>
    </row>
    <row r="71" spans="1:20" x14ac:dyDescent="0.3">
      <c r="A71" s="2" t="s">
        <v>22</v>
      </c>
      <c r="B71" s="3" t="s">
        <v>84</v>
      </c>
      <c r="C71" s="3" t="s">
        <v>25</v>
      </c>
      <c r="D71" s="6" t="s">
        <v>49</v>
      </c>
      <c r="E71" s="5" t="s">
        <v>47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190</v>
      </c>
      <c r="C72" s="8">
        <v>49</v>
      </c>
      <c r="D72" s="8">
        <v>75</v>
      </c>
      <c r="E72" s="8">
        <v>11</v>
      </c>
      <c r="F72" s="8">
        <v>55</v>
      </c>
      <c r="H72" s="7" t="s">
        <v>26</v>
      </c>
      <c r="I72" s="8">
        <v>290</v>
      </c>
      <c r="J72" s="8">
        <v>87</v>
      </c>
      <c r="K72" s="8">
        <v>64</v>
      </c>
      <c r="L72" s="8">
        <v>69</v>
      </c>
      <c r="M72" s="8">
        <v>70</v>
      </c>
      <c r="O72" s="7" t="s">
        <v>26</v>
      </c>
      <c r="P72" s="8">
        <v>577</v>
      </c>
      <c r="Q72" s="8">
        <v>180</v>
      </c>
      <c r="R72" s="8">
        <v>215</v>
      </c>
      <c r="S72" s="8">
        <v>1</v>
      </c>
      <c r="T72" s="8">
        <v>181</v>
      </c>
    </row>
    <row r="73" spans="1:20" x14ac:dyDescent="0.3">
      <c r="A73" s="9" t="s">
        <v>27</v>
      </c>
      <c r="B73" s="10">
        <v>57</v>
      </c>
      <c r="C73" s="10">
        <v>21</v>
      </c>
      <c r="D73" s="10">
        <v>4</v>
      </c>
      <c r="E73" s="10">
        <v>4</v>
      </c>
      <c r="F73" s="10">
        <v>28</v>
      </c>
      <c r="H73" s="9" t="s">
        <v>27</v>
      </c>
      <c r="I73" s="10">
        <v>92</v>
      </c>
      <c r="J73" s="10">
        <v>29</v>
      </c>
      <c r="K73" s="10">
        <v>31</v>
      </c>
      <c r="L73" s="10">
        <v>6</v>
      </c>
      <c r="M73" s="10">
        <v>26</v>
      </c>
      <c r="O73" s="9" t="s">
        <v>27</v>
      </c>
      <c r="P73" s="10">
        <v>16</v>
      </c>
      <c r="Q73" s="10">
        <v>4</v>
      </c>
      <c r="R73" s="10">
        <v>6</v>
      </c>
      <c r="S73" s="10">
        <v>0</v>
      </c>
      <c r="T73" s="10">
        <v>6</v>
      </c>
    </row>
    <row r="74" spans="1:20" x14ac:dyDescent="0.3">
      <c r="A74" s="9" t="s">
        <v>28</v>
      </c>
      <c r="B74" s="10">
        <v>23</v>
      </c>
      <c r="C74" s="10">
        <v>1</v>
      </c>
      <c r="D74" s="10">
        <v>22</v>
      </c>
      <c r="E74" s="10">
        <v>0</v>
      </c>
      <c r="F74" s="10">
        <v>0</v>
      </c>
      <c r="H74" s="9" t="s">
        <v>28</v>
      </c>
      <c r="I74" s="10">
        <v>17</v>
      </c>
      <c r="J74" s="10">
        <v>5</v>
      </c>
      <c r="K74" s="10">
        <v>3</v>
      </c>
      <c r="L74" s="10">
        <v>6</v>
      </c>
      <c r="M74" s="10">
        <v>3</v>
      </c>
      <c r="O74" s="9" t="s">
        <v>28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3">
      <c r="A75" s="9" t="s">
        <v>29</v>
      </c>
      <c r="B75" s="10">
        <v>62</v>
      </c>
      <c r="C75" s="10">
        <v>13</v>
      </c>
      <c r="D75" s="10">
        <v>15</v>
      </c>
      <c r="E75" s="10">
        <v>7</v>
      </c>
      <c r="F75" s="10">
        <v>27</v>
      </c>
      <c r="H75" s="9" t="s">
        <v>29</v>
      </c>
      <c r="I75" s="10">
        <v>149</v>
      </c>
      <c r="J75" s="10">
        <v>38</v>
      </c>
      <c r="K75" s="10">
        <v>23</v>
      </c>
      <c r="L75" s="10">
        <v>56</v>
      </c>
      <c r="M75" s="10">
        <v>32</v>
      </c>
      <c r="O75" s="9" t="s">
        <v>29</v>
      </c>
      <c r="P75" s="10">
        <v>551</v>
      </c>
      <c r="Q75" s="10">
        <v>171</v>
      </c>
      <c r="R75" s="10">
        <v>206</v>
      </c>
      <c r="S75" s="10">
        <v>0</v>
      </c>
      <c r="T75" s="10">
        <v>174</v>
      </c>
    </row>
    <row r="76" spans="1:20" x14ac:dyDescent="0.3">
      <c r="A76" s="9" t="s">
        <v>30</v>
      </c>
      <c r="B76" s="10">
        <v>48</v>
      </c>
      <c r="C76" s="10">
        <v>14</v>
      </c>
      <c r="D76" s="10">
        <v>34</v>
      </c>
      <c r="E76" s="10">
        <v>0</v>
      </c>
      <c r="F76" s="10">
        <v>0</v>
      </c>
      <c r="H76" s="9" t="s">
        <v>30</v>
      </c>
      <c r="I76" s="10">
        <v>32</v>
      </c>
      <c r="J76" s="10">
        <v>15</v>
      </c>
      <c r="K76" s="10">
        <v>7</v>
      </c>
      <c r="L76" s="10">
        <v>1</v>
      </c>
      <c r="M76" s="10">
        <v>9</v>
      </c>
      <c r="O76" s="9" t="s">
        <v>30</v>
      </c>
      <c r="P76" s="10">
        <v>10</v>
      </c>
      <c r="Q76" s="10">
        <v>5</v>
      </c>
      <c r="R76" s="10">
        <v>3</v>
      </c>
      <c r="S76" s="10">
        <v>1</v>
      </c>
      <c r="T76" s="10">
        <v>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114</v>
      </c>
      <c r="C78" s="12">
        <v>12</v>
      </c>
      <c r="D78" s="12">
        <v>35</v>
      </c>
      <c r="E78" s="12">
        <v>30</v>
      </c>
      <c r="F78" s="12">
        <v>37</v>
      </c>
      <c r="H78" s="11" t="s">
        <v>32</v>
      </c>
      <c r="I78" s="12">
        <v>13</v>
      </c>
      <c r="J78" s="12">
        <v>5</v>
      </c>
      <c r="K78" s="12">
        <v>4</v>
      </c>
      <c r="L78" s="12">
        <v>2</v>
      </c>
      <c r="M78" s="12">
        <v>2</v>
      </c>
      <c r="O78" s="11" t="s">
        <v>32</v>
      </c>
      <c r="P78" s="12">
        <v>15</v>
      </c>
      <c r="Q78" s="12">
        <v>5</v>
      </c>
      <c r="R78" s="12">
        <v>5</v>
      </c>
      <c r="S78" s="12">
        <v>3</v>
      </c>
      <c r="T78" s="12">
        <v>2</v>
      </c>
    </row>
    <row r="79" spans="1:20" x14ac:dyDescent="0.3">
      <c r="A79" s="13" t="s">
        <v>33</v>
      </c>
      <c r="B79" s="14">
        <v>4</v>
      </c>
      <c r="C79" s="14">
        <v>1</v>
      </c>
      <c r="D79" s="14">
        <v>0</v>
      </c>
      <c r="E79" s="14">
        <v>2</v>
      </c>
      <c r="F79" s="14">
        <v>1</v>
      </c>
      <c r="H79" s="13" t="s">
        <v>33</v>
      </c>
      <c r="I79" s="14">
        <v>4</v>
      </c>
      <c r="J79" s="14">
        <v>2</v>
      </c>
      <c r="K79" s="14">
        <v>1</v>
      </c>
      <c r="L79" s="14">
        <v>0</v>
      </c>
      <c r="M79" s="14">
        <v>1</v>
      </c>
      <c r="O79" s="13" t="s">
        <v>33</v>
      </c>
      <c r="P79" s="14">
        <v>4</v>
      </c>
      <c r="Q79" s="14">
        <v>2</v>
      </c>
      <c r="R79" s="14">
        <v>1</v>
      </c>
      <c r="S79" s="14">
        <v>0</v>
      </c>
      <c r="T79" s="14">
        <v>1</v>
      </c>
    </row>
    <row r="80" spans="1:20" x14ac:dyDescent="0.3">
      <c r="A80" s="13" t="s">
        <v>34</v>
      </c>
      <c r="B80" s="14">
        <v>110</v>
      </c>
      <c r="C80" s="14">
        <v>11</v>
      </c>
      <c r="D80" s="14">
        <v>35</v>
      </c>
      <c r="E80" s="14">
        <v>28</v>
      </c>
      <c r="F80" s="14">
        <v>36</v>
      </c>
      <c r="H80" s="13" t="s">
        <v>34</v>
      </c>
      <c r="I80" s="14">
        <v>9</v>
      </c>
      <c r="J80" s="14">
        <v>3</v>
      </c>
      <c r="K80" s="14">
        <v>3</v>
      </c>
      <c r="L80" s="14">
        <v>2</v>
      </c>
      <c r="M80" s="14">
        <v>1</v>
      </c>
      <c r="O80" s="13" t="s">
        <v>34</v>
      </c>
      <c r="P80" s="14">
        <v>11</v>
      </c>
      <c r="Q80" s="14">
        <v>3</v>
      </c>
      <c r="R80" s="14">
        <v>4</v>
      </c>
      <c r="S80" s="14">
        <v>3</v>
      </c>
      <c r="T80" s="14">
        <v>1</v>
      </c>
    </row>
    <row r="81" spans="1:20" x14ac:dyDescent="0.3">
      <c r="A81" s="15" t="s">
        <v>35</v>
      </c>
      <c r="B81" s="16">
        <v>3</v>
      </c>
      <c r="C81" s="16">
        <v>0</v>
      </c>
      <c r="D81" s="16">
        <v>1</v>
      </c>
      <c r="E81" s="16">
        <v>2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3</v>
      </c>
      <c r="C82" s="18">
        <v>0</v>
      </c>
      <c r="D82" s="18">
        <v>1</v>
      </c>
      <c r="E82" s="18">
        <v>2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67" t="s">
        <v>253</v>
      </c>
      <c r="C84" s="168"/>
      <c r="D84" s="168"/>
      <c r="E84" s="168"/>
      <c r="F84" s="168"/>
      <c r="H84" s="17" t="s">
        <v>38</v>
      </c>
      <c r="I84" s="167" t="s">
        <v>485</v>
      </c>
      <c r="J84" s="168"/>
      <c r="K84" s="168"/>
      <c r="L84" s="168"/>
      <c r="M84" s="168"/>
      <c r="O84" s="17" t="s">
        <v>38</v>
      </c>
      <c r="P84" s="167" t="s">
        <v>667</v>
      </c>
      <c r="Q84" s="168"/>
      <c r="R84" s="168"/>
      <c r="S84" s="168"/>
      <c r="T84" s="168"/>
    </row>
    <row r="85" spans="1:20" ht="19.8" x14ac:dyDescent="0.3">
      <c r="A85" s="170">
        <v>46087</v>
      </c>
      <c r="B85" s="168"/>
      <c r="C85" s="168"/>
      <c r="D85" s="168"/>
      <c r="E85" s="168"/>
      <c r="F85" s="168"/>
      <c r="H85" s="170">
        <v>46118</v>
      </c>
      <c r="I85" s="168"/>
      <c r="J85" s="168"/>
      <c r="K85" s="168"/>
      <c r="L85" s="168"/>
      <c r="M85" s="168"/>
      <c r="O85" s="170">
        <v>46149</v>
      </c>
      <c r="P85" s="168"/>
      <c r="Q85" s="168"/>
      <c r="R85" s="168"/>
      <c r="S85" s="168"/>
      <c r="T85" s="168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3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3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1800</v>
      </c>
      <c r="R86" s="1" t="s">
        <v>3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3524</v>
      </c>
      <c r="C87" s="3">
        <v>1097</v>
      </c>
      <c r="D87" s="3">
        <v>951</v>
      </c>
      <c r="E87" s="3">
        <v>786</v>
      </c>
      <c r="F87" s="3">
        <v>690</v>
      </c>
      <c r="H87" s="2" t="s">
        <v>5</v>
      </c>
      <c r="I87" s="3">
        <v>4344</v>
      </c>
      <c r="J87" s="3">
        <v>1312</v>
      </c>
      <c r="K87" s="3">
        <v>1123</v>
      </c>
      <c r="L87" s="3">
        <v>926</v>
      </c>
      <c r="M87" s="3">
        <v>983</v>
      </c>
      <c r="O87" s="2" t="s">
        <v>5</v>
      </c>
      <c r="P87" s="3">
        <v>7462</v>
      </c>
      <c r="Q87" s="3">
        <v>2200</v>
      </c>
      <c r="R87" s="3">
        <v>1927</v>
      </c>
      <c r="S87" s="3">
        <v>1605</v>
      </c>
      <c r="T87" s="3">
        <v>1730</v>
      </c>
    </row>
    <row r="88" spans="1:20" x14ac:dyDescent="0.3">
      <c r="A88" s="2" t="s">
        <v>6</v>
      </c>
      <c r="B88" s="3">
        <v>290</v>
      </c>
      <c r="C88" s="4">
        <v>67</v>
      </c>
      <c r="D88" s="5">
        <v>107</v>
      </c>
      <c r="E88" s="3">
        <v>29</v>
      </c>
      <c r="F88" s="6">
        <v>87</v>
      </c>
      <c r="H88" s="2" t="s">
        <v>6</v>
      </c>
      <c r="I88" s="3">
        <v>462</v>
      </c>
      <c r="J88" s="6">
        <v>111</v>
      </c>
      <c r="K88" s="4">
        <v>80</v>
      </c>
      <c r="L88" s="3">
        <v>51</v>
      </c>
      <c r="M88" s="5">
        <v>220</v>
      </c>
      <c r="O88" s="2" t="s">
        <v>6</v>
      </c>
      <c r="P88" s="3">
        <v>744</v>
      </c>
      <c r="Q88" s="6">
        <v>243</v>
      </c>
      <c r="R88" s="5">
        <v>288</v>
      </c>
      <c r="S88" s="3">
        <v>1</v>
      </c>
      <c r="T88" s="4">
        <v>212</v>
      </c>
    </row>
    <row r="89" spans="1:20" x14ac:dyDescent="0.3">
      <c r="A89" s="2" t="s">
        <v>7</v>
      </c>
      <c r="B89" s="3" t="s">
        <v>283</v>
      </c>
      <c r="C89" s="4" t="s">
        <v>284</v>
      </c>
      <c r="D89" s="6" t="s">
        <v>285</v>
      </c>
      <c r="E89" s="3" t="s">
        <v>206</v>
      </c>
      <c r="F89" s="5" t="s">
        <v>286</v>
      </c>
      <c r="H89" s="2" t="s">
        <v>7</v>
      </c>
      <c r="I89" s="3" t="s">
        <v>828</v>
      </c>
      <c r="J89" s="6" t="s">
        <v>1308</v>
      </c>
      <c r="K89" s="4" t="s">
        <v>564</v>
      </c>
      <c r="L89" s="3" t="s">
        <v>1309</v>
      </c>
      <c r="M89" s="5" t="s">
        <v>1310</v>
      </c>
      <c r="O89" s="2" t="s">
        <v>7</v>
      </c>
      <c r="P89" s="3" t="s">
        <v>843</v>
      </c>
      <c r="Q89" s="4" t="s">
        <v>1832</v>
      </c>
      <c r="R89" s="5" t="s">
        <v>1833</v>
      </c>
      <c r="S89" s="3" t="s">
        <v>268</v>
      </c>
      <c r="T89" s="6" t="s">
        <v>696</v>
      </c>
    </row>
    <row r="90" spans="1:20" x14ac:dyDescent="0.3">
      <c r="A90" s="2" t="s">
        <v>12</v>
      </c>
      <c r="B90" s="3" t="s">
        <v>287</v>
      </c>
      <c r="C90" s="4" t="s">
        <v>288</v>
      </c>
      <c r="D90" s="6" t="s">
        <v>289</v>
      </c>
      <c r="E90" s="3" t="s">
        <v>290</v>
      </c>
      <c r="F90" s="5" t="s">
        <v>291</v>
      </c>
      <c r="H90" s="2" t="s">
        <v>12</v>
      </c>
      <c r="I90" s="3" t="s">
        <v>578</v>
      </c>
      <c r="J90" s="5" t="s">
        <v>859</v>
      </c>
      <c r="K90" s="4" t="s">
        <v>293</v>
      </c>
      <c r="L90" s="3" t="s">
        <v>122</v>
      </c>
      <c r="M90" s="6" t="s">
        <v>202</v>
      </c>
      <c r="O90" s="2" t="s">
        <v>12</v>
      </c>
      <c r="P90" s="3" t="s">
        <v>1834</v>
      </c>
      <c r="Q90" s="4" t="s">
        <v>1835</v>
      </c>
      <c r="R90" s="5" t="s">
        <v>628</v>
      </c>
      <c r="S90" s="3" t="s">
        <v>268</v>
      </c>
      <c r="T90" s="6" t="s">
        <v>1352</v>
      </c>
    </row>
    <row r="91" spans="1:20" x14ac:dyDescent="0.3">
      <c r="A91" s="2" t="s">
        <v>17</v>
      </c>
      <c r="B91" s="3" t="s">
        <v>292</v>
      </c>
      <c r="C91" s="6" t="s">
        <v>201</v>
      </c>
      <c r="D91" s="3" t="s">
        <v>276</v>
      </c>
      <c r="E91" s="4" t="s">
        <v>292</v>
      </c>
      <c r="F91" s="5" t="s">
        <v>293</v>
      </c>
      <c r="H91" s="2" t="s">
        <v>17</v>
      </c>
      <c r="I91" s="3" t="s">
        <v>92</v>
      </c>
      <c r="J91" s="3" t="s">
        <v>1311</v>
      </c>
      <c r="K91" s="4" t="s">
        <v>810</v>
      </c>
      <c r="L91" s="6" t="s">
        <v>218</v>
      </c>
      <c r="M91" s="5" t="s">
        <v>672</v>
      </c>
      <c r="O91" s="2" t="s">
        <v>17</v>
      </c>
      <c r="P91" s="3" t="s">
        <v>138</v>
      </c>
      <c r="Q91" s="6" t="s">
        <v>84</v>
      </c>
      <c r="R91" s="4" t="s">
        <v>158</v>
      </c>
      <c r="S91" s="3" t="s">
        <v>25</v>
      </c>
      <c r="T91" s="5" t="s">
        <v>102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</v>
      </c>
      <c r="J92" s="3" t="s">
        <v>25</v>
      </c>
      <c r="K92" s="3" t="s">
        <v>25</v>
      </c>
      <c r="L92" s="3" t="s">
        <v>25</v>
      </c>
      <c r="M92" s="3" t="s">
        <v>25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235</v>
      </c>
      <c r="C93" s="8">
        <v>65</v>
      </c>
      <c r="D93" s="8">
        <v>89</v>
      </c>
      <c r="E93" s="8">
        <v>11</v>
      </c>
      <c r="F93" s="8">
        <v>70</v>
      </c>
      <c r="H93" s="7" t="s">
        <v>26</v>
      </c>
      <c r="I93" s="8">
        <v>100</v>
      </c>
      <c r="J93" s="8">
        <v>48</v>
      </c>
      <c r="K93" s="8">
        <v>26</v>
      </c>
      <c r="L93" s="8">
        <v>2</v>
      </c>
      <c r="M93" s="8">
        <v>24</v>
      </c>
      <c r="O93" s="7" t="s">
        <v>26</v>
      </c>
      <c r="P93" s="8">
        <v>739</v>
      </c>
      <c r="Q93" s="8">
        <v>241</v>
      </c>
      <c r="R93" s="8">
        <v>287</v>
      </c>
      <c r="S93" s="8">
        <v>1</v>
      </c>
      <c r="T93" s="8">
        <v>210</v>
      </c>
    </row>
    <row r="94" spans="1:20" x14ac:dyDescent="0.3">
      <c r="A94" s="9" t="s">
        <v>27</v>
      </c>
      <c r="B94" s="10">
        <v>64</v>
      </c>
      <c r="C94" s="10">
        <v>20</v>
      </c>
      <c r="D94" s="10">
        <v>7</v>
      </c>
      <c r="E94" s="10">
        <v>7</v>
      </c>
      <c r="F94" s="10">
        <v>30</v>
      </c>
      <c r="H94" s="9" t="s">
        <v>27</v>
      </c>
      <c r="I94" s="10">
        <v>7</v>
      </c>
      <c r="J94" s="10">
        <v>0</v>
      </c>
      <c r="K94" s="10">
        <v>5</v>
      </c>
      <c r="L94" s="10">
        <v>2</v>
      </c>
      <c r="M94" s="10">
        <v>0</v>
      </c>
      <c r="O94" s="9" t="s">
        <v>27</v>
      </c>
      <c r="P94" s="10">
        <v>16</v>
      </c>
      <c r="Q94" s="10">
        <v>6</v>
      </c>
      <c r="R94" s="10">
        <v>6</v>
      </c>
      <c r="S94" s="10">
        <v>0</v>
      </c>
      <c r="T94" s="10">
        <v>4</v>
      </c>
    </row>
    <row r="95" spans="1:20" x14ac:dyDescent="0.3">
      <c r="A95" s="9" t="s">
        <v>28</v>
      </c>
      <c r="B95" s="10">
        <v>28</v>
      </c>
      <c r="C95" s="10">
        <v>3</v>
      </c>
      <c r="D95" s="10">
        <v>25</v>
      </c>
      <c r="E95" s="10">
        <v>0</v>
      </c>
      <c r="F95" s="10">
        <v>0</v>
      </c>
      <c r="H95" s="9" t="s">
        <v>28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O95" s="9" t="s">
        <v>28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3">
      <c r="A96" s="9" t="s">
        <v>29</v>
      </c>
      <c r="B96" s="10">
        <v>72</v>
      </c>
      <c r="C96" s="10">
        <v>18</v>
      </c>
      <c r="D96" s="10">
        <v>12</v>
      </c>
      <c r="E96" s="10">
        <v>3</v>
      </c>
      <c r="F96" s="10">
        <v>39</v>
      </c>
      <c r="H96" s="9" t="s">
        <v>29</v>
      </c>
      <c r="I96" s="10">
        <v>82</v>
      </c>
      <c r="J96" s="10">
        <v>43</v>
      </c>
      <c r="K96" s="10">
        <v>17</v>
      </c>
      <c r="L96" s="10">
        <v>0</v>
      </c>
      <c r="M96" s="10">
        <v>22</v>
      </c>
      <c r="O96" s="9" t="s">
        <v>29</v>
      </c>
      <c r="P96" s="10">
        <v>718</v>
      </c>
      <c r="Q96" s="10">
        <v>232</v>
      </c>
      <c r="R96" s="10">
        <v>280</v>
      </c>
      <c r="S96" s="10">
        <v>1</v>
      </c>
      <c r="T96" s="10">
        <v>205</v>
      </c>
    </row>
    <row r="97" spans="1:20" x14ac:dyDescent="0.3">
      <c r="A97" s="9" t="s">
        <v>30</v>
      </c>
      <c r="B97" s="10">
        <v>71</v>
      </c>
      <c r="C97" s="10">
        <v>24</v>
      </c>
      <c r="D97" s="10">
        <v>45</v>
      </c>
      <c r="E97" s="10">
        <v>1</v>
      </c>
      <c r="F97" s="10">
        <v>1</v>
      </c>
      <c r="H97" s="9" t="s">
        <v>30</v>
      </c>
      <c r="I97" s="10">
        <v>11</v>
      </c>
      <c r="J97" s="10">
        <v>5</v>
      </c>
      <c r="K97" s="10">
        <v>4</v>
      </c>
      <c r="L97" s="10">
        <v>0</v>
      </c>
      <c r="M97" s="10">
        <v>2</v>
      </c>
      <c r="O97" s="9" t="s">
        <v>30</v>
      </c>
      <c r="P97" s="10">
        <v>5</v>
      </c>
      <c r="Q97" s="10">
        <v>3</v>
      </c>
      <c r="R97" s="10">
        <v>1</v>
      </c>
      <c r="S97" s="10">
        <v>0</v>
      </c>
      <c r="T97" s="10">
        <v>1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76</v>
      </c>
      <c r="C99" s="12">
        <v>25</v>
      </c>
      <c r="D99" s="12">
        <v>18</v>
      </c>
      <c r="E99" s="12">
        <v>17</v>
      </c>
      <c r="F99" s="12">
        <v>16</v>
      </c>
      <c r="H99" s="11" t="s">
        <v>32</v>
      </c>
      <c r="I99" s="12">
        <v>317</v>
      </c>
      <c r="J99" s="12">
        <v>63</v>
      </c>
      <c r="K99" s="12">
        <v>54</v>
      </c>
      <c r="L99" s="12">
        <v>49</v>
      </c>
      <c r="M99" s="12">
        <v>151</v>
      </c>
      <c r="O99" s="11" t="s">
        <v>32</v>
      </c>
      <c r="P99" s="12">
        <v>5</v>
      </c>
      <c r="Q99" s="12">
        <v>2</v>
      </c>
      <c r="R99" s="12">
        <v>1</v>
      </c>
      <c r="S99" s="12">
        <v>0</v>
      </c>
      <c r="T99" s="12">
        <v>2</v>
      </c>
    </row>
    <row r="100" spans="1:20" x14ac:dyDescent="0.3">
      <c r="A100" s="13" t="s">
        <v>33</v>
      </c>
      <c r="B100" s="14">
        <v>2</v>
      </c>
      <c r="C100" s="14">
        <v>1</v>
      </c>
      <c r="D100" s="14">
        <v>1</v>
      </c>
      <c r="E100" s="14">
        <v>0</v>
      </c>
      <c r="F100" s="14">
        <v>0</v>
      </c>
      <c r="H100" s="13" t="s">
        <v>33</v>
      </c>
      <c r="I100" s="14">
        <v>108</v>
      </c>
      <c r="J100" s="14">
        <v>0</v>
      </c>
      <c r="K100" s="14">
        <v>0</v>
      </c>
      <c r="L100" s="14">
        <v>0</v>
      </c>
      <c r="M100" s="14">
        <v>108</v>
      </c>
      <c r="O100" s="13" t="s">
        <v>33</v>
      </c>
      <c r="P100" s="14">
        <v>4</v>
      </c>
      <c r="Q100" s="14">
        <v>2</v>
      </c>
      <c r="R100" s="14">
        <v>1</v>
      </c>
      <c r="S100" s="14">
        <v>0</v>
      </c>
      <c r="T100" s="14">
        <v>1</v>
      </c>
    </row>
    <row r="101" spans="1:20" x14ac:dyDescent="0.3">
      <c r="A101" s="13" t="s">
        <v>34</v>
      </c>
      <c r="B101" s="14">
        <v>74</v>
      </c>
      <c r="C101" s="14">
        <v>24</v>
      </c>
      <c r="D101" s="14">
        <v>17</v>
      </c>
      <c r="E101" s="14">
        <v>17</v>
      </c>
      <c r="F101" s="14">
        <v>16</v>
      </c>
      <c r="H101" s="13" t="s">
        <v>34</v>
      </c>
      <c r="I101" s="14">
        <v>209</v>
      </c>
      <c r="J101" s="14">
        <v>63</v>
      </c>
      <c r="K101" s="14">
        <v>54</v>
      </c>
      <c r="L101" s="14">
        <v>49</v>
      </c>
      <c r="M101" s="14">
        <v>43</v>
      </c>
      <c r="O101" s="13" t="s">
        <v>34</v>
      </c>
      <c r="P101" s="14">
        <v>1</v>
      </c>
      <c r="Q101" s="14">
        <v>0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67" t="s">
        <v>253</v>
      </c>
      <c r="C105" s="168"/>
      <c r="D105" s="168"/>
      <c r="E105" s="168"/>
      <c r="F105" s="168"/>
      <c r="H105" s="17" t="s">
        <v>38</v>
      </c>
      <c r="I105" s="167" t="s">
        <v>1312</v>
      </c>
      <c r="J105" s="168"/>
      <c r="K105" s="168"/>
      <c r="L105" s="168"/>
      <c r="M105" s="168"/>
      <c r="O105" s="17" t="s">
        <v>38</v>
      </c>
      <c r="P105" s="167" t="s">
        <v>667</v>
      </c>
      <c r="Q105" s="168"/>
      <c r="R105" s="168"/>
      <c r="S105" s="168"/>
      <c r="T105" s="168"/>
    </row>
    <row r="106" spans="1:20" ht="19.8" x14ac:dyDescent="0.3">
      <c r="A106" s="170">
        <v>46088</v>
      </c>
      <c r="B106" s="168"/>
      <c r="C106" s="168"/>
      <c r="D106" s="168"/>
      <c r="E106" s="168"/>
      <c r="F106" s="168"/>
      <c r="H106" s="170">
        <v>46119</v>
      </c>
      <c r="I106" s="168"/>
      <c r="J106" s="168"/>
      <c r="K106" s="168"/>
      <c r="L106" s="168"/>
      <c r="M106" s="168"/>
      <c r="O106" s="170">
        <v>46150</v>
      </c>
      <c r="P106" s="168"/>
      <c r="Q106" s="168"/>
      <c r="R106" s="168"/>
      <c r="S106" s="168"/>
      <c r="T106" s="168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3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1800</v>
      </c>
      <c r="R107" s="1" t="s">
        <v>3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2891</v>
      </c>
      <c r="C108" s="3">
        <v>872</v>
      </c>
      <c r="D108" s="3">
        <v>720</v>
      </c>
      <c r="E108" s="3">
        <v>651</v>
      </c>
      <c r="F108" s="3">
        <v>648</v>
      </c>
      <c r="H108" s="2" t="s">
        <v>5</v>
      </c>
      <c r="I108" s="3">
        <v>6440</v>
      </c>
      <c r="J108" s="3">
        <v>2116</v>
      </c>
      <c r="K108" s="3">
        <v>1635</v>
      </c>
      <c r="L108" s="3">
        <v>1333</v>
      </c>
      <c r="M108" s="3">
        <v>1356</v>
      </c>
      <c r="O108" s="2" t="s">
        <v>5</v>
      </c>
      <c r="P108" s="3">
        <v>6004</v>
      </c>
      <c r="Q108" s="3">
        <v>1880</v>
      </c>
      <c r="R108" s="3">
        <v>1467</v>
      </c>
      <c r="S108" s="3">
        <v>1254</v>
      </c>
      <c r="T108" s="3">
        <v>1403</v>
      </c>
    </row>
    <row r="109" spans="1:20" x14ac:dyDescent="0.3">
      <c r="A109" s="2" t="s">
        <v>6</v>
      </c>
      <c r="B109" s="3">
        <v>206</v>
      </c>
      <c r="C109" s="5">
        <v>77</v>
      </c>
      <c r="D109" s="5">
        <v>77</v>
      </c>
      <c r="E109" s="4">
        <v>12</v>
      </c>
      <c r="F109" s="6">
        <v>40</v>
      </c>
      <c r="H109" s="2" t="s">
        <v>6</v>
      </c>
      <c r="I109" s="3">
        <v>639</v>
      </c>
      <c r="J109" s="5">
        <v>226</v>
      </c>
      <c r="K109" s="6">
        <v>169</v>
      </c>
      <c r="L109" s="4">
        <v>131</v>
      </c>
      <c r="M109" s="3">
        <v>113</v>
      </c>
      <c r="O109" s="2" t="s">
        <v>6</v>
      </c>
      <c r="P109" s="3">
        <v>456</v>
      </c>
      <c r="Q109" s="5">
        <v>162</v>
      </c>
      <c r="R109" s="6">
        <v>153</v>
      </c>
      <c r="S109" s="3">
        <v>17</v>
      </c>
      <c r="T109" s="4">
        <v>124</v>
      </c>
    </row>
    <row r="110" spans="1:20" x14ac:dyDescent="0.3">
      <c r="A110" s="2" t="s">
        <v>7</v>
      </c>
      <c r="B110" s="3" t="s">
        <v>311</v>
      </c>
      <c r="C110" s="6" t="s">
        <v>312</v>
      </c>
      <c r="D110" s="5" t="s">
        <v>313</v>
      </c>
      <c r="E110" s="3" t="s">
        <v>314</v>
      </c>
      <c r="F110" s="4" t="s">
        <v>220</v>
      </c>
      <c r="H110" s="2" t="s">
        <v>7</v>
      </c>
      <c r="I110" s="3" t="s">
        <v>457</v>
      </c>
      <c r="J110" s="5" t="s">
        <v>1335</v>
      </c>
      <c r="K110" s="6" t="s">
        <v>808</v>
      </c>
      <c r="L110" s="4" t="s">
        <v>1336</v>
      </c>
      <c r="M110" s="3" t="s">
        <v>173</v>
      </c>
      <c r="O110" s="2" t="s">
        <v>7</v>
      </c>
      <c r="P110" s="3" t="s">
        <v>197</v>
      </c>
      <c r="Q110" s="4" t="s">
        <v>263</v>
      </c>
      <c r="R110" s="5" t="s">
        <v>844</v>
      </c>
      <c r="S110" s="3" t="s">
        <v>248</v>
      </c>
      <c r="T110" s="6" t="s">
        <v>788</v>
      </c>
    </row>
    <row r="111" spans="1:20" x14ac:dyDescent="0.3">
      <c r="A111" s="2" t="s">
        <v>12</v>
      </c>
      <c r="B111" s="3" t="s">
        <v>315</v>
      </c>
      <c r="C111" s="6" t="s">
        <v>312</v>
      </c>
      <c r="D111" s="5" t="s">
        <v>291</v>
      </c>
      <c r="E111" s="3" t="s">
        <v>185</v>
      </c>
      <c r="F111" s="4" t="s">
        <v>316</v>
      </c>
      <c r="H111" s="2" t="s">
        <v>12</v>
      </c>
      <c r="I111" s="3" t="s">
        <v>920</v>
      </c>
      <c r="J111" s="5" t="s">
        <v>740</v>
      </c>
      <c r="K111" s="6" t="s">
        <v>1077</v>
      </c>
      <c r="L111" s="4" t="s">
        <v>413</v>
      </c>
      <c r="M111" s="3" t="s">
        <v>1197</v>
      </c>
      <c r="O111" s="2" t="s">
        <v>12</v>
      </c>
      <c r="P111" s="3" t="s">
        <v>811</v>
      </c>
      <c r="Q111" s="4" t="s">
        <v>295</v>
      </c>
      <c r="R111" s="5" t="s">
        <v>1843</v>
      </c>
      <c r="S111" s="3" t="s">
        <v>309</v>
      </c>
      <c r="T111" s="6" t="s">
        <v>320</v>
      </c>
    </row>
    <row r="112" spans="1:20" x14ac:dyDescent="0.3">
      <c r="A112" s="2" t="s">
        <v>17</v>
      </c>
      <c r="B112" s="3" t="s">
        <v>78</v>
      </c>
      <c r="C112" s="4" t="s">
        <v>100</v>
      </c>
      <c r="D112" s="5" t="s">
        <v>65</v>
      </c>
      <c r="E112" s="3" t="s">
        <v>74</v>
      </c>
      <c r="F112" s="6" t="s">
        <v>317</v>
      </c>
      <c r="H112" s="2" t="s">
        <v>17</v>
      </c>
      <c r="I112" s="3" t="s">
        <v>1266</v>
      </c>
      <c r="J112" s="5" t="s">
        <v>976</v>
      </c>
      <c r="K112" s="6" t="s">
        <v>399</v>
      </c>
      <c r="L112" s="4" t="s">
        <v>1337</v>
      </c>
      <c r="M112" s="3" t="s">
        <v>563</v>
      </c>
      <c r="O112" s="2" t="s">
        <v>17</v>
      </c>
      <c r="P112" s="3" t="s">
        <v>1296</v>
      </c>
      <c r="Q112" s="6" t="s">
        <v>362</v>
      </c>
      <c r="R112" s="5" t="s">
        <v>1184</v>
      </c>
      <c r="S112" s="3" t="s">
        <v>434</v>
      </c>
      <c r="T112" s="4" t="s">
        <v>434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 x14ac:dyDescent="0.3">
      <c r="A114" s="7" t="s">
        <v>26</v>
      </c>
      <c r="B114" s="8">
        <v>196</v>
      </c>
      <c r="C114" s="8">
        <v>77</v>
      </c>
      <c r="D114" s="8">
        <v>73</v>
      </c>
      <c r="E114" s="8">
        <v>9</v>
      </c>
      <c r="F114" s="8">
        <v>37</v>
      </c>
      <c r="H114" s="7" t="s">
        <v>26</v>
      </c>
      <c r="I114" s="8">
        <v>326</v>
      </c>
      <c r="J114" s="8">
        <v>115</v>
      </c>
      <c r="K114" s="8">
        <v>86</v>
      </c>
      <c r="L114" s="8">
        <v>68</v>
      </c>
      <c r="M114" s="8">
        <v>57</v>
      </c>
      <c r="O114" s="7" t="s">
        <v>26</v>
      </c>
      <c r="P114" s="8">
        <v>370</v>
      </c>
      <c r="Q114" s="8">
        <v>133</v>
      </c>
      <c r="R114" s="8">
        <v>130</v>
      </c>
      <c r="S114" s="8">
        <v>1</v>
      </c>
      <c r="T114" s="8">
        <v>106</v>
      </c>
    </row>
    <row r="115" spans="1:20" x14ac:dyDescent="0.3">
      <c r="A115" s="9" t="s">
        <v>27</v>
      </c>
      <c r="B115" s="10">
        <v>54</v>
      </c>
      <c r="C115" s="10">
        <v>21</v>
      </c>
      <c r="D115" s="10">
        <v>1</v>
      </c>
      <c r="E115" s="10">
        <v>4</v>
      </c>
      <c r="F115" s="10">
        <v>28</v>
      </c>
      <c r="H115" s="9" t="s">
        <v>27</v>
      </c>
      <c r="I115" s="10">
        <v>15</v>
      </c>
      <c r="J115" s="10">
        <v>6</v>
      </c>
      <c r="K115" s="10">
        <v>4</v>
      </c>
      <c r="L115" s="10">
        <v>1</v>
      </c>
      <c r="M115" s="10">
        <v>4</v>
      </c>
      <c r="O115" s="9" t="s">
        <v>27</v>
      </c>
      <c r="P115" s="10">
        <v>26</v>
      </c>
      <c r="Q115" s="10">
        <v>13</v>
      </c>
      <c r="R115" s="10">
        <v>7</v>
      </c>
      <c r="S115" s="10">
        <v>0</v>
      </c>
      <c r="T115" s="10">
        <v>6</v>
      </c>
    </row>
    <row r="116" spans="1:20" x14ac:dyDescent="0.3">
      <c r="A116" s="9" t="s">
        <v>28</v>
      </c>
      <c r="B116" s="10">
        <v>33</v>
      </c>
      <c r="C116" s="10">
        <v>2</v>
      </c>
      <c r="D116" s="10">
        <v>31</v>
      </c>
      <c r="E116" s="10">
        <v>0</v>
      </c>
      <c r="F116" s="10">
        <v>0</v>
      </c>
      <c r="H116" s="9" t="s">
        <v>28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O116" s="9" t="s">
        <v>28</v>
      </c>
      <c r="P116" s="10">
        <v>1</v>
      </c>
      <c r="Q116" s="10">
        <v>1</v>
      </c>
      <c r="R116" s="10">
        <v>0</v>
      </c>
      <c r="S116" s="10">
        <v>0</v>
      </c>
      <c r="T116" s="10">
        <v>0</v>
      </c>
    </row>
    <row r="117" spans="1:20" x14ac:dyDescent="0.3">
      <c r="A117" s="9" t="s">
        <v>29</v>
      </c>
      <c r="B117" s="10">
        <v>38</v>
      </c>
      <c r="C117" s="10">
        <v>19</v>
      </c>
      <c r="D117" s="10">
        <v>9</v>
      </c>
      <c r="E117" s="10">
        <v>3</v>
      </c>
      <c r="F117" s="10">
        <v>7</v>
      </c>
      <c r="H117" s="9" t="s">
        <v>29</v>
      </c>
      <c r="I117" s="10">
        <v>298</v>
      </c>
      <c r="J117" s="10">
        <v>106</v>
      </c>
      <c r="K117" s="10">
        <v>78</v>
      </c>
      <c r="L117" s="10">
        <v>67</v>
      </c>
      <c r="M117" s="10">
        <v>47</v>
      </c>
      <c r="O117" s="9" t="s">
        <v>29</v>
      </c>
      <c r="P117" s="10">
        <v>332</v>
      </c>
      <c r="Q117" s="10">
        <v>111</v>
      </c>
      <c r="R117" s="10">
        <v>122</v>
      </c>
      <c r="S117" s="10">
        <v>0</v>
      </c>
      <c r="T117" s="10">
        <v>99</v>
      </c>
    </row>
    <row r="118" spans="1:20" x14ac:dyDescent="0.3">
      <c r="A118" s="9" t="s">
        <v>30</v>
      </c>
      <c r="B118" s="10">
        <v>71</v>
      </c>
      <c r="C118" s="10">
        <v>35</v>
      </c>
      <c r="D118" s="10">
        <v>32</v>
      </c>
      <c r="E118" s="10">
        <v>2</v>
      </c>
      <c r="F118" s="10">
        <v>2</v>
      </c>
      <c r="H118" s="9" t="s">
        <v>30</v>
      </c>
      <c r="I118" s="10">
        <v>13</v>
      </c>
      <c r="J118" s="10">
        <v>3</v>
      </c>
      <c r="K118" s="10">
        <v>4</v>
      </c>
      <c r="L118" s="10">
        <v>0</v>
      </c>
      <c r="M118" s="10">
        <v>6</v>
      </c>
      <c r="O118" s="9" t="s">
        <v>30</v>
      </c>
      <c r="P118" s="10">
        <v>11</v>
      </c>
      <c r="Q118" s="10">
        <v>8</v>
      </c>
      <c r="R118" s="10">
        <v>1</v>
      </c>
      <c r="S118" s="10">
        <v>1</v>
      </c>
      <c r="T118" s="10">
        <v>1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12</v>
      </c>
      <c r="C120" s="12">
        <v>3</v>
      </c>
      <c r="D120" s="12">
        <v>4</v>
      </c>
      <c r="E120" s="12">
        <v>2</v>
      </c>
      <c r="F120" s="12">
        <v>3</v>
      </c>
      <c r="H120" s="11" t="s">
        <v>32</v>
      </c>
      <c r="I120" s="12">
        <v>313</v>
      </c>
      <c r="J120" s="12">
        <v>111</v>
      </c>
      <c r="K120" s="12">
        <v>83</v>
      </c>
      <c r="L120" s="12">
        <v>63</v>
      </c>
      <c r="M120" s="12">
        <v>56</v>
      </c>
      <c r="O120" s="11" t="s">
        <v>32</v>
      </c>
      <c r="P120" s="12">
        <v>85</v>
      </c>
      <c r="Q120" s="12">
        <v>28</v>
      </c>
      <c r="R120" s="12">
        <v>23</v>
      </c>
      <c r="S120" s="12">
        <v>16</v>
      </c>
      <c r="T120" s="12">
        <v>18</v>
      </c>
    </row>
    <row r="121" spans="1:20" x14ac:dyDescent="0.3">
      <c r="A121" s="13" t="s">
        <v>33</v>
      </c>
      <c r="B121" s="14">
        <v>1</v>
      </c>
      <c r="C121" s="14">
        <v>0</v>
      </c>
      <c r="D121" s="14">
        <v>1</v>
      </c>
      <c r="E121" s="14">
        <v>0</v>
      </c>
      <c r="F121" s="14">
        <v>0</v>
      </c>
      <c r="H121" s="13" t="s">
        <v>33</v>
      </c>
      <c r="I121" s="14">
        <v>3</v>
      </c>
      <c r="J121" s="14">
        <v>0</v>
      </c>
      <c r="K121" s="14">
        <v>1</v>
      </c>
      <c r="L121" s="14">
        <v>0</v>
      </c>
      <c r="M121" s="14">
        <v>2</v>
      </c>
      <c r="O121" s="13" t="s">
        <v>33</v>
      </c>
      <c r="P121" s="14">
        <v>2</v>
      </c>
      <c r="Q121" s="14">
        <v>2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11</v>
      </c>
      <c r="C122" s="14">
        <v>3</v>
      </c>
      <c r="D122" s="14">
        <v>3</v>
      </c>
      <c r="E122" s="14">
        <v>2</v>
      </c>
      <c r="F122" s="14">
        <v>3</v>
      </c>
      <c r="H122" s="13" t="s">
        <v>34</v>
      </c>
      <c r="I122" s="14">
        <v>310</v>
      </c>
      <c r="J122" s="14">
        <v>111</v>
      </c>
      <c r="K122" s="14">
        <v>82</v>
      </c>
      <c r="L122" s="14">
        <v>63</v>
      </c>
      <c r="M122" s="14">
        <v>54</v>
      </c>
      <c r="O122" s="13" t="s">
        <v>34</v>
      </c>
      <c r="P122" s="14">
        <v>83</v>
      </c>
      <c r="Q122" s="14">
        <v>26</v>
      </c>
      <c r="R122" s="14">
        <v>23</v>
      </c>
      <c r="S122" s="14">
        <v>16</v>
      </c>
      <c r="T122" s="14">
        <v>18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O123" s="15" t="s">
        <v>35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67" t="s">
        <v>253</v>
      </c>
      <c r="C126" s="168"/>
      <c r="D126" s="168"/>
      <c r="E126" s="168"/>
      <c r="F126" s="168"/>
      <c r="H126" s="17" t="s">
        <v>38</v>
      </c>
      <c r="I126" s="167" t="s">
        <v>1338</v>
      </c>
      <c r="J126" s="168"/>
      <c r="K126" s="168"/>
      <c r="L126" s="168"/>
      <c r="M126" s="168"/>
      <c r="O126" s="17" t="s">
        <v>38</v>
      </c>
      <c r="P126" s="167" t="s">
        <v>1844</v>
      </c>
      <c r="Q126" s="168"/>
      <c r="R126" s="168"/>
      <c r="S126" s="168"/>
      <c r="T126" s="168"/>
    </row>
    <row r="127" spans="1:20" ht="19.8" x14ac:dyDescent="0.3">
      <c r="A127" s="170">
        <v>46090</v>
      </c>
      <c r="B127" s="168"/>
      <c r="C127" s="168"/>
      <c r="D127" s="168"/>
      <c r="E127" s="168"/>
      <c r="F127" s="168"/>
      <c r="H127" s="170">
        <v>46120</v>
      </c>
      <c r="I127" s="168"/>
      <c r="J127" s="168"/>
      <c r="K127" s="168"/>
      <c r="L127" s="168"/>
      <c r="M127" s="168"/>
      <c r="O127" s="170">
        <v>46151</v>
      </c>
      <c r="P127" s="168"/>
      <c r="Q127" s="168"/>
      <c r="R127" s="168"/>
      <c r="S127" s="168"/>
      <c r="T127" s="168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3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1800</v>
      </c>
      <c r="R128" s="1" t="s">
        <v>3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4308</v>
      </c>
      <c r="C129" s="3">
        <v>1306</v>
      </c>
      <c r="D129" s="3">
        <v>1131</v>
      </c>
      <c r="E129" s="3">
        <v>1005</v>
      </c>
      <c r="F129" s="3">
        <v>866</v>
      </c>
      <c r="H129" s="2" t="s">
        <v>5</v>
      </c>
      <c r="I129" s="3">
        <v>5492</v>
      </c>
      <c r="J129" s="3">
        <v>2195</v>
      </c>
      <c r="K129" s="3">
        <v>1993</v>
      </c>
      <c r="L129" s="3">
        <v>2</v>
      </c>
      <c r="M129" s="3">
        <v>1302</v>
      </c>
      <c r="O129" s="2" t="s">
        <v>5</v>
      </c>
      <c r="P129" s="3">
        <v>4541</v>
      </c>
      <c r="Q129" s="3">
        <v>1421</v>
      </c>
      <c r="R129" s="3">
        <v>1105</v>
      </c>
      <c r="S129" s="3">
        <v>968</v>
      </c>
      <c r="T129" s="3">
        <v>1047</v>
      </c>
    </row>
    <row r="130" spans="1:20" x14ac:dyDescent="0.3">
      <c r="A130" s="2" t="s">
        <v>6</v>
      </c>
      <c r="B130" s="3">
        <v>345</v>
      </c>
      <c r="C130" s="6">
        <v>131</v>
      </c>
      <c r="D130" s="5">
        <v>161</v>
      </c>
      <c r="E130" s="3">
        <v>26</v>
      </c>
      <c r="F130" s="4">
        <v>27</v>
      </c>
      <c r="H130" s="2" t="s">
        <v>6</v>
      </c>
      <c r="I130" s="3">
        <v>716</v>
      </c>
      <c r="J130" s="5">
        <v>319</v>
      </c>
      <c r="K130" s="6">
        <v>242</v>
      </c>
      <c r="L130" s="3">
        <v>2</v>
      </c>
      <c r="M130" s="4">
        <v>153</v>
      </c>
      <c r="O130" s="2" t="s">
        <v>6</v>
      </c>
      <c r="P130" s="3">
        <v>473</v>
      </c>
      <c r="Q130" s="5">
        <v>165</v>
      </c>
      <c r="R130" s="6">
        <v>133</v>
      </c>
      <c r="S130" s="3">
        <v>56</v>
      </c>
      <c r="T130" s="4">
        <v>119</v>
      </c>
    </row>
    <row r="131" spans="1:20" x14ac:dyDescent="0.3">
      <c r="A131" s="2" t="s">
        <v>7</v>
      </c>
      <c r="B131" s="3" t="s">
        <v>259</v>
      </c>
      <c r="C131" s="6" t="s">
        <v>355</v>
      </c>
      <c r="D131" s="5" t="s">
        <v>356</v>
      </c>
      <c r="E131" s="3" t="s">
        <v>357</v>
      </c>
      <c r="F131" s="4" t="s">
        <v>358</v>
      </c>
      <c r="H131" s="2" t="s">
        <v>7</v>
      </c>
      <c r="I131" s="3" t="s">
        <v>1350</v>
      </c>
      <c r="J131" s="6" t="s">
        <v>1351</v>
      </c>
      <c r="K131" s="4" t="s">
        <v>1352</v>
      </c>
      <c r="L131" s="5" t="s">
        <v>48</v>
      </c>
      <c r="M131" s="3" t="s">
        <v>1353</v>
      </c>
      <c r="O131" s="2" t="s">
        <v>7</v>
      </c>
      <c r="P131" s="3" t="s">
        <v>465</v>
      </c>
      <c r="Q131" s="6" t="s">
        <v>496</v>
      </c>
      <c r="R131" s="5" t="s">
        <v>1856</v>
      </c>
      <c r="S131" s="3" t="s">
        <v>1857</v>
      </c>
      <c r="T131" s="4" t="s">
        <v>1294</v>
      </c>
    </row>
    <row r="132" spans="1:20" x14ac:dyDescent="0.3">
      <c r="A132" s="2" t="s">
        <v>12</v>
      </c>
      <c r="B132" s="3" t="s">
        <v>359</v>
      </c>
      <c r="C132" s="6" t="s">
        <v>360</v>
      </c>
      <c r="D132" s="5" t="s">
        <v>361</v>
      </c>
      <c r="E132" s="3" t="s">
        <v>362</v>
      </c>
      <c r="F132" s="4" t="s">
        <v>281</v>
      </c>
      <c r="H132" s="2" t="s">
        <v>12</v>
      </c>
      <c r="I132" s="3" t="s">
        <v>1354</v>
      </c>
      <c r="J132" s="5" t="s">
        <v>1355</v>
      </c>
      <c r="K132" s="6" t="s">
        <v>1356</v>
      </c>
      <c r="L132" s="3" t="s">
        <v>25</v>
      </c>
      <c r="M132" s="4" t="s">
        <v>458</v>
      </c>
      <c r="O132" s="2" t="s">
        <v>12</v>
      </c>
      <c r="P132" s="3" t="s">
        <v>603</v>
      </c>
      <c r="Q132" s="5" t="s">
        <v>646</v>
      </c>
      <c r="R132" s="6" t="s">
        <v>301</v>
      </c>
      <c r="S132" s="3" t="s">
        <v>74</v>
      </c>
      <c r="T132" s="4" t="s">
        <v>576</v>
      </c>
    </row>
    <row r="133" spans="1:20" x14ac:dyDescent="0.3">
      <c r="A133" s="2" t="s">
        <v>17</v>
      </c>
      <c r="B133" s="3" t="s">
        <v>363</v>
      </c>
      <c r="C133" s="3" t="s">
        <v>354</v>
      </c>
      <c r="D133" s="5" t="s">
        <v>364</v>
      </c>
      <c r="E133" s="4" t="s">
        <v>365</v>
      </c>
      <c r="F133" s="6" t="s">
        <v>281</v>
      </c>
      <c r="H133" s="2" t="s">
        <v>17</v>
      </c>
      <c r="I133" s="3" t="s">
        <v>477</v>
      </c>
      <c r="J133" s="3" t="s">
        <v>1348</v>
      </c>
      <c r="K133" s="4" t="s">
        <v>866</v>
      </c>
      <c r="L133" s="5" t="s">
        <v>48</v>
      </c>
      <c r="M133" s="6" t="s">
        <v>612</v>
      </c>
      <c r="O133" s="2" t="s">
        <v>17</v>
      </c>
      <c r="P133" s="3" t="s">
        <v>340</v>
      </c>
      <c r="Q133" s="3" t="s">
        <v>57</v>
      </c>
      <c r="R133" s="4" t="s">
        <v>740</v>
      </c>
      <c r="S133" s="6" t="s">
        <v>1372</v>
      </c>
      <c r="T133" s="5" t="s">
        <v>646</v>
      </c>
    </row>
    <row r="134" spans="1:20" x14ac:dyDescent="0.3">
      <c r="A134" s="2" t="s">
        <v>22</v>
      </c>
      <c r="B134" s="3" t="s">
        <v>158</v>
      </c>
      <c r="C134" s="3" t="s">
        <v>25</v>
      </c>
      <c r="D134" s="3" t="s">
        <v>25</v>
      </c>
      <c r="E134" s="3" t="s">
        <v>25</v>
      </c>
      <c r="F134" s="5" t="s">
        <v>266</v>
      </c>
      <c r="H134" s="2" t="s">
        <v>22</v>
      </c>
      <c r="I134" s="3" t="s">
        <v>257</v>
      </c>
      <c r="J134" s="3" t="s">
        <v>25</v>
      </c>
      <c r="K134" s="3" t="s">
        <v>25</v>
      </c>
      <c r="L134" s="5" t="s">
        <v>48</v>
      </c>
      <c r="M134" s="3" t="s">
        <v>25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298</v>
      </c>
      <c r="C135" s="8">
        <v>130</v>
      </c>
      <c r="D135" s="8">
        <v>140</v>
      </c>
      <c r="E135" s="8">
        <v>15</v>
      </c>
      <c r="F135" s="8">
        <v>13</v>
      </c>
      <c r="H135" s="7" t="s">
        <v>26</v>
      </c>
      <c r="I135" s="8">
        <v>481</v>
      </c>
      <c r="J135" s="8">
        <v>231</v>
      </c>
      <c r="K135" s="8">
        <v>161</v>
      </c>
      <c r="L135" s="8">
        <v>0</v>
      </c>
      <c r="M135" s="8">
        <v>89</v>
      </c>
      <c r="O135" s="7" t="s">
        <v>26</v>
      </c>
      <c r="P135" s="8">
        <v>220</v>
      </c>
      <c r="Q135" s="8">
        <v>95</v>
      </c>
      <c r="R135" s="8">
        <v>73</v>
      </c>
      <c r="S135" s="8">
        <v>3</v>
      </c>
      <c r="T135" s="8">
        <v>49</v>
      </c>
    </row>
    <row r="136" spans="1:20" x14ac:dyDescent="0.3">
      <c r="A136" s="9" t="s">
        <v>27</v>
      </c>
      <c r="B136" s="10">
        <v>21</v>
      </c>
      <c r="C136" s="10">
        <v>8</v>
      </c>
      <c r="D136" s="10">
        <v>5</v>
      </c>
      <c r="E136" s="10">
        <v>0</v>
      </c>
      <c r="F136" s="10">
        <v>8</v>
      </c>
      <c r="H136" s="9" t="s">
        <v>27</v>
      </c>
      <c r="I136" s="10">
        <v>33</v>
      </c>
      <c r="J136" s="10">
        <v>10</v>
      </c>
      <c r="K136" s="10">
        <v>16</v>
      </c>
      <c r="L136" s="10">
        <v>0</v>
      </c>
      <c r="M136" s="10">
        <v>7</v>
      </c>
      <c r="O136" s="9" t="s">
        <v>27</v>
      </c>
      <c r="P136" s="10">
        <v>53</v>
      </c>
      <c r="Q136" s="10">
        <v>19</v>
      </c>
      <c r="R136" s="10">
        <v>29</v>
      </c>
      <c r="S136" s="10">
        <v>0</v>
      </c>
      <c r="T136" s="10">
        <v>5</v>
      </c>
    </row>
    <row r="137" spans="1:20" x14ac:dyDescent="0.3">
      <c r="A137" s="9" t="s">
        <v>28</v>
      </c>
      <c r="B137" s="10">
        <v>129</v>
      </c>
      <c r="C137" s="10">
        <v>58</v>
      </c>
      <c r="D137" s="10">
        <v>71</v>
      </c>
      <c r="E137" s="10">
        <v>0</v>
      </c>
      <c r="F137" s="10">
        <v>0</v>
      </c>
      <c r="H137" s="9" t="s">
        <v>28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O137" s="9" t="s">
        <v>28</v>
      </c>
      <c r="P137" s="10">
        <v>7</v>
      </c>
      <c r="Q137" s="10">
        <v>2</v>
      </c>
      <c r="R137" s="10">
        <v>3</v>
      </c>
      <c r="S137" s="10">
        <v>1</v>
      </c>
      <c r="T137" s="10">
        <v>1</v>
      </c>
    </row>
    <row r="138" spans="1:20" x14ac:dyDescent="0.3">
      <c r="A138" s="9" t="s">
        <v>29</v>
      </c>
      <c r="B138" s="10">
        <v>113</v>
      </c>
      <c r="C138" s="10">
        <v>45</v>
      </c>
      <c r="D138" s="10">
        <v>49</v>
      </c>
      <c r="E138" s="10">
        <v>14</v>
      </c>
      <c r="F138" s="10">
        <v>5</v>
      </c>
      <c r="H138" s="9" t="s">
        <v>29</v>
      </c>
      <c r="I138" s="10">
        <v>440</v>
      </c>
      <c r="J138" s="10">
        <v>216</v>
      </c>
      <c r="K138" s="10">
        <v>142</v>
      </c>
      <c r="L138" s="10">
        <v>0</v>
      </c>
      <c r="M138" s="10">
        <v>82</v>
      </c>
      <c r="O138" s="9" t="s">
        <v>29</v>
      </c>
      <c r="P138" s="10">
        <v>118</v>
      </c>
      <c r="Q138" s="10">
        <v>55</v>
      </c>
      <c r="R138" s="10">
        <v>28</v>
      </c>
      <c r="S138" s="10">
        <v>0</v>
      </c>
      <c r="T138" s="10">
        <v>35</v>
      </c>
    </row>
    <row r="139" spans="1:20" x14ac:dyDescent="0.3">
      <c r="A139" s="9" t="s">
        <v>30</v>
      </c>
      <c r="B139" s="10">
        <v>35</v>
      </c>
      <c r="C139" s="10">
        <v>19</v>
      </c>
      <c r="D139" s="10">
        <v>15</v>
      </c>
      <c r="E139" s="10">
        <v>1</v>
      </c>
      <c r="F139" s="10">
        <v>0</v>
      </c>
      <c r="H139" s="9" t="s">
        <v>30</v>
      </c>
      <c r="I139" s="10">
        <v>8</v>
      </c>
      <c r="J139" s="10">
        <v>5</v>
      </c>
      <c r="K139" s="10">
        <v>3</v>
      </c>
      <c r="L139" s="10">
        <v>0</v>
      </c>
      <c r="M139" s="10">
        <v>0</v>
      </c>
      <c r="O139" s="9" t="s">
        <v>30</v>
      </c>
      <c r="P139" s="10">
        <v>42</v>
      </c>
      <c r="Q139" s="10">
        <v>19</v>
      </c>
      <c r="R139" s="10">
        <v>13</v>
      </c>
      <c r="S139" s="10">
        <v>2</v>
      </c>
      <c r="T139" s="10">
        <v>8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49</v>
      </c>
      <c r="C141" s="12">
        <v>7</v>
      </c>
      <c r="D141" s="12">
        <v>18</v>
      </c>
      <c r="E141" s="12">
        <v>11</v>
      </c>
      <c r="F141" s="12">
        <v>13</v>
      </c>
      <c r="H141" s="11" t="s">
        <v>32</v>
      </c>
      <c r="I141" s="12">
        <v>235</v>
      </c>
      <c r="J141" s="12">
        <v>88</v>
      </c>
      <c r="K141" s="12">
        <v>81</v>
      </c>
      <c r="L141" s="12">
        <v>2</v>
      </c>
      <c r="M141" s="12">
        <v>64</v>
      </c>
      <c r="O141" s="11" t="s">
        <v>32</v>
      </c>
      <c r="P141" s="12">
        <v>253</v>
      </c>
      <c r="Q141" s="12">
        <v>70</v>
      </c>
      <c r="R141" s="12">
        <v>60</v>
      </c>
      <c r="S141" s="12">
        <v>53</v>
      </c>
      <c r="T141" s="12">
        <v>70</v>
      </c>
    </row>
    <row r="142" spans="1:20" x14ac:dyDescent="0.3">
      <c r="A142" s="13" t="s">
        <v>33</v>
      </c>
      <c r="B142" s="14">
        <v>4</v>
      </c>
      <c r="C142" s="14">
        <v>0</v>
      </c>
      <c r="D142" s="14">
        <v>4</v>
      </c>
      <c r="E142" s="14">
        <v>0</v>
      </c>
      <c r="F142" s="14">
        <v>0</v>
      </c>
      <c r="H142" s="13" t="s">
        <v>33</v>
      </c>
      <c r="I142" s="14">
        <v>2</v>
      </c>
      <c r="J142" s="14">
        <v>2</v>
      </c>
      <c r="K142" s="14">
        <v>0</v>
      </c>
      <c r="L142" s="14">
        <v>0</v>
      </c>
      <c r="M142" s="14">
        <v>0</v>
      </c>
      <c r="O142" s="13" t="s">
        <v>33</v>
      </c>
      <c r="P142" s="14">
        <v>1</v>
      </c>
      <c r="Q142" s="14">
        <v>1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45</v>
      </c>
      <c r="C143" s="14">
        <v>7</v>
      </c>
      <c r="D143" s="14">
        <v>14</v>
      </c>
      <c r="E143" s="14">
        <v>11</v>
      </c>
      <c r="F143" s="14">
        <v>13</v>
      </c>
      <c r="H143" s="13" t="s">
        <v>34</v>
      </c>
      <c r="I143" s="14">
        <v>233</v>
      </c>
      <c r="J143" s="14">
        <v>86</v>
      </c>
      <c r="K143" s="14">
        <v>81</v>
      </c>
      <c r="L143" s="14">
        <v>2</v>
      </c>
      <c r="M143" s="14">
        <v>64</v>
      </c>
      <c r="O143" s="13" t="s">
        <v>34</v>
      </c>
      <c r="P143" s="14">
        <v>252</v>
      </c>
      <c r="Q143" s="14">
        <v>69</v>
      </c>
      <c r="R143" s="14">
        <v>60</v>
      </c>
      <c r="S143" s="14">
        <v>53</v>
      </c>
      <c r="T143" s="14">
        <v>70</v>
      </c>
    </row>
    <row r="144" spans="1:20" x14ac:dyDescent="0.3">
      <c r="A144" s="15" t="s">
        <v>35</v>
      </c>
      <c r="B144" s="16">
        <v>2</v>
      </c>
      <c r="C144" s="16">
        <v>0</v>
      </c>
      <c r="D144" s="16">
        <v>0</v>
      </c>
      <c r="E144" s="16">
        <v>0</v>
      </c>
      <c r="F144" s="16">
        <v>2</v>
      </c>
      <c r="H144" s="15" t="s">
        <v>35</v>
      </c>
      <c r="I144" s="16">
        <v>2</v>
      </c>
      <c r="J144" s="16">
        <v>0</v>
      </c>
      <c r="K144" s="16">
        <v>0</v>
      </c>
      <c r="L144" s="16">
        <v>2</v>
      </c>
      <c r="M144" s="16">
        <v>0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2</v>
      </c>
      <c r="C145" s="18">
        <v>0</v>
      </c>
      <c r="D145" s="18">
        <v>0</v>
      </c>
      <c r="E145" s="18">
        <v>0</v>
      </c>
      <c r="F145" s="18">
        <v>2</v>
      </c>
      <c r="H145" s="17" t="s">
        <v>36</v>
      </c>
      <c r="I145" s="78">
        <v>2</v>
      </c>
      <c r="J145" s="78">
        <v>0</v>
      </c>
      <c r="K145" s="78">
        <v>0</v>
      </c>
      <c r="L145" s="78">
        <v>2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H146" s="17" t="s">
        <v>37</v>
      </c>
      <c r="I146" s="78">
        <v>2</v>
      </c>
      <c r="J146" s="78">
        <v>0</v>
      </c>
      <c r="K146" s="78">
        <v>0</v>
      </c>
      <c r="L146" s="78">
        <v>2</v>
      </c>
      <c r="M146" s="78">
        <v>0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67" t="s">
        <v>366</v>
      </c>
      <c r="C147" s="168"/>
      <c r="D147" s="168"/>
      <c r="E147" s="168"/>
      <c r="F147" s="168"/>
      <c r="H147" s="17" t="s">
        <v>38</v>
      </c>
      <c r="I147" s="167" t="s">
        <v>1357</v>
      </c>
      <c r="J147" s="168"/>
      <c r="K147" s="168"/>
      <c r="L147" s="168"/>
      <c r="M147" s="168"/>
      <c r="O147" s="17" t="s">
        <v>38</v>
      </c>
      <c r="P147" s="167" t="s">
        <v>1908</v>
      </c>
      <c r="Q147" s="168"/>
      <c r="R147" s="168"/>
      <c r="S147" s="168"/>
      <c r="T147" s="168"/>
    </row>
    <row r="148" spans="1:20" ht="19.8" x14ac:dyDescent="0.3">
      <c r="A148" s="170">
        <v>46091</v>
      </c>
      <c r="B148" s="168"/>
      <c r="C148" s="168"/>
      <c r="D148" s="168"/>
      <c r="E148" s="168"/>
      <c r="F148" s="168"/>
      <c r="H148" s="170">
        <v>46121</v>
      </c>
      <c r="I148" s="168"/>
      <c r="J148" s="168"/>
      <c r="K148" s="168"/>
      <c r="L148" s="168"/>
      <c r="M148" s="168"/>
      <c r="O148" s="170">
        <v>46153</v>
      </c>
      <c r="P148" s="168"/>
      <c r="Q148" s="168"/>
      <c r="R148" s="168"/>
      <c r="S148" s="168"/>
      <c r="T148" s="168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3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1800</v>
      </c>
      <c r="R149" s="1" t="s">
        <v>3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5261</v>
      </c>
      <c r="C150" s="3">
        <v>1232</v>
      </c>
      <c r="D150" s="3">
        <v>1458</v>
      </c>
      <c r="E150" s="3">
        <v>1290</v>
      </c>
      <c r="F150" s="3">
        <v>1281</v>
      </c>
      <c r="H150" s="2" t="s">
        <v>5</v>
      </c>
      <c r="I150" s="3">
        <v>6066</v>
      </c>
      <c r="J150" s="3">
        <v>2022</v>
      </c>
      <c r="K150" s="3">
        <v>772</v>
      </c>
      <c r="L150" s="3">
        <v>1575</v>
      </c>
      <c r="M150" s="3">
        <v>1697</v>
      </c>
      <c r="O150" s="2" t="s">
        <v>5</v>
      </c>
      <c r="P150" s="3">
        <v>4829</v>
      </c>
      <c r="Q150" s="3">
        <v>1529</v>
      </c>
      <c r="R150" s="3">
        <v>1410</v>
      </c>
      <c r="S150" s="3">
        <v>645</v>
      </c>
      <c r="T150" s="3">
        <v>1245</v>
      </c>
    </row>
    <row r="151" spans="1:20" x14ac:dyDescent="0.3">
      <c r="A151" s="2" t="s">
        <v>6</v>
      </c>
      <c r="B151" s="3">
        <v>336</v>
      </c>
      <c r="C151" s="5">
        <v>133</v>
      </c>
      <c r="D151" s="6">
        <v>109</v>
      </c>
      <c r="E151" s="4">
        <v>59</v>
      </c>
      <c r="F151" s="3">
        <v>35</v>
      </c>
      <c r="H151" s="2" t="s">
        <v>6</v>
      </c>
      <c r="I151" s="3">
        <v>642</v>
      </c>
      <c r="J151" s="5">
        <v>384</v>
      </c>
      <c r="K151" s="3">
        <v>26</v>
      </c>
      <c r="L151" s="4">
        <v>37</v>
      </c>
      <c r="M151" s="6">
        <v>195</v>
      </c>
      <c r="O151" s="2" t="s">
        <v>6</v>
      </c>
      <c r="P151" s="3">
        <v>599</v>
      </c>
      <c r="Q151" s="5">
        <v>237</v>
      </c>
      <c r="R151" s="6">
        <v>189</v>
      </c>
      <c r="S151" s="3">
        <v>8</v>
      </c>
      <c r="T151" s="4">
        <v>165</v>
      </c>
    </row>
    <row r="152" spans="1:20" x14ac:dyDescent="0.3">
      <c r="A152" s="2" t="s">
        <v>7</v>
      </c>
      <c r="B152" s="3" t="s">
        <v>394</v>
      </c>
      <c r="C152" s="5" t="s">
        <v>395</v>
      </c>
      <c r="D152" s="6" t="s">
        <v>396</v>
      </c>
      <c r="E152" s="4" t="s">
        <v>397</v>
      </c>
      <c r="F152" s="3" t="s">
        <v>398</v>
      </c>
      <c r="H152" s="2" t="s">
        <v>7</v>
      </c>
      <c r="I152" s="3" t="s">
        <v>1367</v>
      </c>
      <c r="J152" s="5" t="s">
        <v>1368</v>
      </c>
      <c r="K152" s="4" t="s">
        <v>130</v>
      </c>
      <c r="L152" s="3" t="s">
        <v>323</v>
      </c>
      <c r="M152" s="6" t="s">
        <v>1301</v>
      </c>
      <c r="O152" s="2" t="s">
        <v>7</v>
      </c>
      <c r="P152" s="3" t="s">
        <v>1860</v>
      </c>
      <c r="Q152" s="5" t="s">
        <v>1861</v>
      </c>
      <c r="R152" s="6" t="s">
        <v>1862</v>
      </c>
      <c r="S152" s="3" t="s">
        <v>1255</v>
      </c>
      <c r="T152" s="4" t="s">
        <v>1781</v>
      </c>
    </row>
    <row r="153" spans="1:20" x14ac:dyDescent="0.3">
      <c r="A153" s="2" t="s">
        <v>12</v>
      </c>
      <c r="B153" s="3" t="s">
        <v>399</v>
      </c>
      <c r="C153" s="5" t="s">
        <v>400</v>
      </c>
      <c r="D153" s="6" t="s">
        <v>401</v>
      </c>
      <c r="E153" s="4" t="s">
        <v>402</v>
      </c>
      <c r="F153" s="3" t="s">
        <v>403</v>
      </c>
      <c r="H153" s="2" t="s">
        <v>12</v>
      </c>
      <c r="I153" s="3" t="s">
        <v>993</v>
      </c>
      <c r="J153" s="5" t="s">
        <v>1369</v>
      </c>
      <c r="K153" s="4" t="s">
        <v>440</v>
      </c>
      <c r="L153" s="3" t="s">
        <v>119</v>
      </c>
      <c r="M153" s="6" t="s">
        <v>82</v>
      </c>
      <c r="O153" s="2" t="s">
        <v>12</v>
      </c>
      <c r="P153" s="3" t="s">
        <v>1115</v>
      </c>
      <c r="Q153" s="5" t="s">
        <v>1863</v>
      </c>
      <c r="R153" s="6" t="s">
        <v>708</v>
      </c>
      <c r="S153" s="3" t="s">
        <v>850</v>
      </c>
      <c r="T153" s="4" t="s">
        <v>423</v>
      </c>
    </row>
    <row r="154" spans="1:20" x14ac:dyDescent="0.3">
      <c r="A154" s="2" t="s">
        <v>17</v>
      </c>
      <c r="B154" s="3" t="s">
        <v>404</v>
      </c>
      <c r="C154" s="4" t="s">
        <v>405</v>
      </c>
      <c r="D154" s="6" t="s">
        <v>406</v>
      </c>
      <c r="E154" s="5" t="s">
        <v>407</v>
      </c>
      <c r="F154" s="3" t="s">
        <v>148</v>
      </c>
      <c r="H154" s="2" t="s">
        <v>17</v>
      </c>
      <c r="I154" s="3" t="s">
        <v>774</v>
      </c>
      <c r="J154" s="5" t="s">
        <v>724</v>
      </c>
      <c r="K154" s="3" t="s">
        <v>83</v>
      </c>
      <c r="L154" s="6" t="s">
        <v>537</v>
      </c>
      <c r="M154" s="4" t="s">
        <v>199</v>
      </c>
      <c r="O154" s="2" t="s">
        <v>17</v>
      </c>
      <c r="P154" s="3" t="s">
        <v>419</v>
      </c>
      <c r="Q154" s="5" t="s">
        <v>83</v>
      </c>
      <c r="R154" s="4" t="s">
        <v>595</v>
      </c>
      <c r="S154" s="6" t="s">
        <v>74</v>
      </c>
      <c r="T154" s="3" t="s">
        <v>347</v>
      </c>
    </row>
    <row r="155" spans="1:20" x14ac:dyDescent="0.3">
      <c r="A155" s="2" t="s">
        <v>22</v>
      </c>
      <c r="B155" s="3" t="s">
        <v>309</v>
      </c>
      <c r="C155" s="5" t="s">
        <v>154</v>
      </c>
      <c r="D155" s="3" t="s">
        <v>25</v>
      </c>
      <c r="E155" s="6" t="s">
        <v>154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267</v>
      </c>
      <c r="Q155" s="3" t="s">
        <v>25</v>
      </c>
      <c r="R155" s="3" t="s">
        <v>25</v>
      </c>
      <c r="S155" s="5" t="s">
        <v>154</v>
      </c>
      <c r="T155" s="3" t="s">
        <v>25</v>
      </c>
    </row>
    <row r="156" spans="1:20" x14ac:dyDescent="0.3">
      <c r="A156" s="7" t="s">
        <v>26</v>
      </c>
      <c r="B156" s="8">
        <v>267</v>
      </c>
      <c r="C156" s="8">
        <v>128</v>
      </c>
      <c r="D156" s="8">
        <v>77</v>
      </c>
      <c r="E156" s="8">
        <v>33</v>
      </c>
      <c r="F156" s="8">
        <v>29</v>
      </c>
      <c r="H156" s="7" t="s">
        <v>26</v>
      </c>
      <c r="I156" s="8">
        <v>537</v>
      </c>
      <c r="J156" s="8">
        <v>344</v>
      </c>
      <c r="K156" s="8">
        <v>21</v>
      </c>
      <c r="L156" s="8">
        <v>7</v>
      </c>
      <c r="M156" s="8">
        <v>165</v>
      </c>
      <c r="O156" s="7" t="s">
        <v>26</v>
      </c>
      <c r="P156" s="8">
        <v>580</v>
      </c>
      <c r="Q156" s="8">
        <v>227</v>
      </c>
      <c r="R156" s="8">
        <v>185</v>
      </c>
      <c r="S156" s="8">
        <v>6</v>
      </c>
      <c r="T156" s="8">
        <v>162</v>
      </c>
    </row>
    <row r="157" spans="1:20" x14ac:dyDescent="0.3">
      <c r="A157" s="9" t="s">
        <v>27</v>
      </c>
      <c r="B157" s="10">
        <v>47</v>
      </c>
      <c r="C157" s="10">
        <v>7</v>
      </c>
      <c r="D157" s="10">
        <v>17</v>
      </c>
      <c r="E157" s="10">
        <v>7</v>
      </c>
      <c r="F157" s="10">
        <v>16</v>
      </c>
      <c r="H157" s="9" t="s">
        <v>27</v>
      </c>
      <c r="I157" s="10">
        <v>16</v>
      </c>
      <c r="J157" s="10">
        <v>12</v>
      </c>
      <c r="K157" s="10">
        <v>1</v>
      </c>
      <c r="L157" s="10">
        <v>0</v>
      </c>
      <c r="M157" s="10">
        <v>3</v>
      </c>
      <c r="O157" s="9" t="s">
        <v>27</v>
      </c>
      <c r="P157" s="10">
        <v>59</v>
      </c>
      <c r="Q157" s="10">
        <v>12</v>
      </c>
      <c r="R157" s="10">
        <v>24</v>
      </c>
      <c r="S157" s="10">
        <v>3</v>
      </c>
      <c r="T157" s="10">
        <v>20</v>
      </c>
    </row>
    <row r="158" spans="1:20" x14ac:dyDescent="0.3">
      <c r="A158" s="9" t="s">
        <v>28</v>
      </c>
      <c r="B158" s="10">
        <v>58</v>
      </c>
      <c r="C158" s="10">
        <v>58</v>
      </c>
      <c r="D158" s="10">
        <v>0</v>
      </c>
      <c r="E158" s="10">
        <v>0</v>
      </c>
      <c r="F158" s="10">
        <v>0</v>
      </c>
      <c r="H158" s="9" t="s">
        <v>28</v>
      </c>
      <c r="I158" s="10">
        <v>355</v>
      </c>
      <c r="J158" s="10">
        <v>236</v>
      </c>
      <c r="K158" s="10">
        <v>0</v>
      </c>
      <c r="L158" s="10">
        <v>0</v>
      </c>
      <c r="M158" s="10">
        <v>119</v>
      </c>
      <c r="O158" s="9" t="s">
        <v>28</v>
      </c>
      <c r="P158" s="10">
        <v>12</v>
      </c>
      <c r="Q158" s="10">
        <v>5</v>
      </c>
      <c r="R158" s="10">
        <v>3</v>
      </c>
      <c r="S158" s="10">
        <v>0</v>
      </c>
      <c r="T158" s="10">
        <v>4</v>
      </c>
    </row>
    <row r="159" spans="1:20" x14ac:dyDescent="0.3">
      <c r="A159" s="9" t="s">
        <v>29</v>
      </c>
      <c r="B159" s="10">
        <v>137</v>
      </c>
      <c r="C159" s="10">
        <v>41</v>
      </c>
      <c r="D159" s="10">
        <v>58</v>
      </c>
      <c r="E159" s="10">
        <v>26</v>
      </c>
      <c r="F159" s="10">
        <v>12</v>
      </c>
      <c r="H159" s="9" t="s">
        <v>29</v>
      </c>
      <c r="I159" s="10">
        <v>112</v>
      </c>
      <c r="J159" s="10">
        <v>52</v>
      </c>
      <c r="K159" s="10">
        <v>20</v>
      </c>
      <c r="L159" s="10">
        <v>7</v>
      </c>
      <c r="M159" s="10">
        <v>33</v>
      </c>
      <c r="O159" s="9" t="s">
        <v>29</v>
      </c>
      <c r="P159" s="10">
        <v>345</v>
      </c>
      <c r="Q159" s="10">
        <v>147</v>
      </c>
      <c r="R159" s="10">
        <v>104</v>
      </c>
      <c r="S159" s="10">
        <v>0</v>
      </c>
      <c r="T159" s="10">
        <v>94</v>
      </c>
    </row>
    <row r="160" spans="1:20" x14ac:dyDescent="0.3">
      <c r="A160" s="9" t="s">
        <v>30</v>
      </c>
      <c r="B160" s="10">
        <v>25</v>
      </c>
      <c r="C160" s="10">
        <v>22</v>
      </c>
      <c r="D160" s="10">
        <v>2</v>
      </c>
      <c r="E160" s="10">
        <v>0</v>
      </c>
      <c r="F160" s="10">
        <v>1</v>
      </c>
      <c r="H160" s="9" t="s">
        <v>30</v>
      </c>
      <c r="I160" s="10">
        <v>54</v>
      </c>
      <c r="J160" s="10">
        <v>44</v>
      </c>
      <c r="K160" s="10">
        <v>0</v>
      </c>
      <c r="L160" s="10">
        <v>0</v>
      </c>
      <c r="M160" s="10">
        <v>10</v>
      </c>
      <c r="O160" s="9" t="s">
        <v>30</v>
      </c>
      <c r="P160" s="10">
        <v>164</v>
      </c>
      <c r="Q160" s="10">
        <v>63</v>
      </c>
      <c r="R160" s="10">
        <v>54</v>
      </c>
      <c r="S160" s="10">
        <v>3</v>
      </c>
      <c r="T160" s="10">
        <v>44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50</v>
      </c>
      <c r="C162" s="12">
        <v>13</v>
      </c>
      <c r="D162" s="12">
        <v>16</v>
      </c>
      <c r="E162" s="12">
        <v>15</v>
      </c>
      <c r="F162" s="12">
        <v>6</v>
      </c>
      <c r="H162" s="11" t="s">
        <v>32</v>
      </c>
      <c r="I162" s="12">
        <v>105</v>
      </c>
      <c r="J162" s="12">
        <v>40</v>
      </c>
      <c r="K162" s="12">
        <v>5</v>
      </c>
      <c r="L162" s="12">
        <v>30</v>
      </c>
      <c r="M162" s="12">
        <v>30</v>
      </c>
      <c r="O162" s="11" t="s">
        <v>32</v>
      </c>
      <c r="P162" s="12">
        <v>19</v>
      </c>
      <c r="Q162" s="12">
        <v>10</v>
      </c>
      <c r="R162" s="12">
        <v>4</v>
      </c>
      <c r="S162" s="12">
        <v>2</v>
      </c>
      <c r="T162" s="12">
        <v>3</v>
      </c>
    </row>
    <row r="163" spans="1:20" x14ac:dyDescent="0.3">
      <c r="A163" s="13" t="s">
        <v>33</v>
      </c>
      <c r="B163" s="14">
        <v>20</v>
      </c>
      <c r="C163" s="14">
        <v>0</v>
      </c>
      <c r="D163" s="14">
        <v>10</v>
      </c>
      <c r="E163" s="14">
        <v>10</v>
      </c>
      <c r="F163" s="14">
        <v>0</v>
      </c>
      <c r="H163" s="13" t="s">
        <v>33</v>
      </c>
      <c r="I163" s="14">
        <v>1</v>
      </c>
      <c r="J163" s="14">
        <v>0</v>
      </c>
      <c r="K163" s="14">
        <v>0</v>
      </c>
      <c r="L163" s="14">
        <v>0</v>
      </c>
      <c r="M163" s="14">
        <v>1</v>
      </c>
      <c r="O163" s="13" t="s">
        <v>33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30</v>
      </c>
      <c r="C164" s="14">
        <v>13</v>
      </c>
      <c r="D164" s="14">
        <v>6</v>
      </c>
      <c r="E164" s="14">
        <v>5</v>
      </c>
      <c r="F164" s="14">
        <v>6</v>
      </c>
      <c r="H164" s="13" t="s">
        <v>34</v>
      </c>
      <c r="I164" s="14">
        <v>104</v>
      </c>
      <c r="J164" s="14">
        <v>40</v>
      </c>
      <c r="K164" s="14">
        <v>5</v>
      </c>
      <c r="L164" s="14">
        <v>30</v>
      </c>
      <c r="M164" s="14">
        <v>29</v>
      </c>
      <c r="O164" s="13" t="s">
        <v>34</v>
      </c>
      <c r="P164" s="14">
        <v>19</v>
      </c>
      <c r="Q164" s="14">
        <v>10</v>
      </c>
      <c r="R164" s="14">
        <v>4</v>
      </c>
      <c r="S164" s="14">
        <v>2</v>
      </c>
      <c r="T164" s="14">
        <v>3</v>
      </c>
    </row>
    <row r="165" spans="1:20" x14ac:dyDescent="0.3">
      <c r="A165" s="15" t="s">
        <v>35</v>
      </c>
      <c r="B165" s="16">
        <v>4</v>
      </c>
      <c r="C165" s="16">
        <v>2</v>
      </c>
      <c r="D165" s="16">
        <v>0</v>
      </c>
      <c r="E165" s="16">
        <v>2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1</v>
      </c>
      <c r="Q165" s="16">
        <v>0</v>
      </c>
      <c r="R165" s="16">
        <v>0</v>
      </c>
      <c r="S165" s="16">
        <v>1</v>
      </c>
      <c r="T165" s="16">
        <v>0</v>
      </c>
    </row>
    <row r="166" spans="1:20" x14ac:dyDescent="0.3">
      <c r="A166" s="17" t="s">
        <v>36</v>
      </c>
      <c r="B166" s="18">
        <v>4</v>
      </c>
      <c r="C166" s="18">
        <v>2</v>
      </c>
      <c r="D166" s="18">
        <v>0</v>
      </c>
      <c r="E166" s="18">
        <v>2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1</v>
      </c>
      <c r="Q166" s="112">
        <v>0</v>
      </c>
      <c r="R166" s="112">
        <v>0</v>
      </c>
      <c r="S166" s="112">
        <v>1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1</v>
      </c>
      <c r="Q167" s="112">
        <v>0</v>
      </c>
      <c r="R167" s="112">
        <v>0</v>
      </c>
      <c r="S167" s="112">
        <v>1</v>
      </c>
      <c r="T167" s="112">
        <v>0</v>
      </c>
    </row>
    <row r="168" spans="1:20" x14ac:dyDescent="0.3">
      <c r="A168" s="17" t="s">
        <v>38</v>
      </c>
      <c r="B168" s="167" t="s">
        <v>408</v>
      </c>
      <c r="C168" s="168"/>
      <c r="D168" s="168"/>
      <c r="E168" s="168"/>
      <c r="F168" s="168"/>
      <c r="H168" s="17" t="s">
        <v>38</v>
      </c>
      <c r="I168" s="167" t="s">
        <v>1370</v>
      </c>
      <c r="J168" s="168"/>
      <c r="K168" s="168"/>
      <c r="L168" s="168"/>
      <c r="M168" s="168"/>
      <c r="O168" s="17" t="s">
        <v>38</v>
      </c>
      <c r="P168" s="167" t="s">
        <v>1754</v>
      </c>
      <c r="Q168" s="168"/>
      <c r="R168" s="168"/>
      <c r="S168" s="168"/>
      <c r="T168" s="168"/>
    </row>
    <row r="169" spans="1:20" ht="19.8" x14ac:dyDescent="0.3">
      <c r="A169" s="170">
        <v>46092</v>
      </c>
      <c r="B169" s="168"/>
      <c r="C169" s="168"/>
      <c r="D169" s="168"/>
      <c r="E169" s="168"/>
      <c r="F169" s="168"/>
      <c r="H169" s="170">
        <v>46122</v>
      </c>
      <c r="I169" s="168"/>
      <c r="J169" s="168"/>
      <c r="K169" s="168"/>
      <c r="L169" s="168"/>
      <c r="M169" s="168"/>
      <c r="O169" s="170">
        <v>46154</v>
      </c>
      <c r="P169" s="168"/>
      <c r="Q169" s="168"/>
      <c r="R169" s="168"/>
      <c r="S169" s="168"/>
      <c r="T169" s="168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3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1800</v>
      </c>
      <c r="R170" s="1" t="s">
        <v>3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1952</v>
      </c>
      <c r="C171" s="3">
        <v>468</v>
      </c>
      <c r="D171" s="3">
        <v>756</v>
      </c>
      <c r="E171" s="3">
        <v>604</v>
      </c>
      <c r="F171" s="3">
        <v>124</v>
      </c>
      <c r="H171" s="2" t="s">
        <v>5</v>
      </c>
      <c r="I171" s="3">
        <v>4788</v>
      </c>
      <c r="J171" s="3">
        <v>1540</v>
      </c>
      <c r="K171" s="3">
        <v>1177</v>
      </c>
      <c r="L171" s="3">
        <v>1029</v>
      </c>
      <c r="M171" s="3">
        <v>1042</v>
      </c>
      <c r="O171" s="2" t="s">
        <v>5</v>
      </c>
      <c r="P171" s="3">
        <v>7242</v>
      </c>
      <c r="Q171" s="3">
        <v>2122</v>
      </c>
      <c r="R171" s="3">
        <v>1849</v>
      </c>
      <c r="S171" s="3">
        <v>1562</v>
      </c>
      <c r="T171" s="3">
        <v>1709</v>
      </c>
    </row>
    <row r="172" spans="1:20" x14ac:dyDescent="0.3">
      <c r="A172" s="2" t="s">
        <v>6</v>
      </c>
      <c r="B172" s="3">
        <v>323</v>
      </c>
      <c r="C172" s="4">
        <v>20</v>
      </c>
      <c r="D172" s="6">
        <v>61</v>
      </c>
      <c r="E172" s="5">
        <v>230</v>
      </c>
      <c r="F172" s="3">
        <v>12</v>
      </c>
      <c r="H172" s="2" t="s">
        <v>6</v>
      </c>
      <c r="I172" s="3">
        <v>216</v>
      </c>
      <c r="J172" s="5">
        <v>91</v>
      </c>
      <c r="K172" s="6">
        <v>66</v>
      </c>
      <c r="L172" s="3">
        <v>3</v>
      </c>
      <c r="M172" s="4">
        <v>56</v>
      </c>
      <c r="O172" s="2" t="s">
        <v>6</v>
      </c>
      <c r="P172" s="3">
        <v>771</v>
      </c>
      <c r="Q172" s="5">
        <v>279</v>
      </c>
      <c r="R172" s="4">
        <v>234</v>
      </c>
      <c r="S172" s="3">
        <v>7</v>
      </c>
      <c r="T172" s="6">
        <v>251</v>
      </c>
    </row>
    <row r="173" spans="1:20" x14ac:dyDescent="0.3">
      <c r="A173" s="2" t="s">
        <v>7</v>
      </c>
      <c r="B173" s="3" t="s">
        <v>435</v>
      </c>
      <c r="C173" s="3" t="s">
        <v>436</v>
      </c>
      <c r="D173" s="4" t="s">
        <v>437</v>
      </c>
      <c r="E173" s="5" t="s">
        <v>438</v>
      </c>
      <c r="F173" s="6" t="s">
        <v>439</v>
      </c>
      <c r="H173" s="2" t="s">
        <v>7</v>
      </c>
      <c r="I173" s="3" t="s">
        <v>140</v>
      </c>
      <c r="J173" s="5" t="s">
        <v>1172</v>
      </c>
      <c r="K173" s="6" t="s">
        <v>194</v>
      </c>
      <c r="L173" s="3" t="s">
        <v>227</v>
      </c>
      <c r="M173" s="4" t="s">
        <v>1053</v>
      </c>
      <c r="O173" s="2" t="s">
        <v>7</v>
      </c>
      <c r="P173" s="3" t="s">
        <v>1088</v>
      </c>
      <c r="Q173" s="6" t="s">
        <v>20</v>
      </c>
      <c r="R173" s="4" t="s">
        <v>1877</v>
      </c>
      <c r="S173" s="3" t="s">
        <v>241</v>
      </c>
      <c r="T173" s="5" t="s">
        <v>1586</v>
      </c>
    </row>
    <row r="174" spans="1:20" x14ac:dyDescent="0.3">
      <c r="A174" s="2" t="s">
        <v>12</v>
      </c>
      <c r="B174" s="3" t="s">
        <v>440</v>
      </c>
      <c r="C174" s="5" t="s">
        <v>104</v>
      </c>
      <c r="D174" s="6" t="s">
        <v>441</v>
      </c>
      <c r="E174" s="4" t="s">
        <v>352</v>
      </c>
      <c r="F174" s="3" t="s">
        <v>353</v>
      </c>
      <c r="H174" s="2" t="s">
        <v>12</v>
      </c>
      <c r="I174" s="3" t="s">
        <v>1224</v>
      </c>
      <c r="J174" s="6" t="s">
        <v>790</v>
      </c>
      <c r="K174" s="5" t="s">
        <v>1386</v>
      </c>
      <c r="L174" s="3" t="s">
        <v>25</v>
      </c>
      <c r="M174" s="4" t="s">
        <v>140</v>
      </c>
      <c r="O174" s="2" t="s">
        <v>12</v>
      </c>
      <c r="P174" s="3" t="s">
        <v>1355</v>
      </c>
      <c r="Q174" s="6" t="s">
        <v>423</v>
      </c>
      <c r="R174" s="4" t="s">
        <v>1746</v>
      </c>
      <c r="S174" s="3" t="s">
        <v>241</v>
      </c>
      <c r="T174" s="5" t="s">
        <v>1261</v>
      </c>
    </row>
    <row r="175" spans="1:20" x14ac:dyDescent="0.3">
      <c r="A175" s="2" t="s">
        <v>17</v>
      </c>
      <c r="B175" s="3" t="s">
        <v>442</v>
      </c>
      <c r="C175" s="3" t="s">
        <v>443</v>
      </c>
      <c r="D175" s="4" t="s">
        <v>444</v>
      </c>
      <c r="E175" s="5" t="s">
        <v>445</v>
      </c>
      <c r="F175" s="6" t="s">
        <v>446</v>
      </c>
      <c r="H175" s="2" t="s">
        <v>17</v>
      </c>
      <c r="I175" s="3" t="s">
        <v>50</v>
      </c>
      <c r="J175" s="6" t="s">
        <v>137</v>
      </c>
      <c r="K175" s="4" t="s">
        <v>100</v>
      </c>
      <c r="L175" s="3" t="s">
        <v>136</v>
      </c>
      <c r="M175" s="5" t="s">
        <v>467</v>
      </c>
      <c r="O175" s="2" t="s">
        <v>17</v>
      </c>
      <c r="P175" s="3" t="s">
        <v>49</v>
      </c>
      <c r="Q175" s="6" t="s">
        <v>84</v>
      </c>
      <c r="R175" s="4" t="s">
        <v>158</v>
      </c>
      <c r="S175" s="3" t="s">
        <v>25</v>
      </c>
      <c r="T175" s="5" t="s">
        <v>227</v>
      </c>
    </row>
    <row r="176" spans="1:20" x14ac:dyDescent="0.3">
      <c r="A176" s="2" t="s">
        <v>22</v>
      </c>
      <c r="B176" s="3" t="s">
        <v>447</v>
      </c>
      <c r="C176" s="3" t="s">
        <v>25</v>
      </c>
      <c r="D176" s="6" t="s">
        <v>71</v>
      </c>
      <c r="E176" s="4" t="s">
        <v>441</v>
      </c>
      <c r="F176" s="5" t="s">
        <v>448</v>
      </c>
      <c r="H176" s="2" t="s">
        <v>22</v>
      </c>
      <c r="I176" s="3" t="s">
        <v>267</v>
      </c>
      <c r="J176" s="3" t="s">
        <v>25</v>
      </c>
      <c r="K176" s="3" t="s">
        <v>25</v>
      </c>
      <c r="L176" s="5" t="s">
        <v>81</v>
      </c>
      <c r="M176" s="3" t="s">
        <v>25</v>
      </c>
      <c r="O176" s="2" t="s">
        <v>22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53</v>
      </c>
      <c r="C177" s="8">
        <v>18</v>
      </c>
      <c r="D177" s="8">
        <v>20</v>
      </c>
      <c r="E177" s="8">
        <v>13</v>
      </c>
      <c r="F177" s="8">
        <v>2</v>
      </c>
      <c r="H177" s="7" t="s">
        <v>26</v>
      </c>
      <c r="I177" s="8">
        <v>189</v>
      </c>
      <c r="J177" s="8">
        <v>80</v>
      </c>
      <c r="K177" s="8">
        <v>62</v>
      </c>
      <c r="L177" s="8">
        <v>0</v>
      </c>
      <c r="M177" s="8">
        <v>47</v>
      </c>
      <c r="O177" s="7" t="s">
        <v>26</v>
      </c>
      <c r="P177" s="8">
        <v>762</v>
      </c>
      <c r="Q177" s="8">
        <v>276</v>
      </c>
      <c r="R177" s="8">
        <v>233</v>
      </c>
      <c r="S177" s="8">
        <v>7</v>
      </c>
      <c r="T177" s="8">
        <v>246</v>
      </c>
    </row>
    <row r="178" spans="1:20" x14ac:dyDescent="0.3">
      <c r="A178" s="9" t="s">
        <v>27</v>
      </c>
      <c r="B178" s="10">
        <v>14</v>
      </c>
      <c r="C178" s="10">
        <v>4</v>
      </c>
      <c r="D178" s="10">
        <v>9</v>
      </c>
      <c r="E178" s="10">
        <v>1</v>
      </c>
      <c r="F178" s="10">
        <v>0</v>
      </c>
      <c r="H178" s="9" t="s">
        <v>27</v>
      </c>
      <c r="I178" s="10">
        <v>13</v>
      </c>
      <c r="J178" s="10">
        <v>6</v>
      </c>
      <c r="K178" s="10">
        <v>6</v>
      </c>
      <c r="L178" s="10">
        <v>0</v>
      </c>
      <c r="M178" s="10">
        <v>1</v>
      </c>
      <c r="O178" s="9" t="s">
        <v>27</v>
      </c>
      <c r="P178" s="10">
        <v>125</v>
      </c>
      <c r="Q178" s="10">
        <v>38</v>
      </c>
      <c r="R178" s="10">
        <v>43</v>
      </c>
      <c r="S178" s="10">
        <v>5</v>
      </c>
      <c r="T178" s="10">
        <v>39</v>
      </c>
    </row>
    <row r="179" spans="1:20" x14ac:dyDescent="0.3">
      <c r="A179" s="9" t="s">
        <v>28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H179" s="9" t="s">
        <v>28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O179" s="9" t="s">
        <v>28</v>
      </c>
      <c r="P179" s="10">
        <v>11</v>
      </c>
      <c r="Q179" s="10">
        <v>1</v>
      </c>
      <c r="R179" s="10">
        <v>5</v>
      </c>
      <c r="S179" s="10">
        <v>0</v>
      </c>
      <c r="T179" s="10">
        <v>5</v>
      </c>
    </row>
    <row r="180" spans="1:20" x14ac:dyDescent="0.3">
      <c r="A180" s="9" t="s">
        <v>29</v>
      </c>
      <c r="B180" s="10">
        <v>30</v>
      </c>
      <c r="C180" s="10">
        <v>11</v>
      </c>
      <c r="D180" s="10">
        <v>6</v>
      </c>
      <c r="E180" s="10">
        <v>11</v>
      </c>
      <c r="F180" s="10">
        <v>2</v>
      </c>
      <c r="H180" s="9" t="s">
        <v>29</v>
      </c>
      <c r="I180" s="10">
        <v>170</v>
      </c>
      <c r="J180" s="10">
        <v>70</v>
      </c>
      <c r="K180" s="10">
        <v>55</v>
      </c>
      <c r="L180" s="10">
        <v>0</v>
      </c>
      <c r="M180" s="10">
        <v>45</v>
      </c>
      <c r="O180" s="9" t="s">
        <v>29</v>
      </c>
      <c r="P180" s="10">
        <v>394</v>
      </c>
      <c r="Q180" s="10">
        <v>146</v>
      </c>
      <c r="R180" s="10">
        <v>114</v>
      </c>
      <c r="S180" s="10">
        <v>1</v>
      </c>
      <c r="T180" s="10">
        <v>133</v>
      </c>
    </row>
    <row r="181" spans="1:20" x14ac:dyDescent="0.3">
      <c r="A181" s="9" t="s">
        <v>30</v>
      </c>
      <c r="B181" s="10">
        <v>9</v>
      </c>
      <c r="C181" s="10">
        <v>3</v>
      </c>
      <c r="D181" s="10">
        <v>5</v>
      </c>
      <c r="E181" s="10">
        <v>1</v>
      </c>
      <c r="F181" s="10">
        <v>0</v>
      </c>
      <c r="H181" s="9" t="s">
        <v>30</v>
      </c>
      <c r="I181" s="10">
        <v>6</v>
      </c>
      <c r="J181" s="10">
        <v>4</v>
      </c>
      <c r="K181" s="10">
        <v>1</v>
      </c>
      <c r="L181" s="10">
        <v>0</v>
      </c>
      <c r="M181" s="10">
        <v>1</v>
      </c>
      <c r="O181" s="9" t="s">
        <v>30</v>
      </c>
      <c r="P181" s="10">
        <v>232</v>
      </c>
      <c r="Q181" s="10">
        <v>91</v>
      </c>
      <c r="R181" s="10">
        <v>71</v>
      </c>
      <c r="S181" s="10">
        <v>1</v>
      </c>
      <c r="T181" s="10">
        <v>69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269</v>
      </c>
      <c r="C183" s="12">
        <v>5</v>
      </c>
      <c r="D183" s="12">
        <v>41</v>
      </c>
      <c r="E183" s="12">
        <v>213</v>
      </c>
      <c r="F183" s="12">
        <v>10</v>
      </c>
      <c r="H183" s="11" t="s">
        <v>32</v>
      </c>
      <c r="I183" s="12">
        <v>24</v>
      </c>
      <c r="J183" s="12">
        <v>9</v>
      </c>
      <c r="K183" s="12">
        <v>4</v>
      </c>
      <c r="L183" s="12">
        <v>2</v>
      </c>
      <c r="M183" s="12">
        <v>9</v>
      </c>
      <c r="O183" s="11" t="s">
        <v>32</v>
      </c>
      <c r="P183" s="12">
        <v>8</v>
      </c>
      <c r="Q183" s="12">
        <v>2</v>
      </c>
      <c r="R183" s="12">
        <v>1</v>
      </c>
      <c r="S183" s="12">
        <v>0</v>
      </c>
      <c r="T183" s="12">
        <v>5</v>
      </c>
    </row>
    <row r="184" spans="1:20" x14ac:dyDescent="0.3">
      <c r="A184" s="13" t="s">
        <v>33</v>
      </c>
      <c r="B184" s="14">
        <v>207</v>
      </c>
      <c r="C184" s="14">
        <v>0</v>
      </c>
      <c r="D184" s="14">
        <v>12</v>
      </c>
      <c r="E184" s="14">
        <v>195</v>
      </c>
      <c r="F184" s="14">
        <v>0</v>
      </c>
      <c r="H184" s="13" t="s">
        <v>33</v>
      </c>
      <c r="I184" s="14">
        <v>1</v>
      </c>
      <c r="J184" s="14">
        <v>0</v>
      </c>
      <c r="K184" s="14">
        <v>0</v>
      </c>
      <c r="L184" s="14">
        <v>0</v>
      </c>
      <c r="M184" s="14">
        <v>1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62</v>
      </c>
      <c r="C185" s="14">
        <v>5</v>
      </c>
      <c r="D185" s="14">
        <v>29</v>
      </c>
      <c r="E185" s="14">
        <v>18</v>
      </c>
      <c r="F185" s="14">
        <v>10</v>
      </c>
      <c r="H185" s="13" t="s">
        <v>34</v>
      </c>
      <c r="I185" s="14">
        <v>23</v>
      </c>
      <c r="J185" s="14">
        <v>9</v>
      </c>
      <c r="K185" s="14">
        <v>4</v>
      </c>
      <c r="L185" s="14">
        <v>2</v>
      </c>
      <c r="M185" s="14">
        <v>8</v>
      </c>
      <c r="O185" s="13" t="s">
        <v>34</v>
      </c>
      <c r="P185" s="14">
        <v>8</v>
      </c>
      <c r="Q185" s="14">
        <v>2</v>
      </c>
      <c r="R185" s="14">
        <v>1</v>
      </c>
      <c r="S185" s="14">
        <v>0</v>
      </c>
      <c r="T185" s="14">
        <v>5</v>
      </c>
    </row>
    <row r="186" spans="1:20" x14ac:dyDescent="0.3">
      <c r="A186" s="15" t="s">
        <v>35</v>
      </c>
      <c r="B186" s="16">
        <v>47</v>
      </c>
      <c r="C186" s="16">
        <v>0</v>
      </c>
      <c r="D186" s="16">
        <v>22</v>
      </c>
      <c r="E186" s="16">
        <v>16</v>
      </c>
      <c r="F186" s="16">
        <v>9</v>
      </c>
      <c r="H186" s="15" t="s">
        <v>35</v>
      </c>
      <c r="I186" s="16">
        <v>1</v>
      </c>
      <c r="J186" s="16">
        <v>0</v>
      </c>
      <c r="K186" s="16">
        <v>0</v>
      </c>
      <c r="L186" s="16">
        <v>1</v>
      </c>
      <c r="M186" s="16">
        <v>0</v>
      </c>
      <c r="O186" s="15" t="s">
        <v>35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47</v>
      </c>
      <c r="C187" s="18">
        <v>0</v>
      </c>
      <c r="D187" s="18">
        <v>22</v>
      </c>
      <c r="E187" s="18">
        <v>16</v>
      </c>
      <c r="F187" s="18">
        <v>9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1</v>
      </c>
      <c r="J188" s="78">
        <v>0</v>
      </c>
      <c r="K188" s="78">
        <v>0</v>
      </c>
      <c r="L188" s="78">
        <v>1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67" t="s">
        <v>449</v>
      </c>
      <c r="C189" s="168"/>
      <c r="D189" s="168"/>
      <c r="E189" s="168"/>
      <c r="F189" s="168"/>
      <c r="H189" s="17" t="s">
        <v>38</v>
      </c>
      <c r="I189" s="167" t="s">
        <v>1387</v>
      </c>
      <c r="J189" s="168"/>
      <c r="K189" s="168"/>
      <c r="L189" s="168"/>
      <c r="M189" s="168"/>
      <c r="O189" s="17" t="s">
        <v>38</v>
      </c>
      <c r="P189" s="167" t="s">
        <v>1754</v>
      </c>
      <c r="Q189" s="168"/>
      <c r="R189" s="168"/>
      <c r="S189" s="168"/>
      <c r="T189" s="168"/>
    </row>
    <row r="190" spans="1:20" ht="19.8" x14ac:dyDescent="0.3">
      <c r="A190" s="170">
        <v>46093</v>
      </c>
      <c r="B190" s="168"/>
      <c r="C190" s="168"/>
      <c r="D190" s="168"/>
      <c r="E190" s="168"/>
      <c r="F190" s="168"/>
      <c r="H190" s="170">
        <v>46123</v>
      </c>
      <c r="I190" s="168"/>
      <c r="J190" s="168"/>
      <c r="K190" s="168"/>
      <c r="L190" s="168"/>
      <c r="M190" s="168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2</v>
      </c>
      <c r="K191" s="1" t="s">
        <v>3</v>
      </c>
      <c r="L191" s="1" t="s">
        <v>40</v>
      </c>
      <c r="M191" s="1" t="s">
        <v>4</v>
      </c>
      <c r="O191" s="1" t="s">
        <v>0</v>
      </c>
      <c r="P191" s="1" t="s">
        <v>1</v>
      </c>
      <c r="Q191" s="1" t="s">
        <v>1800</v>
      </c>
      <c r="R191" s="1" t="s">
        <v>3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4738</v>
      </c>
      <c r="C192" s="3">
        <v>294</v>
      </c>
      <c r="D192" s="3">
        <v>1574</v>
      </c>
      <c r="E192" s="3">
        <v>1450</v>
      </c>
      <c r="F192" s="3">
        <v>1420</v>
      </c>
      <c r="H192" s="2" t="s">
        <v>5</v>
      </c>
      <c r="I192" s="3">
        <v>3505</v>
      </c>
      <c r="J192" s="3">
        <v>1101</v>
      </c>
      <c r="K192" s="3">
        <v>724</v>
      </c>
      <c r="L192" s="3">
        <v>805</v>
      </c>
      <c r="M192" s="3">
        <v>875</v>
      </c>
      <c r="O192" s="2" t="s">
        <v>5</v>
      </c>
      <c r="P192" s="3">
        <v>5278</v>
      </c>
      <c r="Q192" s="3">
        <v>1633</v>
      </c>
      <c r="R192" s="3">
        <v>1235</v>
      </c>
      <c r="S192" s="3">
        <v>1142</v>
      </c>
      <c r="T192" s="3">
        <v>1268</v>
      </c>
    </row>
    <row r="193" spans="1:20" x14ac:dyDescent="0.3">
      <c r="A193" s="2" t="s">
        <v>6</v>
      </c>
      <c r="B193" s="3">
        <v>203</v>
      </c>
      <c r="C193" s="3">
        <v>9</v>
      </c>
      <c r="D193" s="6">
        <v>46</v>
      </c>
      <c r="E193" s="4">
        <v>23</v>
      </c>
      <c r="F193" s="5">
        <v>125</v>
      </c>
      <c r="H193" s="2" t="s">
        <v>6</v>
      </c>
      <c r="I193" s="3">
        <v>83</v>
      </c>
      <c r="J193" s="6">
        <v>27</v>
      </c>
      <c r="K193" s="4">
        <v>22</v>
      </c>
      <c r="L193" s="3">
        <v>6</v>
      </c>
      <c r="M193" s="5">
        <v>28</v>
      </c>
      <c r="O193" s="2" t="s">
        <v>6</v>
      </c>
      <c r="P193" s="3">
        <v>321</v>
      </c>
      <c r="Q193" s="6">
        <v>108</v>
      </c>
      <c r="R193" s="5">
        <v>111</v>
      </c>
      <c r="S193" s="3">
        <v>4</v>
      </c>
      <c r="T193" s="4">
        <v>98</v>
      </c>
    </row>
    <row r="194" spans="1:20" x14ac:dyDescent="0.3">
      <c r="A194" s="2" t="s">
        <v>7</v>
      </c>
      <c r="B194" s="3" t="s">
        <v>477</v>
      </c>
      <c r="C194" s="6" t="s">
        <v>478</v>
      </c>
      <c r="D194" s="4" t="s">
        <v>479</v>
      </c>
      <c r="E194" s="3" t="s">
        <v>364</v>
      </c>
      <c r="F194" s="5" t="s">
        <v>480</v>
      </c>
      <c r="H194" s="2" t="s">
        <v>7</v>
      </c>
      <c r="I194" s="3" t="s">
        <v>503</v>
      </c>
      <c r="J194" s="4" t="s">
        <v>1214</v>
      </c>
      <c r="K194" s="6" t="s">
        <v>1411</v>
      </c>
      <c r="L194" s="3" t="s">
        <v>44</v>
      </c>
      <c r="M194" s="5" t="s">
        <v>1412</v>
      </c>
      <c r="O194" s="2" t="s">
        <v>7</v>
      </c>
      <c r="P194" s="3" t="s">
        <v>1013</v>
      </c>
      <c r="Q194" s="4" t="s">
        <v>301</v>
      </c>
      <c r="R194" s="5" t="s">
        <v>1613</v>
      </c>
      <c r="S194" s="3" t="s">
        <v>135</v>
      </c>
      <c r="T194" s="6" t="s">
        <v>1532</v>
      </c>
    </row>
    <row r="195" spans="1:20" x14ac:dyDescent="0.3">
      <c r="A195" s="2" t="s">
        <v>12</v>
      </c>
      <c r="B195" s="3" t="s">
        <v>481</v>
      </c>
      <c r="C195" s="3" t="s">
        <v>100</v>
      </c>
      <c r="D195" s="6" t="s">
        <v>482</v>
      </c>
      <c r="E195" s="4" t="s">
        <v>186</v>
      </c>
      <c r="F195" s="5" t="s">
        <v>483</v>
      </c>
      <c r="H195" s="2" t="s">
        <v>12</v>
      </c>
      <c r="I195" s="3" t="s">
        <v>450</v>
      </c>
      <c r="J195" s="4" t="s">
        <v>196</v>
      </c>
      <c r="K195" s="5" t="s">
        <v>393</v>
      </c>
      <c r="L195" s="3" t="s">
        <v>47</v>
      </c>
      <c r="M195" s="6" t="s">
        <v>540</v>
      </c>
      <c r="O195" s="2" t="s">
        <v>12</v>
      </c>
      <c r="P195" s="3" t="s">
        <v>1358</v>
      </c>
      <c r="Q195" s="4" t="s">
        <v>1268</v>
      </c>
      <c r="R195" s="5" t="s">
        <v>312</v>
      </c>
      <c r="S195" s="3" t="s">
        <v>101</v>
      </c>
      <c r="T195" s="6" t="s">
        <v>984</v>
      </c>
    </row>
    <row r="196" spans="1:20" x14ac:dyDescent="0.3">
      <c r="A196" s="2" t="s">
        <v>17</v>
      </c>
      <c r="B196" s="3" t="s">
        <v>83</v>
      </c>
      <c r="C196" s="5" t="s">
        <v>440</v>
      </c>
      <c r="D196" s="6" t="s">
        <v>484</v>
      </c>
      <c r="E196" s="4" t="s">
        <v>87</v>
      </c>
      <c r="F196" s="3" t="s">
        <v>77</v>
      </c>
      <c r="H196" s="2" t="s">
        <v>17</v>
      </c>
      <c r="I196" s="3" t="s">
        <v>354</v>
      </c>
      <c r="J196" s="4" t="s">
        <v>241</v>
      </c>
      <c r="K196" s="3" t="s">
        <v>595</v>
      </c>
      <c r="L196" s="6" t="s">
        <v>50</v>
      </c>
      <c r="M196" s="5" t="s">
        <v>887</v>
      </c>
      <c r="O196" s="2" t="s">
        <v>17</v>
      </c>
      <c r="P196" s="3" t="s">
        <v>108</v>
      </c>
      <c r="Q196" s="6" t="s">
        <v>109</v>
      </c>
      <c r="R196" s="4" t="s">
        <v>154</v>
      </c>
      <c r="S196" s="3" t="s">
        <v>84</v>
      </c>
      <c r="T196" s="5" t="s">
        <v>347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101</v>
      </c>
      <c r="J197" s="6" t="s">
        <v>109</v>
      </c>
      <c r="K197" s="4" t="s">
        <v>310</v>
      </c>
      <c r="L197" s="3" t="s">
        <v>102</v>
      </c>
      <c r="M197" s="5" t="s">
        <v>596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172</v>
      </c>
      <c r="C198" s="8">
        <v>1</v>
      </c>
      <c r="D198" s="8">
        <v>35</v>
      </c>
      <c r="E198" s="8">
        <v>14</v>
      </c>
      <c r="F198" s="8">
        <v>122</v>
      </c>
      <c r="H198" s="7" t="s">
        <v>26</v>
      </c>
      <c r="I198" s="8">
        <v>64</v>
      </c>
      <c r="J198" s="8">
        <v>22</v>
      </c>
      <c r="K198" s="8">
        <v>20</v>
      </c>
      <c r="L198" s="8">
        <v>2</v>
      </c>
      <c r="M198" s="8">
        <v>20</v>
      </c>
      <c r="O198" s="7" t="s">
        <v>26</v>
      </c>
      <c r="P198" s="8">
        <v>314</v>
      </c>
      <c r="Q198" s="8">
        <v>107</v>
      </c>
      <c r="R198" s="8">
        <v>109</v>
      </c>
      <c r="S198" s="8">
        <v>3</v>
      </c>
      <c r="T198" s="8">
        <v>95</v>
      </c>
    </row>
    <row r="199" spans="1:20" x14ac:dyDescent="0.3">
      <c r="A199" s="9" t="s">
        <v>27</v>
      </c>
      <c r="B199" s="10">
        <v>35</v>
      </c>
      <c r="C199" s="10">
        <v>0</v>
      </c>
      <c r="D199" s="10">
        <v>22</v>
      </c>
      <c r="E199" s="10">
        <v>5</v>
      </c>
      <c r="F199" s="10">
        <v>8</v>
      </c>
      <c r="H199" s="9" t="s">
        <v>27</v>
      </c>
      <c r="I199" s="10">
        <v>16</v>
      </c>
      <c r="J199" s="10">
        <v>3</v>
      </c>
      <c r="K199" s="10">
        <v>5</v>
      </c>
      <c r="L199" s="10">
        <v>2</v>
      </c>
      <c r="M199" s="10">
        <v>6</v>
      </c>
      <c r="O199" s="9" t="s">
        <v>27</v>
      </c>
      <c r="P199" s="10">
        <v>44</v>
      </c>
      <c r="Q199" s="10">
        <v>13</v>
      </c>
      <c r="R199" s="10">
        <v>19</v>
      </c>
      <c r="S199" s="10">
        <v>1</v>
      </c>
      <c r="T199" s="10">
        <v>11</v>
      </c>
    </row>
    <row r="200" spans="1:20" x14ac:dyDescent="0.3">
      <c r="A200" s="9" t="s">
        <v>28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H200" s="9" t="s">
        <v>28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O200" s="9" t="s">
        <v>28</v>
      </c>
      <c r="P200" s="10">
        <v>41</v>
      </c>
      <c r="Q200" s="10">
        <v>2</v>
      </c>
      <c r="R200" s="10">
        <v>22</v>
      </c>
      <c r="S200" s="10">
        <v>1</v>
      </c>
      <c r="T200" s="10">
        <v>16</v>
      </c>
    </row>
    <row r="201" spans="1:20" x14ac:dyDescent="0.3">
      <c r="A201" s="9" t="s">
        <v>29</v>
      </c>
      <c r="B201" s="10">
        <v>126</v>
      </c>
      <c r="C201" s="10">
        <v>0</v>
      </c>
      <c r="D201" s="10">
        <v>4</v>
      </c>
      <c r="E201" s="10">
        <v>9</v>
      </c>
      <c r="F201" s="10">
        <v>113</v>
      </c>
      <c r="H201" s="9" t="s">
        <v>29</v>
      </c>
      <c r="I201" s="10">
        <v>40</v>
      </c>
      <c r="J201" s="10">
        <v>14</v>
      </c>
      <c r="K201" s="10">
        <v>13</v>
      </c>
      <c r="L201" s="10">
        <v>0</v>
      </c>
      <c r="M201" s="10">
        <v>13</v>
      </c>
      <c r="O201" s="9" t="s">
        <v>29</v>
      </c>
      <c r="P201" s="10">
        <v>162</v>
      </c>
      <c r="Q201" s="10">
        <v>63</v>
      </c>
      <c r="R201" s="10">
        <v>55</v>
      </c>
      <c r="S201" s="10">
        <v>0</v>
      </c>
      <c r="T201" s="10">
        <v>44</v>
      </c>
    </row>
    <row r="202" spans="1:20" x14ac:dyDescent="0.3">
      <c r="A202" s="9" t="s">
        <v>30</v>
      </c>
      <c r="B202" s="10">
        <v>11</v>
      </c>
      <c r="C202" s="10">
        <v>1</v>
      </c>
      <c r="D202" s="10">
        <v>9</v>
      </c>
      <c r="E202" s="10">
        <v>0</v>
      </c>
      <c r="F202" s="10">
        <v>1</v>
      </c>
      <c r="H202" s="9" t="s">
        <v>30</v>
      </c>
      <c r="I202" s="10">
        <v>8</v>
      </c>
      <c r="J202" s="10">
        <v>5</v>
      </c>
      <c r="K202" s="10">
        <v>2</v>
      </c>
      <c r="L202" s="10">
        <v>0</v>
      </c>
      <c r="M202" s="10">
        <v>1</v>
      </c>
      <c r="O202" s="9" t="s">
        <v>30</v>
      </c>
      <c r="P202" s="10">
        <v>67</v>
      </c>
      <c r="Q202" s="10">
        <v>29</v>
      </c>
      <c r="R202" s="10">
        <v>13</v>
      </c>
      <c r="S202" s="10">
        <v>1</v>
      </c>
      <c r="T202" s="10">
        <v>24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31</v>
      </c>
      <c r="C204" s="12">
        <v>8</v>
      </c>
      <c r="D204" s="12">
        <v>11</v>
      </c>
      <c r="E204" s="12">
        <v>9</v>
      </c>
      <c r="F204" s="12">
        <v>3</v>
      </c>
      <c r="H204" s="11" t="s">
        <v>32</v>
      </c>
      <c r="I204" s="12">
        <v>19</v>
      </c>
      <c r="J204" s="12">
        <v>5</v>
      </c>
      <c r="K204" s="12">
        <v>2</v>
      </c>
      <c r="L204" s="12">
        <v>4</v>
      </c>
      <c r="M204" s="12">
        <v>8</v>
      </c>
      <c r="O204" s="11" t="s">
        <v>32</v>
      </c>
      <c r="P204" s="12">
        <v>9</v>
      </c>
      <c r="Q204" s="12">
        <v>3</v>
      </c>
      <c r="R204" s="12">
        <v>2</v>
      </c>
      <c r="S204" s="12">
        <v>1</v>
      </c>
      <c r="T204" s="12">
        <v>3</v>
      </c>
    </row>
    <row r="205" spans="1:20" x14ac:dyDescent="0.3">
      <c r="A205" s="13" t="s">
        <v>33</v>
      </c>
      <c r="B205" s="14">
        <v>2</v>
      </c>
      <c r="C205" s="14">
        <v>0</v>
      </c>
      <c r="D205" s="14">
        <v>1</v>
      </c>
      <c r="E205" s="14">
        <v>0</v>
      </c>
      <c r="F205" s="14">
        <v>1</v>
      </c>
      <c r="H205" s="13" t="s">
        <v>33</v>
      </c>
      <c r="I205" s="14">
        <v>1</v>
      </c>
      <c r="J205" s="14">
        <v>0</v>
      </c>
      <c r="K205" s="14">
        <v>0</v>
      </c>
      <c r="L205" s="14">
        <v>0</v>
      </c>
      <c r="M205" s="14">
        <v>1</v>
      </c>
      <c r="O205" s="13" t="s">
        <v>33</v>
      </c>
      <c r="P205" s="14">
        <v>1</v>
      </c>
      <c r="Q205" s="14">
        <v>1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29</v>
      </c>
      <c r="C206" s="14">
        <v>8</v>
      </c>
      <c r="D206" s="14">
        <v>10</v>
      </c>
      <c r="E206" s="14">
        <v>9</v>
      </c>
      <c r="F206" s="14">
        <v>2</v>
      </c>
      <c r="H206" s="13" t="s">
        <v>34</v>
      </c>
      <c r="I206" s="14">
        <v>18</v>
      </c>
      <c r="J206" s="14">
        <v>5</v>
      </c>
      <c r="K206" s="14">
        <v>2</v>
      </c>
      <c r="L206" s="14">
        <v>4</v>
      </c>
      <c r="M206" s="14">
        <v>7</v>
      </c>
      <c r="O206" s="13" t="s">
        <v>34</v>
      </c>
      <c r="P206" s="14">
        <v>8</v>
      </c>
      <c r="Q206" s="14">
        <v>2</v>
      </c>
      <c r="R206" s="14">
        <v>2</v>
      </c>
      <c r="S206" s="14">
        <v>1</v>
      </c>
      <c r="T206" s="14">
        <v>3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9</v>
      </c>
      <c r="J207" s="16">
        <v>2</v>
      </c>
      <c r="K207" s="16">
        <v>1</v>
      </c>
      <c r="L207" s="16">
        <v>1</v>
      </c>
      <c r="M207" s="16">
        <v>5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9</v>
      </c>
      <c r="J209" s="78">
        <v>2</v>
      </c>
      <c r="K209" s="78">
        <v>1</v>
      </c>
      <c r="L209" s="78">
        <v>1</v>
      </c>
      <c r="M209" s="78">
        <v>5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67" t="s">
        <v>485</v>
      </c>
      <c r="C210" s="168"/>
      <c r="D210" s="168"/>
      <c r="E210" s="168"/>
      <c r="F210" s="168"/>
      <c r="H210" s="17" t="s">
        <v>38</v>
      </c>
      <c r="I210" s="167" t="s">
        <v>253</v>
      </c>
      <c r="J210" s="168"/>
      <c r="K210" s="168"/>
      <c r="L210" s="168"/>
      <c r="M210" s="168"/>
      <c r="O210" s="17" t="s">
        <v>38</v>
      </c>
      <c r="P210" s="167" t="s">
        <v>1896</v>
      </c>
      <c r="Q210" s="168"/>
      <c r="R210" s="168"/>
      <c r="S210" s="168"/>
      <c r="T210" s="168"/>
    </row>
    <row r="211" spans="1:20" ht="19.8" x14ac:dyDescent="0.3">
      <c r="A211" s="170">
        <v>46094</v>
      </c>
      <c r="B211" s="168"/>
      <c r="C211" s="168"/>
      <c r="D211" s="168"/>
      <c r="E211" s="168"/>
      <c r="F211" s="168"/>
      <c r="H211" s="170">
        <v>46125</v>
      </c>
      <c r="I211" s="168"/>
      <c r="J211" s="168"/>
      <c r="K211" s="168"/>
      <c r="L211" s="168"/>
      <c r="M211" s="168"/>
      <c r="O211" s="170">
        <v>46156</v>
      </c>
      <c r="P211" s="168"/>
      <c r="Q211" s="168"/>
      <c r="R211" s="168"/>
      <c r="S211" s="168"/>
      <c r="T211" s="168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3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1800</v>
      </c>
      <c r="R212" s="1" t="s">
        <v>3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6846</v>
      </c>
      <c r="C213" s="3">
        <v>2099</v>
      </c>
      <c r="D213" s="3">
        <v>1812</v>
      </c>
      <c r="E213" s="3">
        <v>1528</v>
      </c>
      <c r="F213" s="3">
        <v>1407</v>
      </c>
      <c r="H213" s="2" t="s">
        <v>5</v>
      </c>
      <c r="I213" s="3">
        <v>4584</v>
      </c>
      <c r="J213" s="3">
        <v>1436</v>
      </c>
      <c r="K213" s="3">
        <v>1047</v>
      </c>
      <c r="L213" s="3">
        <v>1022</v>
      </c>
      <c r="M213" s="3">
        <v>1079</v>
      </c>
      <c r="O213" s="2" t="s">
        <v>5</v>
      </c>
      <c r="P213" s="3">
        <v>5328</v>
      </c>
      <c r="Q213" s="3">
        <v>775</v>
      </c>
      <c r="R213" s="3">
        <v>1760</v>
      </c>
      <c r="S213" s="3">
        <v>1431</v>
      </c>
      <c r="T213" s="3">
        <v>1362</v>
      </c>
    </row>
    <row r="214" spans="1:20" x14ac:dyDescent="0.3">
      <c r="A214" s="2" t="s">
        <v>6</v>
      </c>
      <c r="B214" s="3">
        <v>334</v>
      </c>
      <c r="C214" s="6">
        <v>77</v>
      </c>
      <c r="D214" s="4">
        <v>73</v>
      </c>
      <c r="E214" s="3">
        <v>29</v>
      </c>
      <c r="F214" s="5">
        <v>155</v>
      </c>
      <c r="H214" s="2" t="s">
        <v>6</v>
      </c>
      <c r="I214" s="3">
        <v>164</v>
      </c>
      <c r="J214" s="5">
        <v>62</v>
      </c>
      <c r="K214" s="6">
        <v>45</v>
      </c>
      <c r="L214" s="3">
        <v>13</v>
      </c>
      <c r="M214" s="4">
        <v>44</v>
      </c>
      <c r="O214" s="2" t="s">
        <v>6</v>
      </c>
      <c r="P214" s="3">
        <v>129</v>
      </c>
      <c r="Q214" s="4">
        <v>18</v>
      </c>
      <c r="R214" s="5">
        <v>56</v>
      </c>
      <c r="S214" s="3">
        <v>5</v>
      </c>
      <c r="T214" s="6">
        <v>50</v>
      </c>
    </row>
    <row r="215" spans="1:20" x14ac:dyDescent="0.3">
      <c r="A215" s="2" t="s">
        <v>7</v>
      </c>
      <c r="B215" s="3" t="s">
        <v>535</v>
      </c>
      <c r="C215" s="4" t="s">
        <v>125</v>
      </c>
      <c r="D215" s="6" t="s">
        <v>536</v>
      </c>
      <c r="E215" s="3" t="s">
        <v>537</v>
      </c>
      <c r="F215" s="5" t="s">
        <v>538</v>
      </c>
      <c r="H215" s="2" t="s">
        <v>7</v>
      </c>
      <c r="I215" s="3" t="s">
        <v>469</v>
      </c>
      <c r="J215" s="5" t="s">
        <v>385</v>
      </c>
      <c r="K215" s="6" t="s">
        <v>647</v>
      </c>
      <c r="L215" s="3" t="s">
        <v>851</v>
      </c>
      <c r="M215" s="4" t="s">
        <v>410</v>
      </c>
      <c r="O215" s="2" t="s">
        <v>7</v>
      </c>
      <c r="P215" s="3" t="s">
        <v>120</v>
      </c>
      <c r="Q215" s="4" t="s">
        <v>293</v>
      </c>
      <c r="R215" s="6" t="s">
        <v>741</v>
      </c>
      <c r="S215" s="3" t="s">
        <v>135</v>
      </c>
      <c r="T215" s="5" t="s">
        <v>125</v>
      </c>
    </row>
    <row r="216" spans="1:20" x14ac:dyDescent="0.3">
      <c r="A216" s="2" t="s">
        <v>12</v>
      </c>
      <c r="B216" s="3" t="s">
        <v>539</v>
      </c>
      <c r="C216" s="4" t="s">
        <v>540</v>
      </c>
      <c r="D216" s="6" t="s">
        <v>541</v>
      </c>
      <c r="E216" s="3" t="s">
        <v>542</v>
      </c>
      <c r="F216" s="5" t="s">
        <v>543</v>
      </c>
      <c r="H216" s="2" t="s">
        <v>12</v>
      </c>
      <c r="I216" s="3" t="s">
        <v>537</v>
      </c>
      <c r="J216" s="4" t="s">
        <v>974</v>
      </c>
      <c r="K216" s="6" t="s">
        <v>391</v>
      </c>
      <c r="L216" s="3" t="s">
        <v>25</v>
      </c>
      <c r="M216" s="5" t="s">
        <v>357</v>
      </c>
      <c r="O216" s="2" t="s">
        <v>12</v>
      </c>
      <c r="P216" s="3" t="s">
        <v>126</v>
      </c>
      <c r="Q216" s="4" t="s">
        <v>342</v>
      </c>
      <c r="R216" s="6" t="s">
        <v>1235</v>
      </c>
      <c r="S216" s="3" t="s">
        <v>77</v>
      </c>
      <c r="T216" s="5" t="s">
        <v>411</v>
      </c>
    </row>
    <row r="217" spans="1:20" x14ac:dyDescent="0.3">
      <c r="A217" s="2" t="s">
        <v>17</v>
      </c>
      <c r="B217" s="3" t="s">
        <v>240</v>
      </c>
      <c r="C217" s="4" t="s">
        <v>185</v>
      </c>
      <c r="D217" s="6" t="s">
        <v>544</v>
      </c>
      <c r="E217" s="3" t="s">
        <v>545</v>
      </c>
      <c r="F217" s="5" t="s">
        <v>546</v>
      </c>
      <c r="H217" s="2" t="s">
        <v>17</v>
      </c>
      <c r="I217" s="3" t="s">
        <v>342</v>
      </c>
      <c r="J217" s="5" t="s">
        <v>511</v>
      </c>
      <c r="K217" s="6" t="s">
        <v>280</v>
      </c>
      <c r="L217" s="3" t="s">
        <v>851</v>
      </c>
      <c r="M217" s="4" t="s">
        <v>1074</v>
      </c>
      <c r="O217" s="2" t="s">
        <v>17</v>
      </c>
      <c r="P217" s="3" t="s">
        <v>595</v>
      </c>
      <c r="Q217" s="5" t="s">
        <v>83</v>
      </c>
      <c r="R217" s="6" t="s">
        <v>100</v>
      </c>
      <c r="S217" s="3" t="s">
        <v>310</v>
      </c>
      <c r="T217" s="4" t="s">
        <v>121</v>
      </c>
    </row>
    <row r="218" spans="1:20" x14ac:dyDescent="0.3">
      <c r="A218" s="2" t="s">
        <v>22</v>
      </c>
      <c r="B218" s="3" t="s">
        <v>258</v>
      </c>
      <c r="C218" s="3" t="s">
        <v>25</v>
      </c>
      <c r="D218" s="3" t="s">
        <v>25</v>
      </c>
      <c r="E218" s="3" t="s">
        <v>25</v>
      </c>
      <c r="F218" s="5" t="s">
        <v>138</v>
      </c>
      <c r="H218" s="2" t="s">
        <v>22</v>
      </c>
      <c r="I218" s="3" t="s">
        <v>138</v>
      </c>
      <c r="J218" s="3" t="s">
        <v>25</v>
      </c>
      <c r="K218" s="6" t="s">
        <v>81</v>
      </c>
      <c r="L218" s="5" t="s">
        <v>81</v>
      </c>
      <c r="M218" s="4" t="s">
        <v>84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240</v>
      </c>
      <c r="C219" s="8">
        <v>48</v>
      </c>
      <c r="D219" s="8">
        <v>45</v>
      </c>
      <c r="E219" s="8">
        <v>17</v>
      </c>
      <c r="F219" s="8">
        <v>130</v>
      </c>
      <c r="H219" s="7" t="s">
        <v>26</v>
      </c>
      <c r="I219" s="8">
        <v>87</v>
      </c>
      <c r="J219" s="8">
        <v>32</v>
      </c>
      <c r="K219" s="8">
        <v>27</v>
      </c>
      <c r="L219" s="8">
        <v>0</v>
      </c>
      <c r="M219" s="8">
        <v>28</v>
      </c>
      <c r="O219" s="7" t="s">
        <v>26</v>
      </c>
      <c r="P219" s="8">
        <v>113</v>
      </c>
      <c r="Q219" s="8">
        <v>13</v>
      </c>
      <c r="R219" s="8">
        <v>50</v>
      </c>
      <c r="S219" s="8">
        <v>3</v>
      </c>
      <c r="T219" s="8">
        <v>47</v>
      </c>
    </row>
    <row r="220" spans="1:20" x14ac:dyDescent="0.3">
      <c r="A220" s="9" t="s">
        <v>27</v>
      </c>
      <c r="B220" s="10">
        <v>47</v>
      </c>
      <c r="C220" s="10">
        <v>7</v>
      </c>
      <c r="D220" s="10">
        <v>25</v>
      </c>
      <c r="E220" s="10">
        <v>3</v>
      </c>
      <c r="F220" s="10">
        <v>12</v>
      </c>
      <c r="H220" s="9" t="s">
        <v>27</v>
      </c>
      <c r="I220" s="10">
        <v>32</v>
      </c>
      <c r="J220" s="10">
        <v>12</v>
      </c>
      <c r="K220" s="10">
        <v>8</v>
      </c>
      <c r="L220" s="10">
        <v>0</v>
      </c>
      <c r="M220" s="10">
        <v>12</v>
      </c>
      <c r="O220" s="9" t="s">
        <v>27</v>
      </c>
      <c r="P220" s="10">
        <v>41</v>
      </c>
      <c r="Q220" s="10">
        <v>8</v>
      </c>
      <c r="R220" s="10">
        <v>14</v>
      </c>
      <c r="S220" s="10">
        <v>3</v>
      </c>
      <c r="T220" s="10">
        <v>16</v>
      </c>
    </row>
    <row r="221" spans="1:20" x14ac:dyDescent="0.3">
      <c r="A221" s="9" t="s">
        <v>28</v>
      </c>
      <c r="B221" s="10">
        <v>0</v>
      </c>
      <c r="C221" s="10">
        <v>0</v>
      </c>
      <c r="D221" s="10">
        <v>0</v>
      </c>
      <c r="E221" s="10">
        <v>0</v>
      </c>
      <c r="F221" s="10">
        <v>0</v>
      </c>
      <c r="H221" s="9" t="s">
        <v>28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O221" s="9" t="s">
        <v>28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3">
      <c r="A222" s="9" t="s">
        <v>29</v>
      </c>
      <c r="B222" s="10">
        <v>161</v>
      </c>
      <c r="C222" s="10">
        <v>20</v>
      </c>
      <c r="D222" s="10">
        <v>16</v>
      </c>
      <c r="E222" s="10">
        <v>11</v>
      </c>
      <c r="F222" s="10">
        <v>114</v>
      </c>
      <c r="H222" s="9" t="s">
        <v>29</v>
      </c>
      <c r="I222" s="10">
        <v>53</v>
      </c>
      <c r="J222" s="10">
        <v>18</v>
      </c>
      <c r="K222" s="10">
        <v>19</v>
      </c>
      <c r="L222" s="10">
        <v>0</v>
      </c>
      <c r="M222" s="10">
        <v>16</v>
      </c>
      <c r="O222" s="9" t="s">
        <v>29</v>
      </c>
      <c r="P222" s="10">
        <v>69</v>
      </c>
      <c r="Q222" s="10">
        <v>4</v>
      </c>
      <c r="R222" s="10">
        <v>35</v>
      </c>
      <c r="S222" s="10">
        <v>0</v>
      </c>
      <c r="T222" s="10">
        <v>30</v>
      </c>
    </row>
    <row r="223" spans="1:20" x14ac:dyDescent="0.3">
      <c r="A223" s="9" t="s">
        <v>30</v>
      </c>
      <c r="B223" s="10">
        <v>32</v>
      </c>
      <c r="C223" s="10">
        <v>21</v>
      </c>
      <c r="D223" s="10">
        <v>4</v>
      </c>
      <c r="E223" s="10">
        <v>3</v>
      </c>
      <c r="F223" s="10">
        <v>4</v>
      </c>
      <c r="H223" s="9" t="s">
        <v>30</v>
      </c>
      <c r="I223" s="10">
        <v>2</v>
      </c>
      <c r="J223" s="10">
        <v>2</v>
      </c>
      <c r="K223" s="10">
        <v>0</v>
      </c>
      <c r="L223" s="10">
        <v>0</v>
      </c>
      <c r="M223" s="10">
        <v>0</v>
      </c>
      <c r="O223" s="9" t="s">
        <v>30</v>
      </c>
      <c r="P223" s="10">
        <v>3</v>
      </c>
      <c r="Q223" s="10">
        <v>1</v>
      </c>
      <c r="R223" s="10">
        <v>1</v>
      </c>
      <c r="S223" s="10">
        <v>0</v>
      </c>
      <c r="T223" s="10">
        <v>1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94</v>
      </c>
      <c r="C225" s="12">
        <v>29</v>
      </c>
      <c r="D225" s="12">
        <v>28</v>
      </c>
      <c r="E225" s="12">
        <v>12</v>
      </c>
      <c r="F225" s="12">
        <v>25</v>
      </c>
      <c r="H225" s="11" t="s">
        <v>32</v>
      </c>
      <c r="I225" s="12">
        <v>77</v>
      </c>
      <c r="J225" s="12">
        <v>30</v>
      </c>
      <c r="K225" s="12">
        <v>18</v>
      </c>
      <c r="L225" s="12">
        <v>13</v>
      </c>
      <c r="M225" s="12">
        <v>16</v>
      </c>
      <c r="O225" s="11" t="s">
        <v>32</v>
      </c>
      <c r="P225" s="12">
        <v>15</v>
      </c>
      <c r="Q225" s="12">
        <v>5</v>
      </c>
      <c r="R225" s="12">
        <v>6</v>
      </c>
      <c r="S225" s="12">
        <v>2</v>
      </c>
      <c r="T225" s="12">
        <v>2</v>
      </c>
    </row>
    <row r="226" spans="1:20" x14ac:dyDescent="0.3">
      <c r="A226" s="13" t="s">
        <v>33</v>
      </c>
      <c r="B226" s="14">
        <v>2</v>
      </c>
      <c r="C226" s="14">
        <v>0</v>
      </c>
      <c r="D226" s="14">
        <v>1</v>
      </c>
      <c r="E226" s="14">
        <v>0</v>
      </c>
      <c r="F226" s="14">
        <v>1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6</v>
      </c>
      <c r="Q226" s="14">
        <v>3</v>
      </c>
      <c r="R226" s="14">
        <v>2</v>
      </c>
      <c r="S226" s="14">
        <v>1</v>
      </c>
      <c r="T226" s="14">
        <v>0</v>
      </c>
    </row>
    <row r="227" spans="1:20" x14ac:dyDescent="0.3">
      <c r="A227" s="13" t="s">
        <v>34</v>
      </c>
      <c r="B227" s="14">
        <v>92</v>
      </c>
      <c r="C227" s="14">
        <v>29</v>
      </c>
      <c r="D227" s="14">
        <v>27</v>
      </c>
      <c r="E227" s="14">
        <v>12</v>
      </c>
      <c r="F227" s="14">
        <v>24</v>
      </c>
      <c r="H227" s="13" t="s">
        <v>34</v>
      </c>
      <c r="I227" s="14">
        <v>77</v>
      </c>
      <c r="J227" s="14">
        <v>30</v>
      </c>
      <c r="K227" s="14">
        <v>18</v>
      </c>
      <c r="L227" s="14">
        <v>13</v>
      </c>
      <c r="M227" s="14">
        <v>16</v>
      </c>
      <c r="O227" s="13" t="s">
        <v>34</v>
      </c>
      <c r="P227" s="14">
        <v>9</v>
      </c>
      <c r="Q227" s="14">
        <v>2</v>
      </c>
      <c r="R227" s="14">
        <v>4</v>
      </c>
      <c r="S227" s="14">
        <v>1</v>
      </c>
      <c r="T227" s="14">
        <v>2</v>
      </c>
    </row>
    <row r="228" spans="1:20" x14ac:dyDescent="0.3">
      <c r="A228" s="15" t="s">
        <v>35</v>
      </c>
      <c r="B228" s="16">
        <v>1</v>
      </c>
      <c r="C228" s="16">
        <v>0</v>
      </c>
      <c r="D228" s="16">
        <v>0</v>
      </c>
      <c r="E228" s="16">
        <v>0</v>
      </c>
      <c r="F228" s="16">
        <v>1</v>
      </c>
      <c r="H228" s="15" t="s">
        <v>35</v>
      </c>
      <c r="I228" s="16">
        <v>3</v>
      </c>
      <c r="J228" s="16">
        <v>0</v>
      </c>
      <c r="K228" s="16">
        <v>1</v>
      </c>
      <c r="L228" s="16">
        <v>1</v>
      </c>
      <c r="M228" s="16">
        <v>1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1</v>
      </c>
      <c r="C229" s="18">
        <v>0</v>
      </c>
      <c r="D229" s="18">
        <v>0</v>
      </c>
      <c r="E229" s="18">
        <v>0</v>
      </c>
      <c r="F229" s="18">
        <v>1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0</v>
      </c>
      <c r="C230" s="18">
        <v>0</v>
      </c>
      <c r="D230" s="18">
        <v>0</v>
      </c>
      <c r="E230" s="18">
        <v>0</v>
      </c>
      <c r="F230" s="18">
        <v>0</v>
      </c>
      <c r="H230" s="17" t="s">
        <v>37</v>
      </c>
      <c r="I230" s="78">
        <v>3</v>
      </c>
      <c r="J230" s="78">
        <v>0</v>
      </c>
      <c r="K230" s="78">
        <v>1</v>
      </c>
      <c r="L230" s="78">
        <v>1</v>
      </c>
      <c r="M230" s="78">
        <v>1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67" t="s">
        <v>485</v>
      </c>
      <c r="C231" s="168"/>
      <c r="D231" s="168"/>
      <c r="E231" s="168"/>
      <c r="F231" s="168"/>
      <c r="H231" s="17" t="s">
        <v>38</v>
      </c>
      <c r="I231" s="167" t="s">
        <v>253</v>
      </c>
      <c r="J231" s="168"/>
      <c r="K231" s="168"/>
      <c r="L231" s="168"/>
      <c r="M231" s="168"/>
      <c r="O231" s="17" t="s">
        <v>38</v>
      </c>
      <c r="P231" s="167" t="s">
        <v>67</v>
      </c>
      <c r="Q231" s="168"/>
      <c r="R231" s="168"/>
      <c r="S231" s="168"/>
      <c r="T231" s="168"/>
    </row>
    <row r="232" spans="1:20" ht="19.8" x14ac:dyDescent="0.3">
      <c r="A232" s="170">
        <v>46095</v>
      </c>
      <c r="B232" s="168"/>
      <c r="C232" s="168"/>
      <c r="D232" s="168"/>
      <c r="E232" s="168"/>
      <c r="F232" s="168"/>
      <c r="H232" s="170">
        <v>46126</v>
      </c>
      <c r="I232" s="168"/>
      <c r="J232" s="168"/>
      <c r="K232" s="168"/>
      <c r="L232" s="168"/>
      <c r="M232" s="168"/>
      <c r="O232" s="170">
        <v>46157</v>
      </c>
      <c r="P232" s="168"/>
      <c r="Q232" s="168"/>
      <c r="R232" s="168"/>
      <c r="S232" s="168"/>
      <c r="T232" s="168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3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1800</v>
      </c>
      <c r="R233" s="1" t="s">
        <v>3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5650</v>
      </c>
      <c r="C234" s="3">
        <v>1738</v>
      </c>
      <c r="D234" s="3">
        <v>1445</v>
      </c>
      <c r="E234" s="3">
        <v>1197</v>
      </c>
      <c r="F234" s="3">
        <v>1270</v>
      </c>
      <c r="H234" s="2" t="s">
        <v>5</v>
      </c>
      <c r="I234" s="3">
        <v>7199</v>
      </c>
      <c r="J234" s="3">
        <v>2205</v>
      </c>
      <c r="K234" s="3">
        <v>1705</v>
      </c>
      <c r="L234" s="3">
        <v>1574</v>
      </c>
      <c r="M234" s="3">
        <v>1715</v>
      </c>
      <c r="O234" s="2" t="s">
        <v>5</v>
      </c>
      <c r="P234" s="3">
        <v>6657</v>
      </c>
      <c r="Q234" s="3">
        <v>1722</v>
      </c>
      <c r="R234" s="3">
        <v>2211</v>
      </c>
      <c r="S234" s="3">
        <v>835</v>
      </c>
      <c r="T234" s="3">
        <v>1889</v>
      </c>
    </row>
    <row r="235" spans="1:20" x14ac:dyDescent="0.3">
      <c r="A235" s="2" t="s">
        <v>6</v>
      </c>
      <c r="B235" s="3">
        <v>174</v>
      </c>
      <c r="C235" s="6">
        <v>52</v>
      </c>
      <c r="D235" s="4">
        <v>42</v>
      </c>
      <c r="E235" s="5">
        <v>56</v>
      </c>
      <c r="F235" s="3">
        <v>24</v>
      </c>
      <c r="H235" s="2" t="s">
        <v>6</v>
      </c>
      <c r="I235" s="3">
        <v>376</v>
      </c>
      <c r="J235" s="5">
        <v>141</v>
      </c>
      <c r="K235" s="4">
        <v>98</v>
      </c>
      <c r="L235" s="3">
        <v>36</v>
      </c>
      <c r="M235" s="6">
        <v>101</v>
      </c>
      <c r="O235" s="2" t="s">
        <v>6</v>
      </c>
      <c r="P235" s="3">
        <v>416</v>
      </c>
      <c r="Q235" s="4">
        <v>93</v>
      </c>
      <c r="R235" s="5">
        <v>169</v>
      </c>
      <c r="S235" s="3">
        <v>27</v>
      </c>
      <c r="T235" s="6">
        <v>127</v>
      </c>
    </row>
    <row r="236" spans="1:20" x14ac:dyDescent="0.3">
      <c r="A236" s="2" t="s">
        <v>7</v>
      </c>
      <c r="B236" s="3" t="s">
        <v>575</v>
      </c>
      <c r="C236" s="6" t="s">
        <v>54</v>
      </c>
      <c r="D236" s="4" t="s">
        <v>71</v>
      </c>
      <c r="E236" s="5" t="s">
        <v>576</v>
      </c>
      <c r="F236" s="3" t="s">
        <v>276</v>
      </c>
      <c r="H236" s="2" t="s">
        <v>7</v>
      </c>
      <c r="I236" s="3" t="s">
        <v>504</v>
      </c>
      <c r="J236" s="5" t="s">
        <v>394</v>
      </c>
      <c r="K236" s="4" t="s">
        <v>1473</v>
      </c>
      <c r="L236" s="3" t="s">
        <v>540</v>
      </c>
      <c r="M236" s="6" t="s">
        <v>271</v>
      </c>
      <c r="O236" s="2" t="s">
        <v>7</v>
      </c>
      <c r="P236" s="3" t="s">
        <v>380</v>
      </c>
      <c r="Q236" s="4" t="s">
        <v>621</v>
      </c>
      <c r="R236" s="5" t="s">
        <v>1695</v>
      </c>
      <c r="S236" s="3" t="s">
        <v>429</v>
      </c>
      <c r="T236" s="6" t="s">
        <v>1173</v>
      </c>
    </row>
    <row r="237" spans="1:20" x14ac:dyDescent="0.3">
      <c r="A237" s="2" t="s">
        <v>12</v>
      </c>
      <c r="B237" s="3" t="s">
        <v>577</v>
      </c>
      <c r="C237" s="4" t="s">
        <v>578</v>
      </c>
      <c r="D237" s="6" t="s">
        <v>120</v>
      </c>
      <c r="E237" s="5" t="s">
        <v>579</v>
      </c>
      <c r="F237" s="3" t="s">
        <v>281</v>
      </c>
      <c r="H237" s="2" t="s">
        <v>12</v>
      </c>
      <c r="I237" s="3" t="s">
        <v>1474</v>
      </c>
      <c r="J237" s="6" t="s">
        <v>884</v>
      </c>
      <c r="K237" s="5" t="s">
        <v>570</v>
      </c>
      <c r="L237" s="3" t="s">
        <v>75</v>
      </c>
      <c r="M237" s="4" t="s">
        <v>890</v>
      </c>
      <c r="O237" s="2" t="s">
        <v>12</v>
      </c>
      <c r="P237" s="3" t="s">
        <v>1130</v>
      </c>
      <c r="Q237" s="4" t="s">
        <v>776</v>
      </c>
      <c r="R237" s="6" t="s">
        <v>490</v>
      </c>
      <c r="S237" s="3" t="s">
        <v>25</v>
      </c>
      <c r="T237" s="5" t="s">
        <v>1602</v>
      </c>
    </row>
    <row r="238" spans="1:20" x14ac:dyDescent="0.3">
      <c r="A238" s="2" t="s">
        <v>17</v>
      </c>
      <c r="B238" s="3" t="s">
        <v>87</v>
      </c>
      <c r="C238" s="6" t="s">
        <v>580</v>
      </c>
      <c r="D238" s="4" t="s">
        <v>153</v>
      </c>
      <c r="E238" s="5" t="s">
        <v>229</v>
      </c>
      <c r="F238" s="3" t="s">
        <v>419</v>
      </c>
      <c r="H238" s="2" t="s">
        <v>17</v>
      </c>
      <c r="I238" s="3" t="s">
        <v>352</v>
      </c>
      <c r="J238" s="5" t="s">
        <v>1178</v>
      </c>
      <c r="K238" s="3" t="s">
        <v>431</v>
      </c>
      <c r="L238" s="4" t="s">
        <v>292</v>
      </c>
      <c r="M238" s="6" t="s">
        <v>1214</v>
      </c>
      <c r="O238" s="2" t="s">
        <v>17</v>
      </c>
      <c r="P238" s="3" t="s">
        <v>114</v>
      </c>
      <c r="Q238" s="6" t="s">
        <v>130</v>
      </c>
      <c r="R238" s="5" t="s">
        <v>961</v>
      </c>
      <c r="S238" s="3" t="s">
        <v>54</v>
      </c>
      <c r="T238" s="4" t="s">
        <v>1441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139</v>
      </c>
      <c r="C240" s="8">
        <v>40</v>
      </c>
      <c r="D240" s="8">
        <v>35</v>
      </c>
      <c r="E240" s="8">
        <v>45</v>
      </c>
      <c r="F240" s="8">
        <v>19</v>
      </c>
      <c r="H240" s="7" t="s">
        <v>26</v>
      </c>
      <c r="I240" s="8">
        <v>221</v>
      </c>
      <c r="J240" s="8">
        <v>86</v>
      </c>
      <c r="K240" s="8">
        <v>74</v>
      </c>
      <c r="L240" s="8">
        <v>2</v>
      </c>
      <c r="M240" s="8">
        <v>59</v>
      </c>
      <c r="O240" s="7" t="s">
        <v>26</v>
      </c>
      <c r="P240" s="8">
        <v>171</v>
      </c>
      <c r="Q240" s="8">
        <v>35</v>
      </c>
      <c r="R240" s="8">
        <v>73</v>
      </c>
      <c r="S240" s="8">
        <v>0</v>
      </c>
      <c r="T240" s="8">
        <v>63</v>
      </c>
    </row>
    <row r="241" spans="1:20" x14ac:dyDescent="0.3">
      <c r="A241" s="9" t="s">
        <v>27</v>
      </c>
      <c r="B241" s="10">
        <v>37</v>
      </c>
      <c r="C241" s="10">
        <v>15</v>
      </c>
      <c r="D241" s="10">
        <v>16</v>
      </c>
      <c r="E241" s="10">
        <v>0</v>
      </c>
      <c r="F241" s="10">
        <v>6</v>
      </c>
      <c r="H241" s="9" t="s">
        <v>27</v>
      </c>
      <c r="I241" s="10">
        <v>120</v>
      </c>
      <c r="J241" s="10">
        <v>39</v>
      </c>
      <c r="K241" s="10">
        <v>43</v>
      </c>
      <c r="L241" s="10">
        <v>2</v>
      </c>
      <c r="M241" s="10">
        <v>36</v>
      </c>
      <c r="O241" s="9" t="s">
        <v>27</v>
      </c>
      <c r="P241" s="10">
        <v>50</v>
      </c>
      <c r="Q241" s="10">
        <v>9</v>
      </c>
      <c r="R241" s="10">
        <v>22</v>
      </c>
      <c r="S241" s="10">
        <v>0</v>
      </c>
      <c r="T241" s="10">
        <v>19</v>
      </c>
    </row>
    <row r="242" spans="1:20" x14ac:dyDescent="0.3">
      <c r="A242" s="9" t="s">
        <v>28</v>
      </c>
      <c r="B242" s="10">
        <v>1</v>
      </c>
      <c r="C242" s="10">
        <v>1</v>
      </c>
      <c r="D242" s="10">
        <v>0</v>
      </c>
      <c r="E242" s="10">
        <v>0</v>
      </c>
      <c r="F242" s="10">
        <v>0</v>
      </c>
      <c r="H242" s="9" t="s">
        <v>28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O242" s="9" t="s">
        <v>28</v>
      </c>
      <c r="P242" s="10">
        <v>3</v>
      </c>
      <c r="Q242" s="10">
        <v>3</v>
      </c>
      <c r="R242" s="10">
        <v>0</v>
      </c>
      <c r="S242" s="10">
        <v>0</v>
      </c>
      <c r="T242" s="10">
        <v>0</v>
      </c>
    </row>
    <row r="243" spans="1:20" x14ac:dyDescent="0.3">
      <c r="A243" s="9" t="s">
        <v>29</v>
      </c>
      <c r="B243" s="10">
        <v>84</v>
      </c>
      <c r="C243" s="10">
        <v>16</v>
      </c>
      <c r="D243" s="10">
        <v>11</v>
      </c>
      <c r="E243" s="10">
        <v>44</v>
      </c>
      <c r="F243" s="10">
        <v>13</v>
      </c>
      <c r="H243" s="9" t="s">
        <v>29</v>
      </c>
      <c r="I243" s="10">
        <v>89</v>
      </c>
      <c r="J243" s="10">
        <v>38</v>
      </c>
      <c r="K243" s="10">
        <v>28</v>
      </c>
      <c r="L243" s="10">
        <v>0</v>
      </c>
      <c r="M243" s="10">
        <v>23</v>
      </c>
      <c r="O243" s="9" t="s">
        <v>29</v>
      </c>
      <c r="P243" s="10">
        <v>104</v>
      </c>
      <c r="Q243" s="10">
        <v>16</v>
      </c>
      <c r="R243" s="10">
        <v>51</v>
      </c>
      <c r="S243" s="10">
        <v>0</v>
      </c>
      <c r="T243" s="10">
        <v>37</v>
      </c>
    </row>
    <row r="244" spans="1:20" x14ac:dyDescent="0.3">
      <c r="A244" s="9" t="s">
        <v>30</v>
      </c>
      <c r="B244" s="10">
        <v>17</v>
      </c>
      <c r="C244" s="10">
        <v>8</v>
      </c>
      <c r="D244" s="10">
        <v>8</v>
      </c>
      <c r="E244" s="10">
        <v>1</v>
      </c>
      <c r="F244" s="10">
        <v>0</v>
      </c>
      <c r="H244" s="9" t="s">
        <v>30</v>
      </c>
      <c r="I244" s="10">
        <v>12</v>
      </c>
      <c r="J244" s="10">
        <v>9</v>
      </c>
      <c r="K244" s="10">
        <v>3</v>
      </c>
      <c r="L244" s="10">
        <v>0</v>
      </c>
      <c r="M244" s="10">
        <v>0</v>
      </c>
      <c r="O244" s="9" t="s">
        <v>30</v>
      </c>
      <c r="P244" s="10">
        <v>14</v>
      </c>
      <c r="Q244" s="10">
        <v>7</v>
      </c>
      <c r="R244" s="10">
        <v>0</v>
      </c>
      <c r="S244" s="10">
        <v>0</v>
      </c>
      <c r="T244" s="10">
        <v>7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35</v>
      </c>
      <c r="C246" s="12">
        <v>12</v>
      </c>
      <c r="D246" s="12">
        <v>7</v>
      </c>
      <c r="E246" s="12">
        <v>11</v>
      </c>
      <c r="F246" s="12">
        <v>5</v>
      </c>
      <c r="H246" s="11" t="s">
        <v>32</v>
      </c>
      <c r="I246" s="12">
        <v>155</v>
      </c>
      <c r="J246" s="12">
        <v>55</v>
      </c>
      <c r="K246" s="12">
        <v>24</v>
      </c>
      <c r="L246" s="12">
        <v>34</v>
      </c>
      <c r="M246" s="12">
        <v>42</v>
      </c>
      <c r="O246" s="11" t="s">
        <v>32</v>
      </c>
      <c r="P246" s="12">
        <v>237</v>
      </c>
      <c r="Q246" s="12">
        <v>58</v>
      </c>
      <c r="R246" s="12">
        <v>92</v>
      </c>
      <c r="S246" s="12">
        <v>25</v>
      </c>
      <c r="T246" s="12">
        <v>62</v>
      </c>
    </row>
    <row r="247" spans="1:20" x14ac:dyDescent="0.3">
      <c r="A247" s="13" t="s">
        <v>33</v>
      </c>
      <c r="B247" s="14">
        <v>1</v>
      </c>
      <c r="C247" s="14">
        <v>1</v>
      </c>
      <c r="D247" s="14">
        <v>0</v>
      </c>
      <c r="E247" s="14">
        <v>0</v>
      </c>
      <c r="F247" s="14">
        <v>0</v>
      </c>
      <c r="H247" s="13" t="s">
        <v>33</v>
      </c>
      <c r="I247" s="14">
        <v>6</v>
      </c>
      <c r="J247" s="14">
        <v>2</v>
      </c>
      <c r="K247" s="14">
        <v>0</v>
      </c>
      <c r="L247" s="14">
        <v>1</v>
      </c>
      <c r="M247" s="14">
        <v>3</v>
      </c>
      <c r="O247" s="13" t="s">
        <v>33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34</v>
      </c>
      <c r="C248" s="14">
        <v>11</v>
      </c>
      <c r="D248" s="14">
        <v>7</v>
      </c>
      <c r="E248" s="14">
        <v>11</v>
      </c>
      <c r="F248" s="14">
        <v>5</v>
      </c>
      <c r="H248" s="13" t="s">
        <v>34</v>
      </c>
      <c r="I248" s="14">
        <v>149</v>
      </c>
      <c r="J248" s="14">
        <v>53</v>
      </c>
      <c r="K248" s="14">
        <v>24</v>
      </c>
      <c r="L248" s="14">
        <v>33</v>
      </c>
      <c r="M248" s="14">
        <v>39</v>
      </c>
      <c r="O248" s="13" t="s">
        <v>34</v>
      </c>
      <c r="P248" s="14">
        <v>237</v>
      </c>
      <c r="Q248" s="14">
        <v>58</v>
      </c>
      <c r="R248" s="14">
        <v>92</v>
      </c>
      <c r="S248" s="14">
        <v>25</v>
      </c>
      <c r="T248" s="14">
        <v>62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67" t="s">
        <v>485</v>
      </c>
      <c r="C252" s="168"/>
      <c r="D252" s="168"/>
      <c r="E252" s="168"/>
      <c r="F252" s="168"/>
      <c r="H252" s="17" t="s">
        <v>38</v>
      </c>
      <c r="I252" s="167" t="s">
        <v>253</v>
      </c>
      <c r="J252" s="168"/>
      <c r="K252" s="168"/>
      <c r="L252" s="168"/>
      <c r="M252" s="168"/>
      <c r="O252" s="17" t="s">
        <v>38</v>
      </c>
      <c r="P252" s="167" t="s">
        <v>67</v>
      </c>
      <c r="Q252" s="168"/>
      <c r="R252" s="168"/>
      <c r="S252" s="168"/>
      <c r="T252" s="168"/>
    </row>
    <row r="253" spans="1:20" ht="19.8" x14ac:dyDescent="0.3">
      <c r="A253" s="170">
        <v>46097</v>
      </c>
      <c r="B253" s="168"/>
      <c r="C253" s="168"/>
      <c r="D253" s="168"/>
      <c r="E253" s="168"/>
      <c r="F253" s="168"/>
      <c r="H253" s="170">
        <v>46127</v>
      </c>
      <c r="I253" s="168"/>
      <c r="J253" s="168"/>
      <c r="K253" s="168"/>
      <c r="L253" s="168"/>
      <c r="M253" s="168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3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1800</v>
      </c>
      <c r="R254" s="1" t="s">
        <v>3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1681</v>
      </c>
      <c r="C255" s="3">
        <v>525</v>
      </c>
      <c r="D255" s="3">
        <v>453</v>
      </c>
      <c r="E255" s="3">
        <v>372</v>
      </c>
      <c r="F255" s="3">
        <v>331</v>
      </c>
      <c r="H255" s="2" t="s">
        <v>5</v>
      </c>
      <c r="I255" s="3">
        <v>5350</v>
      </c>
      <c r="J255" s="3">
        <v>1666</v>
      </c>
      <c r="K255" s="3">
        <v>1239</v>
      </c>
      <c r="L255" s="3">
        <v>1163</v>
      </c>
      <c r="M255" s="3">
        <v>1282</v>
      </c>
      <c r="O255" s="2" t="s">
        <v>5</v>
      </c>
      <c r="P255" s="3">
        <v>5281</v>
      </c>
      <c r="Q255" s="3">
        <v>1658</v>
      </c>
      <c r="R255" s="3">
        <v>1474</v>
      </c>
      <c r="S255" s="3">
        <v>1034</v>
      </c>
      <c r="T255" s="3">
        <v>1115</v>
      </c>
    </row>
    <row r="256" spans="1:20" x14ac:dyDescent="0.3">
      <c r="A256" s="2" t="s">
        <v>6</v>
      </c>
      <c r="B256" s="3">
        <v>81</v>
      </c>
      <c r="C256" s="5">
        <v>31</v>
      </c>
      <c r="D256" s="6">
        <v>25</v>
      </c>
      <c r="E256" s="3">
        <v>6</v>
      </c>
      <c r="F256" s="4">
        <v>19</v>
      </c>
      <c r="H256" s="2" t="s">
        <v>6</v>
      </c>
      <c r="I256" s="3">
        <v>434</v>
      </c>
      <c r="J256" s="5">
        <v>143</v>
      </c>
      <c r="K256" s="6">
        <v>122</v>
      </c>
      <c r="L256" s="3">
        <v>55</v>
      </c>
      <c r="M256" s="4">
        <v>114</v>
      </c>
      <c r="O256" s="2" t="s">
        <v>6</v>
      </c>
      <c r="P256" s="3">
        <v>788</v>
      </c>
      <c r="Q256" s="5">
        <v>248</v>
      </c>
      <c r="R256" s="6">
        <v>216</v>
      </c>
      <c r="S256" s="4">
        <v>167</v>
      </c>
      <c r="T256" s="3">
        <v>157</v>
      </c>
    </row>
    <row r="257" spans="1:20" x14ac:dyDescent="0.3">
      <c r="A257" s="2" t="s">
        <v>7</v>
      </c>
      <c r="B257" s="3" t="s">
        <v>632</v>
      </c>
      <c r="C257" s="5" t="s">
        <v>633</v>
      </c>
      <c r="D257" s="4" t="s">
        <v>247</v>
      </c>
      <c r="E257" s="3" t="s">
        <v>353</v>
      </c>
      <c r="F257" s="6" t="s">
        <v>422</v>
      </c>
      <c r="H257" s="2" t="s">
        <v>7</v>
      </c>
      <c r="I257" s="3" t="s">
        <v>893</v>
      </c>
      <c r="J257" s="4" t="s">
        <v>420</v>
      </c>
      <c r="K257" s="5" t="s">
        <v>1504</v>
      </c>
      <c r="L257" s="3" t="s">
        <v>1337</v>
      </c>
      <c r="M257" s="6" t="s">
        <v>1505</v>
      </c>
      <c r="O257" s="2" t="s">
        <v>7</v>
      </c>
      <c r="P257" s="3" t="s">
        <v>1921</v>
      </c>
      <c r="Q257" s="6" t="s">
        <v>1866</v>
      </c>
      <c r="R257" s="4" t="s">
        <v>1922</v>
      </c>
      <c r="S257" s="5" t="s">
        <v>1923</v>
      </c>
      <c r="T257" s="3" t="s">
        <v>1805</v>
      </c>
    </row>
    <row r="258" spans="1:20" x14ac:dyDescent="0.3">
      <c r="A258" s="2" t="s">
        <v>12</v>
      </c>
      <c r="B258" s="3" t="s">
        <v>526</v>
      </c>
      <c r="C258" s="5" t="s">
        <v>634</v>
      </c>
      <c r="D258" s="6" t="s">
        <v>390</v>
      </c>
      <c r="E258" s="3" t="s">
        <v>64</v>
      </c>
      <c r="F258" s="4" t="s">
        <v>635</v>
      </c>
      <c r="H258" s="2" t="s">
        <v>12</v>
      </c>
      <c r="I258" s="3" t="s">
        <v>1235</v>
      </c>
      <c r="J258" s="4" t="s">
        <v>430</v>
      </c>
      <c r="K258" s="5" t="s">
        <v>477</v>
      </c>
      <c r="L258" s="3" t="s">
        <v>84</v>
      </c>
      <c r="M258" s="6" t="s">
        <v>884</v>
      </c>
      <c r="O258" s="2" t="s">
        <v>12</v>
      </c>
      <c r="P258" s="3" t="s">
        <v>53</v>
      </c>
      <c r="Q258" s="3" t="s">
        <v>487</v>
      </c>
      <c r="R258" s="4" t="s">
        <v>436</v>
      </c>
      <c r="S258" s="6" t="s">
        <v>1309</v>
      </c>
      <c r="T258" s="5" t="s">
        <v>1768</v>
      </c>
    </row>
    <row r="259" spans="1:20" x14ac:dyDescent="0.3">
      <c r="A259" s="2" t="s">
        <v>17</v>
      </c>
      <c r="B259" s="3" t="s">
        <v>636</v>
      </c>
      <c r="C259" s="6" t="s">
        <v>637</v>
      </c>
      <c r="D259" s="4" t="s">
        <v>441</v>
      </c>
      <c r="E259" s="3" t="s">
        <v>64</v>
      </c>
      <c r="F259" s="5" t="s">
        <v>638</v>
      </c>
      <c r="H259" s="2" t="s">
        <v>17</v>
      </c>
      <c r="I259" s="3" t="s">
        <v>1386</v>
      </c>
      <c r="J259" s="5" t="s">
        <v>1174</v>
      </c>
      <c r="K259" s="6" t="s">
        <v>340</v>
      </c>
      <c r="L259" s="3" t="s">
        <v>1460</v>
      </c>
      <c r="M259" s="4" t="s">
        <v>256</v>
      </c>
      <c r="O259" s="2" t="s">
        <v>17</v>
      </c>
      <c r="P259" s="3" t="s">
        <v>167</v>
      </c>
      <c r="Q259" s="5" t="s">
        <v>1521</v>
      </c>
      <c r="R259" s="4" t="s">
        <v>1697</v>
      </c>
      <c r="S259" s="6" t="s">
        <v>1924</v>
      </c>
      <c r="T259" s="3" t="s">
        <v>98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267</v>
      </c>
      <c r="Q260" s="5" t="s">
        <v>268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37</v>
      </c>
      <c r="C261" s="8">
        <v>17</v>
      </c>
      <c r="D261" s="8">
        <v>13</v>
      </c>
      <c r="E261" s="8">
        <v>3</v>
      </c>
      <c r="F261" s="8">
        <v>4</v>
      </c>
      <c r="H261" s="7" t="s">
        <v>26</v>
      </c>
      <c r="I261" s="8">
        <v>152</v>
      </c>
      <c r="J261" s="8">
        <v>48</v>
      </c>
      <c r="K261" s="8">
        <v>53</v>
      </c>
      <c r="L261" s="8">
        <v>1</v>
      </c>
      <c r="M261" s="8">
        <v>50</v>
      </c>
      <c r="O261" s="7" t="s">
        <v>26</v>
      </c>
      <c r="P261" s="8">
        <v>248</v>
      </c>
      <c r="Q261" s="8">
        <v>66</v>
      </c>
      <c r="R261" s="8">
        <v>63</v>
      </c>
      <c r="S261" s="8">
        <v>57</v>
      </c>
      <c r="T261" s="8">
        <v>62</v>
      </c>
    </row>
    <row r="262" spans="1:20" x14ac:dyDescent="0.3">
      <c r="A262" s="9" t="s">
        <v>27</v>
      </c>
      <c r="B262" s="10">
        <v>10</v>
      </c>
      <c r="C262" s="10">
        <v>4</v>
      </c>
      <c r="D262" s="10">
        <v>5</v>
      </c>
      <c r="E262" s="10">
        <v>0</v>
      </c>
      <c r="F262" s="10">
        <v>1</v>
      </c>
      <c r="H262" s="9" t="s">
        <v>27</v>
      </c>
      <c r="I262" s="10">
        <v>55</v>
      </c>
      <c r="J262" s="10">
        <v>11</v>
      </c>
      <c r="K262" s="10">
        <v>21</v>
      </c>
      <c r="L262" s="10">
        <v>1</v>
      </c>
      <c r="M262" s="10">
        <v>22</v>
      </c>
      <c r="O262" s="9" t="s">
        <v>27</v>
      </c>
      <c r="P262" s="10">
        <v>29</v>
      </c>
      <c r="Q262" s="10">
        <v>9</v>
      </c>
      <c r="R262" s="10">
        <v>5</v>
      </c>
      <c r="S262" s="10">
        <v>8</v>
      </c>
      <c r="T262" s="10">
        <v>7</v>
      </c>
    </row>
    <row r="263" spans="1:20" x14ac:dyDescent="0.3">
      <c r="A263" s="9" t="s">
        <v>28</v>
      </c>
      <c r="B263" s="10">
        <v>0</v>
      </c>
      <c r="C263" s="10">
        <v>0</v>
      </c>
      <c r="D263" s="10">
        <v>0</v>
      </c>
      <c r="E263" s="10">
        <v>0</v>
      </c>
      <c r="F263" s="10">
        <v>0</v>
      </c>
      <c r="H263" s="9" t="s">
        <v>28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18</v>
      </c>
      <c r="C264" s="10">
        <v>9</v>
      </c>
      <c r="D264" s="10">
        <v>5</v>
      </c>
      <c r="E264" s="10">
        <v>2</v>
      </c>
      <c r="F264" s="10">
        <v>2</v>
      </c>
      <c r="H264" s="9" t="s">
        <v>29</v>
      </c>
      <c r="I264" s="10">
        <v>73</v>
      </c>
      <c r="J264" s="10">
        <v>23</v>
      </c>
      <c r="K264" s="10">
        <v>26</v>
      </c>
      <c r="L264" s="10">
        <v>0</v>
      </c>
      <c r="M264" s="10">
        <v>24</v>
      </c>
      <c r="O264" s="9" t="s">
        <v>29</v>
      </c>
      <c r="P264" s="10">
        <v>210</v>
      </c>
      <c r="Q264" s="10">
        <v>55</v>
      </c>
      <c r="R264" s="10">
        <v>57</v>
      </c>
      <c r="S264" s="10">
        <v>47</v>
      </c>
      <c r="T264" s="10">
        <v>51</v>
      </c>
    </row>
    <row r="265" spans="1:20" x14ac:dyDescent="0.3">
      <c r="A265" s="9" t="s">
        <v>30</v>
      </c>
      <c r="B265" s="10">
        <v>9</v>
      </c>
      <c r="C265" s="10">
        <v>4</v>
      </c>
      <c r="D265" s="10">
        <v>3</v>
      </c>
      <c r="E265" s="10">
        <v>1</v>
      </c>
      <c r="F265" s="10">
        <v>1</v>
      </c>
      <c r="H265" s="9" t="s">
        <v>30</v>
      </c>
      <c r="I265" s="10">
        <v>24</v>
      </c>
      <c r="J265" s="10">
        <v>14</v>
      </c>
      <c r="K265" s="10">
        <v>6</v>
      </c>
      <c r="L265" s="10">
        <v>0</v>
      </c>
      <c r="M265" s="10">
        <v>4</v>
      </c>
      <c r="O265" s="9" t="s">
        <v>30</v>
      </c>
      <c r="P265" s="10">
        <v>9</v>
      </c>
      <c r="Q265" s="10">
        <v>2</v>
      </c>
      <c r="R265" s="10">
        <v>1</v>
      </c>
      <c r="S265" s="10">
        <v>2</v>
      </c>
      <c r="T265" s="10">
        <v>4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44</v>
      </c>
      <c r="C267" s="12">
        <v>14</v>
      </c>
      <c r="D267" s="12">
        <v>12</v>
      </c>
      <c r="E267" s="12">
        <v>3</v>
      </c>
      <c r="F267" s="12">
        <v>15</v>
      </c>
      <c r="H267" s="11" t="s">
        <v>32</v>
      </c>
      <c r="I267" s="12">
        <v>282</v>
      </c>
      <c r="J267" s="12">
        <v>95</v>
      </c>
      <c r="K267" s="12">
        <v>69</v>
      </c>
      <c r="L267" s="12">
        <v>54</v>
      </c>
      <c r="M267" s="12">
        <v>64</v>
      </c>
      <c r="O267" s="11" t="s">
        <v>32</v>
      </c>
      <c r="P267" s="12">
        <v>537</v>
      </c>
      <c r="Q267" s="12">
        <v>182</v>
      </c>
      <c r="R267" s="12">
        <v>153</v>
      </c>
      <c r="S267" s="12">
        <v>109</v>
      </c>
      <c r="T267" s="12">
        <v>93</v>
      </c>
    </row>
    <row r="268" spans="1:20" x14ac:dyDescent="0.3">
      <c r="A268" s="13" t="s">
        <v>33</v>
      </c>
      <c r="B268" s="14">
        <v>5</v>
      </c>
      <c r="C268" s="14">
        <v>2</v>
      </c>
      <c r="D268" s="14">
        <v>1</v>
      </c>
      <c r="E268" s="14">
        <v>1</v>
      </c>
      <c r="F268" s="14">
        <v>1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20</v>
      </c>
      <c r="Q268" s="14">
        <v>3</v>
      </c>
      <c r="R268" s="14">
        <v>4</v>
      </c>
      <c r="S268" s="14">
        <v>6</v>
      </c>
      <c r="T268" s="14">
        <v>7</v>
      </c>
    </row>
    <row r="269" spans="1:20" x14ac:dyDescent="0.3">
      <c r="A269" s="13" t="s">
        <v>34</v>
      </c>
      <c r="B269" s="14">
        <v>39</v>
      </c>
      <c r="C269" s="14">
        <v>12</v>
      </c>
      <c r="D269" s="14">
        <v>11</v>
      </c>
      <c r="E269" s="14">
        <v>2</v>
      </c>
      <c r="F269" s="14">
        <v>14</v>
      </c>
      <c r="H269" s="13" t="s">
        <v>34</v>
      </c>
      <c r="I269" s="14">
        <v>282</v>
      </c>
      <c r="J269" s="14">
        <v>95</v>
      </c>
      <c r="K269" s="14">
        <v>69</v>
      </c>
      <c r="L269" s="14">
        <v>54</v>
      </c>
      <c r="M269" s="14">
        <v>64</v>
      </c>
      <c r="O269" s="13" t="s">
        <v>34</v>
      </c>
      <c r="P269" s="14">
        <v>517</v>
      </c>
      <c r="Q269" s="14">
        <v>179</v>
      </c>
      <c r="R269" s="14">
        <v>149</v>
      </c>
      <c r="S269" s="14">
        <v>103</v>
      </c>
      <c r="T269" s="14">
        <v>86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1</v>
      </c>
      <c r="Q270" s="16">
        <v>1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1</v>
      </c>
      <c r="Q271" s="130">
        <v>1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67" t="s">
        <v>485</v>
      </c>
      <c r="C273" s="168"/>
      <c r="D273" s="168"/>
      <c r="E273" s="168"/>
      <c r="F273" s="168"/>
      <c r="H273" s="17" t="s">
        <v>38</v>
      </c>
      <c r="I273" s="167" t="s">
        <v>1506</v>
      </c>
      <c r="J273" s="168"/>
      <c r="K273" s="168"/>
      <c r="L273" s="168"/>
      <c r="M273" s="168"/>
      <c r="O273" s="17" t="s">
        <v>38</v>
      </c>
      <c r="P273" s="167" t="s">
        <v>1925</v>
      </c>
      <c r="Q273" s="168"/>
      <c r="R273" s="168"/>
      <c r="S273" s="168"/>
      <c r="T273" s="168"/>
    </row>
    <row r="274" spans="1:20" ht="19.8" x14ac:dyDescent="0.3">
      <c r="A274" s="170">
        <v>46098</v>
      </c>
      <c r="B274" s="168"/>
      <c r="C274" s="168"/>
      <c r="D274" s="168"/>
      <c r="E274" s="168"/>
      <c r="F274" s="168"/>
      <c r="H274" s="170">
        <v>46128</v>
      </c>
      <c r="I274" s="168"/>
      <c r="J274" s="168"/>
      <c r="K274" s="168"/>
      <c r="L274" s="168"/>
      <c r="M274" s="168"/>
      <c r="O274" s="170">
        <v>46160</v>
      </c>
      <c r="P274" s="168"/>
      <c r="Q274" s="168"/>
      <c r="R274" s="168"/>
      <c r="S274" s="168"/>
      <c r="T274" s="168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3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1800</v>
      </c>
      <c r="R275" s="1" t="s">
        <v>3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3866</v>
      </c>
      <c r="C276" s="3">
        <v>1132</v>
      </c>
      <c r="D276" s="3">
        <v>1031</v>
      </c>
      <c r="E276" s="3">
        <v>890</v>
      </c>
      <c r="F276" s="3">
        <v>813</v>
      </c>
      <c r="H276" s="2" t="s">
        <v>5</v>
      </c>
      <c r="I276" s="3">
        <v>6887</v>
      </c>
      <c r="J276" s="3">
        <v>2152</v>
      </c>
      <c r="K276" s="3">
        <v>1468</v>
      </c>
      <c r="L276" s="3">
        <v>1605</v>
      </c>
      <c r="M276" s="3">
        <v>1662</v>
      </c>
      <c r="O276" s="2" t="s">
        <v>5</v>
      </c>
      <c r="P276" s="3">
        <v>3598</v>
      </c>
      <c r="Q276" s="3">
        <v>1223</v>
      </c>
      <c r="R276" s="3">
        <v>1002</v>
      </c>
      <c r="S276" s="3">
        <v>778</v>
      </c>
      <c r="T276" s="3">
        <v>595</v>
      </c>
    </row>
    <row r="277" spans="1:20" x14ac:dyDescent="0.3">
      <c r="A277" s="2" t="s">
        <v>6</v>
      </c>
      <c r="B277" s="3">
        <v>631</v>
      </c>
      <c r="C277" s="6">
        <v>100</v>
      </c>
      <c r="D277" s="3">
        <v>71</v>
      </c>
      <c r="E277" s="5">
        <v>386</v>
      </c>
      <c r="F277" s="4">
        <v>74</v>
      </c>
      <c r="H277" s="2" t="s">
        <v>6</v>
      </c>
      <c r="I277" s="3">
        <v>473</v>
      </c>
      <c r="J277" s="5">
        <v>147</v>
      </c>
      <c r="K277" s="4">
        <v>105</v>
      </c>
      <c r="L277" s="3">
        <v>75</v>
      </c>
      <c r="M277" s="6">
        <v>146</v>
      </c>
      <c r="O277" s="2" t="s">
        <v>6</v>
      </c>
      <c r="P277" s="3">
        <v>798</v>
      </c>
      <c r="Q277" s="5">
        <v>288</v>
      </c>
      <c r="R277" s="6">
        <v>211</v>
      </c>
      <c r="S277" s="4">
        <v>171</v>
      </c>
      <c r="T277" s="3">
        <v>128</v>
      </c>
    </row>
    <row r="278" spans="1:20" x14ac:dyDescent="0.3">
      <c r="A278" s="2" t="s">
        <v>7</v>
      </c>
      <c r="B278" s="3" t="s">
        <v>657</v>
      </c>
      <c r="C278" s="4" t="s">
        <v>312</v>
      </c>
      <c r="D278" s="3" t="s">
        <v>658</v>
      </c>
      <c r="E278" s="5" t="s">
        <v>659</v>
      </c>
      <c r="F278" s="6" t="s">
        <v>514</v>
      </c>
      <c r="H278" s="2" t="s">
        <v>7</v>
      </c>
      <c r="I278" s="3" t="s">
        <v>1313</v>
      </c>
      <c r="J278" s="4" t="s">
        <v>682</v>
      </c>
      <c r="K278" s="6" t="s">
        <v>327</v>
      </c>
      <c r="L278" s="3" t="s">
        <v>1384</v>
      </c>
      <c r="M278" s="5" t="s">
        <v>348</v>
      </c>
      <c r="O278" s="2" t="s">
        <v>7</v>
      </c>
      <c r="P278" s="3" t="s">
        <v>1927</v>
      </c>
      <c r="Q278" s="5" t="s">
        <v>1928</v>
      </c>
      <c r="R278" s="3" t="s">
        <v>966</v>
      </c>
      <c r="S278" s="6" t="s">
        <v>1929</v>
      </c>
      <c r="T278" s="4" t="s">
        <v>1930</v>
      </c>
    </row>
    <row r="279" spans="1:20" x14ac:dyDescent="0.3">
      <c r="A279" s="2" t="s">
        <v>12</v>
      </c>
      <c r="B279" s="3" t="s">
        <v>660</v>
      </c>
      <c r="C279" s="5" t="s">
        <v>661</v>
      </c>
      <c r="D279" s="4" t="s">
        <v>662</v>
      </c>
      <c r="E279" s="3" t="s">
        <v>338</v>
      </c>
      <c r="F279" s="6" t="s">
        <v>663</v>
      </c>
      <c r="H279" s="2" t="s">
        <v>12</v>
      </c>
      <c r="I279" s="3" t="s">
        <v>278</v>
      </c>
      <c r="J279" s="6" t="s">
        <v>388</v>
      </c>
      <c r="K279" s="4" t="s">
        <v>1518</v>
      </c>
      <c r="L279" s="3" t="s">
        <v>268</v>
      </c>
      <c r="M279" s="5" t="s">
        <v>547</v>
      </c>
      <c r="O279" s="2" t="s">
        <v>12</v>
      </c>
      <c r="P279" s="3" t="s">
        <v>1771</v>
      </c>
      <c r="Q279" s="5" t="s">
        <v>1931</v>
      </c>
      <c r="R279" s="3" t="s">
        <v>1375</v>
      </c>
      <c r="S279" s="4" t="s">
        <v>1572</v>
      </c>
      <c r="T279" s="6" t="s">
        <v>1932</v>
      </c>
    </row>
    <row r="280" spans="1:20" x14ac:dyDescent="0.3">
      <c r="A280" s="2" t="s">
        <v>17</v>
      </c>
      <c r="B280" s="3" t="s">
        <v>664</v>
      </c>
      <c r="C280" s="3" t="s">
        <v>441</v>
      </c>
      <c r="D280" s="4" t="s">
        <v>490</v>
      </c>
      <c r="E280" s="5" t="s">
        <v>665</v>
      </c>
      <c r="F280" s="6" t="s">
        <v>666</v>
      </c>
      <c r="H280" s="2" t="s">
        <v>17</v>
      </c>
      <c r="I280" s="3" t="s">
        <v>848</v>
      </c>
      <c r="J280" s="3" t="s">
        <v>1519</v>
      </c>
      <c r="K280" s="4" t="s">
        <v>729</v>
      </c>
      <c r="L280" s="6" t="s">
        <v>1196</v>
      </c>
      <c r="M280" s="5" t="s">
        <v>307</v>
      </c>
      <c r="O280" s="2" t="s">
        <v>17</v>
      </c>
      <c r="P280" s="3" t="s">
        <v>197</v>
      </c>
      <c r="Q280" s="6" t="s">
        <v>1126</v>
      </c>
      <c r="R280" s="5" t="s">
        <v>1186</v>
      </c>
      <c r="S280" s="4" t="s">
        <v>211</v>
      </c>
      <c r="T280" s="3" t="s">
        <v>409</v>
      </c>
    </row>
    <row r="281" spans="1:20" x14ac:dyDescent="0.3">
      <c r="A281" s="2" t="s">
        <v>22</v>
      </c>
      <c r="B281" s="3" t="s">
        <v>552</v>
      </c>
      <c r="C281" s="3" t="s">
        <v>25</v>
      </c>
      <c r="D281" s="3" t="s">
        <v>25</v>
      </c>
      <c r="E281" s="5" t="s">
        <v>49</v>
      </c>
      <c r="F281" s="3" t="s">
        <v>25</v>
      </c>
      <c r="H281" s="2" t="s">
        <v>22</v>
      </c>
      <c r="I281" s="3" t="s">
        <v>258</v>
      </c>
      <c r="J281" s="3" t="s">
        <v>25</v>
      </c>
      <c r="K281" s="5" t="s">
        <v>138</v>
      </c>
      <c r="L281" s="3" t="s">
        <v>25</v>
      </c>
      <c r="M281" s="3" t="s">
        <v>25</v>
      </c>
      <c r="O281" s="2" t="s">
        <v>22</v>
      </c>
      <c r="P281" s="3" t="s">
        <v>552</v>
      </c>
      <c r="Q281" s="3" t="s">
        <v>25</v>
      </c>
      <c r="R281" s="5" t="s">
        <v>81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170</v>
      </c>
      <c r="C282" s="8">
        <v>70</v>
      </c>
      <c r="D282" s="8">
        <v>37</v>
      </c>
      <c r="E282" s="8">
        <v>16</v>
      </c>
      <c r="F282" s="8">
        <v>47</v>
      </c>
      <c r="H282" s="7" t="s">
        <v>26</v>
      </c>
      <c r="I282" s="8">
        <v>145</v>
      </c>
      <c r="J282" s="8">
        <v>58</v>
      </c>
      <c r="K282" s="8">
        <v>39</v>
      </c>
      <c r="L282" s="8">
        <v>1</v>
      </c>
      <c r="M282" s="8">
        <v>47</v>
      </c>
      <c r="O282" s="7" t="s">
        <v>26</v>
      </c>
      <c r="P282" s="8">
        <v>521</v>
      </c>
      <c r="Q282" s="8">
        <v>196</v>
      </c>
      <c r="R282" s="8">
        <v>121</v>
      </c>
      <c r="S282" s="8">
        <v>112</v>
      </c>
      <c r="T282" s="8">
        <v>92</v>
      </c>
    </row>
    <row r="283" spans="1:20" x14ac:dyDescent="0.3">
      <c r="A283" s="9" t="s">
        <v>27</v>
      </c>
      <c r="B283" s="10">
        <v>55</v>
      </c>
      <c r="C283" s="10">
        <v>15</v>
      </c>
      <c r="D283" s="10">
        <v>17</v>
      </c>
      <c r="E283" s="10">
        <v>10</v>
      </c>
      <c r="F283" s="10">
        <v>13</v>
      </c>
      <c r="H283" s="9" t="s">
        <v>27</v>
      </c>
      <c r="I283" s="10">
        <v>28</v>
      </c>
      <c r="J283" s="10">
        <v>10</v>
      </c>
      <c r="K283" s="10">
        <v>8</v>
      </c>
      <c r="L283" s="10">
        <v>1</v>
      </c>
      <c r="M283" s="10">
        <v>9</v>
      </c>
      <c r="O283" s="9" t="s">
        <v>27</v>
      </c>
      <c r="P283" s="10">
        <v>18</v>
      </c>
      <c r="Q283" s="10">
        <v>10</v>
      </c>
      <c r="R283" s="10">
        <v>4</v>
      </c>
      <c r="S283" s="10">
        <v>0</v>
      </c>
      <c r="T283" s="10">
        <v>4</v>
      </c>
    </row>
    <row r="284" spans="1:20" x14ac:dyDescent="0.3">
      <c r="A284" s="9" t="s">
        <v>28</v>
      </c>
      <c r="B284" s="10">
        <v>3</v>
      </c>
      <c r="C284" s="10">
        <v>3</v>
      </c>
      <c r="D284" s="10">
        <v>0</v>
      </c>
      <c r="E284" s="10">
        <v>0</v>
      </c>
      <c r="F284" s="10">
        <v>0</v>
      </c>
      <c r="H284" s="9" t="s">
        <v>28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O284" s="9" t="s">
        <v>28</v>
      </c>
      <c r="P284" s="10">
        <v>26</v>
      </c>
      <c r="Q284" s="10">
        <v>15</v>
      </c>
      <c r="R284" s="10">
        <v>4</v>
      </c>
      <c r="S284" s="10">
        <v>4</v>
      </c>
      <c r="T284" s="10">
        <v>3</v>
      </c>
    </row>
    <row r="285" spans="1:20" x14ac:dyDescent="0.3">
      <c r="A285" s="9" t="s">
        <v>29</v>
      </c>
      <c r="B285" s="10">
        <v>89</v>
      </c>
      <c r="C285" s="10">
        <v>37</v>
      </c>
      <c r="D285" s="10">
        <v>14</v>
      </c>
      <c r="E285" s="10">
        <v>4</v>
      </c>
      <c r="F285" s="10">
        <v>34</v>
      </c>
      <c r="H285" s="9" t="s">
        <v>29</v>
      </c>
      <c r="I285" s="10">
        <v>109</v>
      </c>
      <c r="J285" s="10">
        <v>44</v>
      </c>
      <c r="K285" s="10">
        <v>29</v>
      </c>
      <c r="L285" s="10">
        <v>0</v>
      </c>
      <c r="M285" s="10">
        <v>36</v>
      </c>
      <c r="O285" s="9" t="s">
        <v>29</v>
      </c>
      <c r="P285" s="10">
        <v>399</v>
      </c>
      <c r="Q285" s="10">
        <v>106</v>
      </c>
      <c r="R285" s="10">
        <v>109</v>
      </c>
      <c r="S285" s="10">
        <v>101</v>
      </c>
      <c r="T285" s="10">
        <v>83</v>
      </c>
    </row>
    <row r="286" spans="1:20" x14ac:dyDescent="0.3">
      <c r="A286" s="9" t="s">
        <v>30</v>
      </c>
      <c r="B286" s="10">
        <v>23</v>
      </c>
      <c r="C286" s="10">
        <v>15</v>
      </c>
      <c r="D286" s="10">
        <v>6</v>
      </c>
      <c r="E286" s="10">
        <v>2</v>
      </c>
      <c r="F286" s="10">
        <v>0</v>
      </c>
      <c r="H286" s="9" t="s">
        <v>30</v>
      </c>
      <c r="I286" s="10">
        <v>8</v>
      </c>
      <c r="J286" s="10">
        <v>4</v>
      </c>
      <c r="K286" s="10">
        <v>2</v>
      </c>
      <c r="L286" s="10">
        <v>0</v>
      </c>
      <c r="M286" s="10">
        <v>2</v>
      </c>
      <c r="O286" s="9" t="s">
        <v>30</v>
      </c>
      <c r="P286" s="10">
        <v>78</v>
      </c>
      <c r="Q286" s="10">
        <v>65</v>
      </c>
      <c r="R286" s="10">
        <v>4</v>
      </c>
      <c r="S286" s="10">
        <v>7</v>
      </c>
      <c r="T286" s="10">
        <v>2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367</v>
      </c>
      <c r="C288" s="12">
        <v>30</v>
      </c>
      <c r="D288" s="12">
        <v>34</v>
      </c>
      <c r="E288" s="12">
        <v>276</v>
      </c>
      <c r="F288" s="12">
        <v>27</v>
      </c>
      <c r="H288" s="11" t="s">
        <v>32</v>
      </c>
      <c r="I288" s="12">
        <v>328</v>
      </c>
      <c r="J288" s="12">
        <v>89</v>
      </c>
      <c r="K288" s="12">
        <v>66</v>
      </c>
      <c r="L288" s="12">
        <v>74</v>
      </c>
      <c r="M288" s="12">
        <v>99</v>
      </c>
      <c r="O288" s="11" t="s">
        <v>32</v>
      </c>
      <c r="P288" s="12">
        <v>273</v>
      </c>
      <c r="Q288" s="12">
        <v>93</v>
      </c>
      <c r="R288" s="12">
        <v>89</v>
      </c>
      <c r="S288" s="12">
        <v>59</v>
      </c>
      <c r="T288" s="12">
        <v>32</v>
      </c>
    </row>
    <row r="289" spans="1:20" x14ac:dyDescent="0.3">
      <c r="A289" s="13" t="s">
        <v>33</v>
      </c>
      <c r="B289" s="14">
        <v>254</v>
      </c>
      <c r="C289" s="14">
        <v>3</v>
      </c>
      <c r="D289" s="14">
        <v>0</v>
      </c>
      <c r="E289" s="14">
        <v>250</v>
      </c>
      <c r="F289" s="14">
        <v>1</v>
      </c>
      <c r="H289" s="13" t="s">
        <v>33</v>
      </c>
      <c r="I289" s="14">
        <v>74</v>
      </c>
      <c r="J289" s="14">
        <v>26</v>
      </c>
      <c r="K289" s="14">
        <v>14</v>
      </c>
      <c r="L289" s="14">
        <v>13</v>
      </c>
      <c r="M289" s="14">
        <v>21</v>
      </c>
      <c r="O289" s="13" t="s">
        <v>33</v>
      </c>
      <c r="P289" s="14">
        <v>83</v>
      </c>
      <c r="Q289" s="14">
        <v>31</v>
      </c>
      <c r="R289" s="14">
        <v>20</v>
      </c>
      <c r="S289" s="14">
        <v>18</v>
      </c>
      <c r="T289" s="14">
        <v>14</v>
      </c>
    </row>
    <row r="290" spans="1:20" x14ac:dyDescent="0.3">
      <c r="A290" s="13" t="s">
        <v>34</v>
      </c>
      <c r="B290" s="14">
        <v>113</v>
      </c>
      <c r="C290" s="14">
        <v>27</v>
      </c>
      <c r="D290" s="14">
        <v>34</v>
      </c>
      <c r="E290" s="14">
        <v>26</v>
      </c>
      <c r="F290" s="14">
        <v>26</v>
      </c>
      <c r="H290" s="13" t="s">
        <v>34</v>
      </c>
      <c r="I290" s="14">
        <v>254</v>
      </c>
      <c r="J290" s="14">
        <v>63</v>
      </c>
      <c r="K290" s="14">
        <v>52</v>
      </c>
      <c r="L290" s="14">
        <v>61</v>
      </c>
      <c r="M290" s="14">
        <v>78</v>
      </c>
      <c r="O290" s="13" t="s">
        <v>34</v>
      </c>
      <c r="P290" s="14">
        <v>190</v>
      </c>
      <c r="Q290" s="14">
        <v>62</v>
      </c>
      <c r="R290" s="14">
        <v>69</v>
      </c>
      <c r="S290" s="14">
        <v>41</v>
      </c>
      <c r="T290" s="14">
        <v>18</v>
      </c>
    </row>
    <row r="291" spans="1:20" x14ac:dyDescent="0.3">
      <c r="A291" s="15" t="s">
        <v>35</v>
      </c>
      <c r="B291" s="16">
        <v>1</v>
      </c>
      <c r="C291" s="16">
        <v>0</v>
      </c>
      <c r="D291" s="16">
        <v>0</v>
      </c>
      <c r="E291" s="16">
        <v>1</v>
      </c>
      <c r="F291" s="16">
        <v>0</v>
      </c>
      <c r="H291" s="15" t="s">
        <v>35</v>
      </c>
      <c r="I291" s="16">
        <v>1</v>
      </c>
      <c r="J291" s="16">
        <v>0</v>
      </c>
      <c r="K291" s="16">
        <v>1</v>
      </c>
      <c r="L291" s="16">
        <v>0</v>
      </c>
      <c r="M291" s="16">
        <v>0</v>
      </c>
      <c r="O291" s="15" t="s">
        <v>35</v>
      </c>
      <c r="P291" s="16">
        <v>1</v>
      </c>
      <c r="Q291" s="16">
        <v>0</v>
      </c>
      <c r="R291" s="16">
        <v>1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1</v>
      </c>
      <c r="J292" s="88">
        <v>0</v>
      </c>
      <c r="K292" s="88">
        <v>1</v>
      </c>
      <c r="L292" s="88">
        <v>0</v>
      </c>
      <c r="M292" s="88">
        <v>0</v>
      </c>
      <c r="O292" s="17" t="s">
        <v>36</v>
      </c>
      <c r="P292" s="130">
        <v>0</v>
      </c>
      <c r="Q292" s="130">
        <v>0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1</v>
      </c>
      <c r="C293" s="18">
        <v>0</v>
      </c>
      <c r="D293" s="18">
        <v>0</v>
      </c>
      <c r="E293" s="18">
        <v>1</v>
      </c>
      <c r="F293" s="18">
        <v>0</v>
      </c>
      <c r="H293" s="17" t="s">
        <v>37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O293" s="17" t="s">
        <v>37</v>
      </c>
      <c r="P293" s="130">
        <v>1</v>
      </c>
      <c r="Q293" s="130">
        <v>0</v>
      </c>
      <c r="R293" s="130">
        <v>1</v>
      </c>
      <c r="S293" s="130">
        <v>0</v>
      </c>
      <c r="T293" s="130">
        <v>0</v>
      </c>
    </row>
    <row r="294" spans="1:20" x14ac:dyDescent="0.3">
      <c r="A294" s="17" t="s">
        <v>38</v>
      </c>
      <c r="B294" s="167" t="s">
        <v>667</v>
      </c>
      <c r="C294" s="168"/>
      <c r="D294" s="168"/>
      <c r="E294" s="168"/>
      <c r="F294" s="168"/>
      <c r="H294" s="17" t="s">
        <v>38</v>
      </c>
      <c r="I294" s="167" t="s">
        <v>926</v>
      </c>
      <c r="J294" s="168"/>
      <c r="K294" s="168"/>
      <c r="L294" s="168"/>
      <c r="M294" s="168"/>
      <c r="O294" s="17" t="s">
        <v>38</v>
      </c>
      <c r="P294" s="167" t="s">
        <v>1933</v>
      </c>
      <c r="Q294" s="168"/>
      <c r="R294" s="168"/>
      <c r="S294" s="168"/>
      <c r="T294" s="168"/>
    </row>
    <row r="295" spans="1:20" ht="19.8" x14ac:dyDescent="0.3">
      <c r="A295" s="170">
        <v>46099</v>
      </c>
      <c r="B295" s="168"/>
      <c r="C295" s="168"/>
      <c r="D295" s="168"/>
      <c r="E295" s="168"/>
      <c r="F295" s="168"/>
      <c r="H295" s="170">
        <v>46129</v>
      </c>
      <c r="I295" s="168"/>
      <c r="J295" s="168"/>
      <c r="K295" s="168"/>
      <c r="L295" s="168"/>
      <c r="M295" s="168"/>
      <c r="O295" s="170">
        <v>46161</v>
      </c>
      <c r="P295" s="168"/>
      <c r="Q295" s="168"/>
      <c r="R295" s="168"/>
      <c r="S295" s="168"/>
      <c r="T295" s="168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3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1800</v>
      </c>
      <c r="R296" s="1" t="s">
        <v>3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4520</v>
      </c>
      <c r="C297" s="3">
        <v>1419</v>
      </c>
      <c r="D297" s="3">
        <v>1149</v>
      </c>
      <c r="E297" s="3">
        <v>944</v>
      </c>
      <c r="F297" s="3">
        <v>1008</v>
      </c>
      <c r="H297" s="2" t="s">
        <v>5</v>
      </c>
      <c r="I297" s="3">
        <v>7226</v>
      </c>
      <c r="J297" s="3">
        <v>2185</v>
      </c>
      <c r="K297" s="3">
        <v>1778</v>
      </c>
      <c r="L297" s="3">
        <v>1571</v>
      </c>
      <c r="M297" s="3">
        <v>1692</v>
      </c>
      <c r="O297" s="2" t="s">
        <v>5</v>
      </c>
      <c r="P297" s="3">
        <v>5061</v>
      </c>
      <c r="Q297" s="3">
        <v>1721</v>
      </c>
      <c r="R297" s="3">
        <v>1481</v>
      </c>
      <c r="S297" s="3">
        <v>621</v>
      </c>
      <c r="T297" s="3">
        <v>1238</v>
      </c>
    </row>
    <row r="298" spans="1:20" x14ac:dyDescent="0.3">
      <c r="A298" s="2" t="s">
        <v>6</v>
      </c>
      <c r="B298" s="3">
        <v>611</v>
      </c>
      <c r="C298" s="6">
        <v>103</v>
      </c>
      <c r="D298" s="3">
        <v>57</v>
      </c>
      <c r="E298" s="5">
        <v>370</v>
      </c>
      <c r="F298" s="4">
        <v>81</v>
      </c>
      <c r="H298" s="2" t="s">
        <v>6</v>
      </c>
      <c r="I298" s="3">
        <v>458</v>
      </c>
      <c r="J298" s="5">
        <v>159</v>
      </c>
      <c r="K298" s="6">
        <v>126</v>
      </c>
      <c r="L298" s="3">
        <v>60</v>
      </c>
      <c r="M298" s="4">
        <v>113</v>
      </c>
      <c r="O298" s="2" t="s">
        <v>6</v>
      </c>
      <c r="P298" s="3">
        <v>979</v>
      </c>
      <c r="Q298" s="5">
        <v>332</v>
      </c>
      <c r="R298" s="6">
        <v>280</v>
      </c>
      <c r="S298" s="3">
        <v>123</v>
      </c>
      <c r="T298" s="4">
        <v>244</v>
      </c>
    </row>
    <row r="299" spans="1:20" x14ac:dyDescent="0.3">
      <c r="A299" s="2" t="s">
        <v>7</v>
      </c>
      <c r="B299" s="3" t="s">
        <v>719</v>
      </c>
      <c r="C299" s="4" t="s">
        <v>448</v>
      </c>
      <c r="D299" s="3" t="s">
        <v>254</v>
      </c>
      <c r="E299" s="5" t="s">
        <v>720</v>
      </c>
      <c r="F299" s="6" t="s">
        <v>721</v>
      </c>
      <c r="H299" s="2" t="s">
        <v>7</v>
      </c>
      <c r="I299" s="3" t="s">
        <v>454</v>
      </c>
      <c r="J299" s="5" t="s">
        <v>518</v>
      </c>
      <c r="K299" s="6" t="s">
        <v>219</v>
      </c>
      <c r="L299" s="3" t="s">
        <v>1247</v>
      </c>
      <c r="M299" s="4" t="s">
        <v>111</v>
      </c>
      <c r="O299" s="2" t="s">
        <v>7</v>
      </c>
      <c r="P299" s="3" t="s">
        <v>1945</v>
      </c>
      <c r="Q299" s="4" t="s">
        <v>1946</v>
      </c>
      <c r="R299" s="3" t="s">
        <v>1947</v>
      </c>
      <c r="S299" s="5" t="s">
        <v>618</v>
      </c>
      <c r="T299" s="6" t="s">
        <v>1948</v>
      </c>
    </row>
    <row r="300" spans="1:20" x14ac:dyDescent="0.3">
      <c r="A300" s="2" t="s">
        <v>12</v>
      </c>
      <c r="B300" s="3" t="s">
        <v>195</v>
      </c>
      <c r="C300" s="6" t="s">
        <v>245</v>
      </c>
      <c r="D300" s="4" t="s">
        <v>202</v>
      </c>
      <c r="E300" s="3" t="s">
        <v>78</v>
      </c>
      <c r="F300" s="5" t="s">
        <v>515</v>
      </c>
      <c r="H300" s="2" t="s">
        <v>12</v>
      </c>
      <c r="I300" s="3" t="s">
        <v>1396</v>
      </c>
      <c r="J300" s="5" t="s">
        <v>639</v>
      </c>
      <c r="K300" s="4" t="s">
        <v>1203</v>
      </c>
      <c r="L300" s="3" t="s">
        <v>268</v>
      </c>
      <c r="M300" s="6" t="s">
        <v>1235</v>
      </c>
      <c r="O300" s="2" t="s">
        <v>12</v>
      </c>
      <c r="P300" s="3" t="s">
        <v>844</v>
      </c>
      <c r="Q300" s="4" t="s">
        <v>167</v>
      </c>
      <c r="R300" s="6" t="s">
        <v>1649</v>
      </c>
      <c r="S300" s="3" t="s">
        <v>171</v>
      </c>
      <c r="T300" s="5" t="s">
        <v>1949</v>
      </c>
    </row>
    <row r="301" spans="1:20" x14ac:dyDescent="0.3">
      <c r="A301" s="2" t="s">
        <v>17</v>
      </c>
      <c r="B301" s="3" t="s">
        <v>722</v>
      </c>
      <c r="C301" s="4" t="s">
        <v>59</v>
      </c>
      <c r="D301" s="6" t="s">
        <v>573</v>
      </c>
      <c r="E301" s="5" t="s">
        <v>723</v>
      </c>
      <c r="F301" s="3" t="s">
        <v>724</v>
      </c>
      <c r="H301" s="2" t="s">
        <v>17</v>
      </c>
      <c r="I301" s="3" t="s">
        <v>1536</v>
      </c>
      <c r="J301" s="5" t="s">
        <v>647</v>
      </c>
      <c r="K301" s="6" t="s">
        <v>436</v>
      </c>
      <c r="L301" s="3" t="s">
        <v>579</v>
      </c>
      <c r="M301" s="4" t="s">
        <v>1537</v>
      </c>
      <c r="O301" s="2" t="s">
        <v>17</v>
      </c>
      <c r="P301" s="3" t="s">
        <v>1623</v>
      </c>
      <c r="Q301" s="6" t="s">
        <v>1061</v>
      </c>
      <c r="R301" s="3" t="s">
        <v>90</v>
      </c>
      <c r="S301" s="5" t="s">
        <v>737</v>
      </c>
      <c r="T301" s="4" t="s">
        <v>1505</v>
      </c>
    </row>
    <row r="302" spans="1:20" x14ac:dyDescent="0.3">
      <c r="A302" s="2" t="s">
        <v>22</v>
      </c>
      <c r="B302" s="3" t="s">
        <v>267</v>
      </c>
      <c r="C302" s="5" t="s">
        <v>138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165</v>
      </c>
      <c r="C303" s="8">
        <v>72</v>
      </c>
      <c r="D303" s="8">
        <v>28</v>
      </c>
      <c r="E303" s="8">
        <v>4</v>
      </c>
      <c r="F303" s="8">
        <v>61</v>
      </c>
      <c r="H303" s="7" t="s">
        <v>26</v>
      </c>
      <c r="I303" s="8">
        <v>164</v>
      </c>
      <c r="J303" s="8">
        <v>65</v>
      </c>
      <c r="K303" s="8">
        <v>50</v>
      </c>
      <c r="L303" s="8">
        <v>1</v>
      </c>
      <c r="M303" s="8">
        <v>48</v>
      </c>
      <c r="O303" s="7" t="s">
        <v>26</v>
      </c>
      <c r="P303" s="8">
        <v>528</v>
      </c>
      <c r="Q303" s="8">
        <v>175</v>
      </c>
      <c r="R303" s="8">
        <v>157</v>
      </c>
      <c r="S303" s="8">
        <v>61</v>
      </c>
      <c r="T303" s="8">
        <v>135</v>
      </c>
    </row>
    <row r="304" spans="1:20" x14ac:dyDescent="0.3">
      <c r="A304" s="9" t="s">
        <v>27</v>
      </c>
      <c r="B304" s="10">
        <v>23</v>
      </c>
      <c r="C304" s="10">
        <v>9</v>
      </c>
      <c r="D304" s="10">
        <v>8</v>
      </c>
      <c r="E304" s="10">
        <v>0</v>
      </c>
      <c r="F304" s="10">
        <v>6</v>
      </c>
      <c r="H304" s="9" t="s">
        <v>27</v>
      </c>
      <c r="I304" s="10">
        <v>56</v>
      </c>
      <c r="J304" s="10">
        <v>17</v>
      </c>
      <c r="K304" s="10">
        <v>22</v>
      </c>
      <c r="L304" s="10">
        <v>1</v>
      </c>
      <c r="M304" s="10">
        <v>16</v>
      </c>
      <c r="O304" s="9" t="s">
        <v>27</v>
      </c>
      <c r="P304" s="10">
        <v>40</v>
      </c>
      <c r="Q304" s="10">
        <v>27</v>
      </c>
      <c r="R304" s="10">
        <v>9</v>
      </c>
      <c r="S304" s="10">
        <v>2</v>
      </c>
      <c r="T304" s="10">
        <v>2</v>
      </c>
    </row>
    <row r="305" spans="1:20" x14ac:dyDescent="0.3">
      <c r="A305" s="9" t="s">
        <v>28</v>
      </c>
      <c r="B305" s="10">
        <v>6</v>
      </c>
      <c r="C305" s="10">
        <v>6</v>
      </c>
      <c r="D305" s="10">
        <v>0</v>
      </c>
      <c r="E305" s="10">
        <v>0</v>
      </c>
      <c r="F305" s="10">
        <v>0</v>
      </c>
      <c r="H305" s="9" t="s">
        <v>28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O305" s="9" t="s">
        <v>28</v>
      </c>
      <c r="P305" s="10">
        <v>5</v>
      </c>
      <c r="Q305" s="10">
        <v>4</v>
      </c>
      <c r="R305" s="10">
        <v>0</v>
      </c>
      <c r="S305" s="10">
        <v>0</v>
      </c>
      <c r="T305" s="10">
        <v>1</v>
      </c>
    </row>
    <row r="306" spans="1:20" x14ac:dyDescent="0.3">
      <c r="A306" s="9" t="s">
        <v>29</v>
      </c>
      <c r="B306" s="10">
        <v>120</v>
      </c>
      <c r="C306" s="10">
        <v>47</v>
      </c>
      <c r="D306" s="10">
        <v>14</v>
      </c>
      <c r="E306" s="10">
        <v>4</v>
      </c>
      <c r="F306" s="10">
        <v>55</v>
      </c>
      <c r="H306" s="9" t="s">
        <v>29</v>
      </c>
      <c r="I306" s="10">
        <v>98</v>
      </c>
      <c r="J306" s="10">
        <v>43</v>
      </c>
      <c r="K306" s="10">
        <v>26</v>
      </c>
      <c r="L306" s="10">
        <v>0</v>
      </c>
      <c r="M306" s="10">
        <v>29</v>
      </c>
      <c r="O306" s="9" t="s">
        <v>29</v>
      </c>
      <c r="P306" s="10">
        <v>450</v>
      </c>
      <c r="Q306" s="10">
        <v>125</v>
      </c>
      <c r="R306" s="10">
        <v>141</v>
      </c>
      <c r="S306" s="10">
        <v>58</v>
      </c>
      <c r="T306" s="10">
        <v>126</v>
      </c>
    </row>
    <row r="307" spans="1:20" x14ac:dyDescent="0.3">
      <c r="A307" s="9" t="s">
        <v>30</v>
      </c>
      <c r="B307" s="10">
        <v>16</v>
      </c>
      <c r="C307" s="10">
        <v>10</v>
      </c>
      <c r="D307" s="10">
        <v>6</v>
      </c>
      <c r="E307" s="10">
        <v>0</v>
      </c>
      <c r="F307" s="10">
        <v>0</v>
      </c>
      <c r="H307" s="9" t="s">
        <v>30</v>
      </c>
      <c r="I307" s="10">
        <v>10</v>
      </c>
      <c r="J307" s="10">
        <v>5</v>
      </c>
      <c r="K307" s="10">
        <v>2</v>
      </c>
      <c r="L307" s="10">
        <v>0</v>
      </c>
      <c r="M307" s="10">
        <v>3</v>
      </c>
      <c r="O307" s="9" t="s">
        <v>30</v>
      </c>
      <c r="P307" s="10">
        <v>33</v>
      </c>
      <c r="Q307" s="10">
        <v>19</v>
      </c>
      <c r="R307" s="10">
        <v>7</v>
      </c>
      <c r="S307" s="10">
        <v>1</v>
      </c>
      <c r="T307" s="10">
        <v>6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351</v>
      </c>
      <c r="C309" s="12">
        <v>31</v>
      </c>
      <c r="D309" s="12">
        <v>29</v>
      </c>
      <c r="E309" s="12">
        <v>271</v>
      </c>
      <c r="F309" s="12">
        <v>20</v>
      </c>
      <c r="H309" s="11" t="s">
        <v>32</v>
      </c>
      <c r="I309" s="12">
        <v>294</v>
      </c>
      <c r="J309" s="12">
        <v>94</v>
      </c>
      <c r="K309" s="12">
        <v>76</v>
      </c>
      <c r="L309" s="12">
        <v>59</v>
      </c>
      <c r="M309" s="12">
        <v>65</v>
      </c>
      <c r="O309" s="11" t="s">
        <v>32</v>
      </c>
      <c r="P309" s="12">
        <v>451</v>
      </c>
      <c r="Q309" s="12">
        <v>155</v>
      </c>
      <c r="R309" s="12">
        <v>124</v>
      </c>
      <c r="S309" s="12">
        <v>62</v>
      </c>
      <c r="T309" s="12">
        <v>110</v>
      </c>
    </row>
    <row r="310" spans="1:20" x14ac:dyDescent="0.3">
      <c r="A310" s="13" t="s">
        <v>33</v>
      </c>
      <c r="B310" s="14">
        <v>257</v>
      </c>
      <c r="C310" s="14">
        <v>1</v>
      </c>
      <c r="D310" s="14">
        <v>0</v>
      </c>
      <c r="E310" s="14">
        <v>256</v>
      </c>
      <c r="F310" s="14">
        <v>0</v>
      </c>
      <c r="H310" s="13" t="s">
        <v>33</v>
      </c>
      <c r="I310" s="14">
        <v>170</v>
      </c>
      <c r="J310" s="14">
        <v>60</v>
      </c>
      <c r="K310" s="14">
        <v>36</v>
      </c>
      <c r="L310" s="14">
        <v>29</v>
      </c>
      <c r="M310" s="14">
        <v>45</v>
      </c>
      <c r="O310" s="13" t="s">
        <v>33</v>
      </c>
      <c r="P310" s="14">
        <v>84</v>
      </c>
      <c r="Q310" s="14">
        <v>31</v>
      </c>
      <c r="R310" s="14">
        <v>17</v>
      </c>
      <c r="S310" s="14">
        <v>14</v>
      </c>
      <c r="T310" s="14">
        <v>22</v>
      </c>
    </row>
    <row r="311" spans="1:20" x14ac:dyDescent="0.3">
      <c r="A311" s="13" t="s">
        <v>34</v>
      </c>
      <c r="B311" s="14">
        <v>94</v>
      </c>
      <c r="C311" s="14">
        <v>30</v>
      </c>
      <c r="D311" s="14">
        <v>29</v>
      </c>
      <c r="E311" s="14">
        <v>15</v>
      </c>
      <c r="F311" s="14">
        <v>20</v>
      </c>
      <c r="H311" s="13" t="s">
        <v>34</v>
      </c>
      <c r="I311" s="14">
        <v>124</v>
      </c>
      <c r="J311" s="14">
        <v>34</v>
      </c>
      <c r="K311" s="14">
        <v>40</v>
      </c>
      <c r="L311" s="14">
        <v>30</v>
      </c>
      <c r="M311" s="14">
        <v>20</v>
      </c>
      <c r="O311" s="13" t="s">
        <v>34</v>
      </c>
      <c r="P311" s="14">
        <v>367</v>
      </c>
      <c r="Q311" s="14">
        <v>124</v>
      </c>
      <c r="R311" s="14">
        <v>107</v>
      </c>
      <c r="S311" s="14">
        <v>48</v>
      </c>
      <c r="T311" s="14">
        <v>88</v>
      </c>
    </row>
    <row r="312" spans="1:20" x14ac:dyDescent="0.3">
      <c r="A312" s="15" t="s">
        <v>35</v>
      </c>
      <c r="B312" s="16">
        <v>1</v>
      </c>
      <c r="C312" s="16">
        <v>1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1</v>
      </c>
      <c r="C313" s="18">
        <v>1</v>
      </c>
      <c r="D313" s="18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8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67" t="s">
        <v>667</v>
      </c>
      <c r="C315" s="168"/>
      <c r="D315" s="168"/>
      <c r="E315" s="168"/>
      <c r="F315" s="168"/>
      <c r="H315" s="17" t="s">
        <v>38</v>
      </c>
      <c r="I315" s="167" t="s">
        <v>1538</v>
      </c>
      <c r="J315" s="168"/>
      <c r="K315" s="168"/>
      <c r="L315" s="168"/>
      <c r="M315" s="168"/>
      <c r="O315" s="17" t="s">
        <v>38</v>
      </c>
      <c r="P315" s="167" t="s">
        <v>1933</v>
      </c>
      <c r="Q315" s="168"/>
      <c r="R315" s="168"/>
      <c r="S315" s="168"/>
      <c r="T315" s="168"/>
    </row>
    <row r="316" spans="1:20" ht="19.8" x14ac:dyDescent="0.3">
      <c r="A316" s="170">
        <v>46100</v>
      </c>
      <c r="B316" s="168"/>
      <c r="C316" s="168"/>
      <c r="D316" s="168"/>
      <c r="E316" s="168"/>
      <c r="F316" s="168"/>
      <c r="H316" s="171">
        <v>46130</v>
      </c>
      <c r="I316" s="174"/>
      <c r="J316" s="174"/>
      <c r="K316" s="174"/>
      <c r="L316" s="174"/>
      <c r="M316" s="174"/>
      <c r="O316" s="171">
        <v>46162</v>
      </c>
      <c r="P316" s="171"/>
      <c r="Q316" s="171"/>
      <c r="R316" s="171"/>
      <c r="S316" s="171"/>
      <c r="T316" s="171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3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1800</v>
      </c>
      <c r="R317" s="1" t="s">
        <v>3</v>
      </c>
      <c r="S317" s="1" t="s">
        <v>870</v>
      </c>
      <c r="T317" s="1" t="s">
        <v>4</v>
      </c>
    </row>
    <row r="318" spans="1:20" x14ac:dyDescent="0.3">
      <c r="A318" s="2" t="s">
        <v>5</v>
      </c>
      <c r="B318" s="3">
        <v>5741</v>
      </c>
      <c r="C318" s="3">
        <v>1912</v>
      </c>
      <c r="D318" s="3">
        <v>1209</v>
      </c>
      <c r="E318" s="3">
        <v>1088</v>
      </c>
      <c r="F318" s="3">
        <v>1532</v>
      </c>
      <c r="H318" s="2" t="s">
        <v>5</v>
      </c>
      <c r="I318" s="3">
        <v>4552</v>
      </c>
      <c r="J318" s="3">
        <v>1930</v>
      </c>
      <c r="K318" s="3">
        <v>1624</v>
      </c>
      <c r="L318" s="3">
        <v>1428</v>
      </c>
      <c r="M318" s="3">
        <v>1500</v>
      </c>
      <c r="O318" s="2" t="s">
        <v>5</v>
      </c>
      <c r="P318" s="3">
        <v>3907</v>
      </c>
      <c r="Q318" s="3">
        <v>1353</v>
      </c>
      <c r="R318" s="3">
        <v>1378</v>
      </c>
      <c r="S318" s="3">
        <v>0</v>
      </c>
      <c r="T318" s="3">
        <v>1176</v>
      </c>
    </row>
    <row r="319" spans="1:20" x14ac:dyDescent="0.3">
      <c r="A319" s="2" t="s">
        <v>6</v>
      </c>
      <c r="B319" s="3">
        <v>839</v>
      </c>
      <c r="C319" s="6">
        <v>247</v>
      </c>
      <c r="D319" s="3">
        <v>60</v>
      </c>
      <c r="E319" s="5">
        <v>375</v>
      </c>
      <c r="F319" s="4">
        <v>157</v>
      </c>
      <c r="H319" s="2" t="s">
        <v>6</v>
      </c>
      <c r="I319" s="3">
        <v>147</v>
      </c>
      <c r="J319" s="6">
        <v>97</v>
      </c>
      <c r="K319" s="5">
        <v>70</v>
      </c>
      <c r="L319" s="4">
        <v>18</v>
      </c>
      <c r="M319" s="6">
        <v>59</v>
      </c>
      <c r="O319" s="2" t="s">
        <v>6</v>
      </c>
      <c r="P319" s="3">
        <v>724</v>
      </c>
      <c r="Q319" s="5">
        <v>297</v>
      </c>
      <c r="R319" s="6">
        <v>227</v>
      </c>
      <c r="S319" s="3">
        <v>0</v>
      </c>
      <c r="T319" s="4">
        <v>200</v>
      </c>
    </row>
    <row r="320" spans="1:20" x14ac:dyDescent="0.3">
      <c r="A320" s="2" t="s">
        <v>7</v>
      </c>
      <c r="B320" s="3" t="s">
        <v>752</v>
      </c>
      <c r="C320" s="6" t="s">
        <v>753</v>
      </c>
      <c r="D320" s="3" t="s">
        <v>254</v>
      </c>
      <c r="E320" s="5" t="s">
        <v>754</v>
      </c>
      <c r="F320" s="4" t="s">
        <v>755</v>
      </c>
      <c r="H320" s="2" t="s">
        <v>7</v>
      </c>
      <c r="I320" s="3" t="s">
        <v>429</v>
      </c>
      <c r="J320" s="6" t="s">
        <v>921</v>
      </c>
      <c r="K320" s="5" t="s">
        <v>144</v>
      </c>
      <c r="L320" s="4" t="s">
        <v>277</v>
      </c>
      <c r="M320" s="6" t="s">
        <v>927</v>
      </c>
      <c r="O320" s="2" t="s">
        <v>7</v>
      </c>
      <c r="P320" s="3" t="s">
        <v>1959</v>
      </c>
      <c r="Q320" s="5" t="s">
        <v>1960</v>
      </c>
      <c r="R320" s="4" t="s">
        <v>1629</v>
      </c>
      <c r="S320" s="3">
        <v>0</v>
      </c>
      <c r="T320" s="6" t="s">
        <v>1369</v>
      </c>
    </row>
    <row r="321" spans="1:20" x14ac:dyDescent="0.3">
      <c r="A321" s="2" t="s">
        <v>12</v>
      </c>
      <c r="B321" s="3" t="s">
        <v>638</v>
      </c>
      <c r="C321" s="6" t="s">
        <v>220</v>
      </c>
      <c r="D321" s="4" t="s">
        <v>606</v>
      </c>
      <c r="E321" s="3" t="s">
        <v>80</v>
      </c>
      <c r="F321" s="5" t="s">
        <v>756</v>
      </c>
      <c r="H321" s="2" t="s">
        <v>12</v>
      </c>
      <c r="I321" s="3" t="s">
        <v>201</v>
      </c>
      <c r="J321" s="6" t="s">
        <v>1389</v>
      </c>
      <c r="K321" s="5" t="s">
        <v>481</v>
      </c>
      <c r="L321" s="3" t="s">
        <v>25</v>
      </c>
      <c r="M321" s="6" t="s">
        <v>1248</v>
      </c>
      <c r="O321" s="2" t="s">
        <v>12</v>
      </c>
      <c r="P321" s="3" t="s">
        <v>1961</v>
      </c>
      <c r="Q321" s="5" t="s">
        <v>1564</v>
      </c>
      <c r="R321" s="4" t="s">
        <v>1585</v>
      </c>
      <c r="S321" s="3">
        <v>0</v>
      </c>
      <c r="T321" s="6" t="s">
        <v>483</v>
      </c>
    </row>
    <row r="322" spans="1:20" x14ac:dyDescent="0.3">
      <c r="A322" s="2" t="s">
        <v>17</v>
      </c>
      <c r="B322" s="3" t="s">
        <v>757</v>
      </c>
      <c r="C322" s="6" t="s">
        <v>758</v>
      </c>
      <c r="D322" s="4" t="s">
        <v>429</v>
      </c>
      <c r="E322" s="5" t="s">
        <v>759</v>
      </c>
      <c r="F322" s="3" t="s">
        <v>390</v>
      </c>
      <c r="H322" s="2" t="s">
        <v>17</v>
      </c>
      <c r="I322" s="3" t="s">
        <v>468</v>
      </c>
      <c r="J322" s="5" t="s">
        <v>850</v>
      </c>
      <c r="K322" s="4" t="s">
        <v>492</v>
      </c>
      <c r="L322" s="5" t="s">
        <v>277</v>
      </c>
      <c r="M322" s="6" t="s">
        <v>850</v>
      </c>
      <c r="O322" s="2" t="s">
        <v>17</v>
      </c>
      <c r="P322" s="3" t="s">
        <v>893</v>
      </c>
      <c r="Q322" s="4" t="s">
        <v>1229</v>
      </c>
      <c r="R322" s="6" t="s">
        <v>446</v>
      </c>
      <c r="S322" s="3" t="s">
        <v>25</v>
      </c>
      <c r="T322" s="5" t="s">
        <v>1585</v>
      </c>
    </row>
    <row r="323" spans="1:20" x14ac:dyDescent="0.3">
      <c r="A323" s="2" t="s">
        <v>22</v>
      </c>
      <c r="B323" s="3" t="s">
        <v>267</v>
      </c>
      <c r="C323" s="3" t="s">
        <v>25</v>
      </c>
      <c r="D323" s="5" t="s">
        <v>309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260</v>
      </c>
      <c r="C324" s="8">
        <v>118</v>
      </c>
      <c r="D324" s="8">
        <v>21</v>
      </c>
      <c r="E324" s="8">
        <v>8</v>
      </c>
      <c r="F324" s="8">
        <v>113</v>
      </c>
      <c r="H324" s="7" t="s">
        <v>26</v>
      </c>
      <c r="I324" s="8">
        <v>104</v>
      </c>
      <c r="J324" s="8">
        <v>79</v>
      </c>
      <c r="K324" s="8">
        <v>59</v>
      </c>
      <c r="L324" s="8">
        <v>0</v>
      </c>
      <c r="M324" s="8">
        <v>45</v>
      </c>
      <c r="O324" s="7" t="s">
        <v>26</v>
      </c>
      <c r="P324" s="8">
        <v>386</v>
      </c>
      <c r="Q324" s="8">
        <v>169</v>
      </c>
      <c r="R324" s="8">
        <v>116</v>
      </c>
      <c r="S324" s="8">
        <v>0</v>
      </c>
      <c r="T324" s="8">
        <v>101</v>
      </c>
    </row>
    <row r="325" spans="1:20" x14ac:dyDescent="0.3">
      <c r="A325" s="9" t="s">
        <v>27</v>
      </c>
      <c r="B325" s="10">
        <v>32</v>
      </c>
      <c r="C325" s="10">
        <v>16</v>
      </c>
      <c r="D325" s="10">
        <v>6</v>
      </c>
      <c r="E325" s="10">
        <v>0</v>
      </c>
      <c r="F325" s="10">
        <v>10</v>
      </c>
      <c r="H325" s="9" t="s">
        <v>27</v>
      </c>
      <c r="I325" s="10">
        <v>52</v>
      </c>
      <c r="J325" s="10">
        <v>27</v>
      </c>
      <c r="K325" s="10">
        <v>31</v>
      </c>
      <c r="L325" s="10">
        <v>0</v>
      </c>
      <c r="M325" s="10">
        <v>21</v>
      </c>
      <c r="O325" s="9" t="s">
        <v>27</v>
      </c>
      <c r="P325" s="10">
        <v>61</v>
      </c>
      <c r="Q325" s="10">
        <v>47</v>
      </c>
      <c r="R325" s="10">
        <v>4</v>
      </c>
      <c r="S325" s="10">
        <v>0</v>
      </c>
      <c r="T325" s="10">
        <v>10</v>
      </c>
    </row>
    <row r="326" spans="1:20" x14ac:dyDescent="0.3">
      <c r="A326" s="9" t="s">
        <v>28</v>
      </c>
      <c r="B326" s="10">
        <v>7</v>
      </c>
      <c r="C326" s="10">
        <v>7</v>
      </c>
      <c r="D326" s="10">
        <v>0</v>
      </c>
      <c r="E326" s="10">
        <v>0</v>
      </c>
      <c r="F326" s="10">
        <v>0</v>
      </c>
      <c r="H326" s="9" t="s">
        <v>28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O326" s="9" t="s">
        <v>28</v>
      </c>
      <c r="P326" s="10">
        <v>5</v>
      </c>
      <c r="Q326" s="10">
        <v>5</v>
      </c>
      <c r="R326" s="10">
        <v>0</v>
      </c>
      <c r="S326" s="10">
        <v>0</v>
      </c>
      <c r="T326" s="10">
        <v>0</v>
      </c>
    </row>
    <row r="327" spans="1:20" x14ac:dyDescent="0.3">
      <c r="A327" s="9" t="s">
        <v>29</v>
      </c>
      <c r="B327" s="10">
        <v>197</v>
      </c>
      <c r="C327" s="10">
        <v>80</v>
      </c>
      <c r="D327" s="10">
        <v>7</v>
      </c>
      <c r="E327" s="10">
        <v>8</v>
      </c>
      <c r="F327" s="10">
        <v>102</v>
      </c>
      <c r="H327" s="9" t="s">
        <v>29</v>
      </c>
      <c r="I327" s="10">
        <v>45</v>
      </c>
      <c r="J327" s="10">
        <v>42</v>
      </c>
      <c r="K327" s="10">
        <v>26</v>
      </c>
      <c r="L327" s="10">
        <v>0</v>
      </c>
      <c r="M327" s="10">
        <v>19</v>
      </c>
      <c r="O327" s="9" t="s">
        <v>29</v>
      </c>
      <c r="P327" s="10">
        <v>295</v>
      </c>
      <c r="Q327" s="10">
        <v>94</v>
      </c>
      <c r="R327" s="10">
        <v>112</v>
      </c>
      <c r="S327" s="10">
        <v>0</v>
      </c>
      <c r="T327" s="10">
        <v>89</v>
      </c>
    </row>
    <row r="328" spans="1:20" x14ac:dyDescent="0.3">
      <c r="A328" s="9" t="s">
        <v>30</v>
      </c>
      <c r="B328" s="10">
        <v>24</v>
      </c>
      <c r="C328" s="10">
        <v>15</v>
      </c>
      <c r="D328" s="10">
        <v>8</v>
      </c>
      <c r="E328" s="10">
        <v>0</v>
      </c>
      <c r="F328" s="10">
        <v>1</v>
      </c>
      <c r="H328" s="9" t="s">
        <v>30</v>
      </c>
      <c r="I328" s="10">
        <v>7</v>
      </c>
      <c r="J328" s="10">
        <v>10</v>
      </c>
      <c r="K328" s="10">
        <v>2</v>
      </c>
      <c r="L328" s="10">
        <v>0</v>
      </c>
      <c r="M328" s="10">
        <v>5</v>
      </c>
      <c r="O328" s="9" t="s">
        <v>30</v>
      </c>
      <c r="P328" s="10">
        <v>25</v>
      </c>
      <c r="Q328" s="10">
        <v>23</v>
      </c>
      <c r="R328" s="10">
        <v>0</v>
      </c>
      <c r="S328" s="10">
        <v>0</v>
      </c>
      <c r="T328" s="10">
        <v>2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432</v>
      </c>
      <c r="C330" s="12">
        <v>82</v>
      </c>
      <c r="D330" s="12">
        <v>39</v>
      </c>
      <c r="E330" s="12">
        <v>267</v>
      </c>
      <c r="F330" s="12">
        <v>44</v>
      </c>
      <c r="H330" s="11" t="s">
        <v>32</v>
      </c>
      <c r="I330" s="12">
        <v>43</v>
      </c>
      <c r="J330" s="12">
        <v>18</v>
      </c>
      <c r="K330" s="12">
        <v>11</v>
      </c>
      <c r="L330" s="12">
        <v>18</v>
      </c>
      <c r="M330" s="12">
        <v>14</v>
      </c>
      <c r="O330" s="11" t="s">
        <v>32</v>
      </c>
      <c r="P330" s="12">
        <v>317</v>
      </c>
      <c r="Q330" s="12">
        <v>107</v>
      </c>
      <c r="R330" s="12">
        <v>111</v>
      </c>
      <c r="S330" s="12">
        <v>0</v>
      </c>
      <c r="T330" s="12">
        <v>99</v>
      </c>
    </row>
    <row r="331" spans="1:20" x14ac:dyDescent="0.3">
      <c r="A331" s="13" t="s">
        <v>33</v>
      </c>
      <c r="B331" s="14">
        <v>263</v>
      </c>
      <c r="C331" s="14">
        <v>30</v>
      </c>
      <c r="D331" s="14">
        <v>0</v>
      </c>
      <c r="E331" s="14">
        <v>232</v>
      </c>
      <c r="F331" s="14">
        <v>1</v>
      </c>
      <c r="H331" s="13" t="s">
        <v>33</v>
      </c>
      <c r="I331" s="14">
        <v>1</v>
      </c>
      <c r="J331" s="14">
        <v>0</v>
      </c>
      <c r="K331" s="14">
        <v>1</v>
      </c>
      <c r="L331" s="14">
        <v>0</v>
      </c>
      <c r="M331" s="14">
        <v>0</v>
      </c>
      <c r="O331" s="13" t="s">
        <v>33</v>
      </c>
      <c r="P331" s="14">
        <v>110</v>
      </c>
      <c r="Q331" s="14">
        <v>41</v>
      </c>
      <c r="R331" s="14">
        <v>33</v>
      </c>
      <c r="S331" s="14">
        <v>0</v>
      </c>
      <c r="T331" s="14">
        <v>36</v>
      </c>
    </row>
    <row r="332" spans="1:20" x14ac:dyDescent="0.3">
      <c r="A332" s="13" t="s">
        <v>34</v>
      </c>
      <c r="B332" s="14">
        <v>169</v>
      </c>
      <c r="C332" s="14">
        <v>52</v>
      </c>
      <c r="D332" s="14">
        <v>39</v>
      </c>
      <c r="E332" s="14">
        <v>35</v>
      </c>
      <c r="F332" s="14">
        <v>43</v>
      </c>
      <c r="H332" s="13" t="s">
        <v>34</v>
      </c>
      <c r="I332" s="14">
        <v>42</v>
      </c>
      <c r="J332" s="14">
        <v>18</v>
      </c>
      <c r="K332" s="14">
        <v>10</v>
      </c>
      <c r="L332" s="14">
        <v>18</v>
      </c>
      <c r="M332" s="14">
        <v>14</v>
      </c>
      <c r="O332" s="13" t="s">
        <v>34</v>
      </c>
      <c r="P332" s="14">
        <v>207</v>
      </c>
      <c r="Q332" s="14">
        <v>66</v>
      </c>
      <c r="R332" s="14">
        <v>78</v>
      </c>
      <c r="S332" s="14">
        <v>0</v>
      </c>
      <c r="T332" s="14">
        <v>63</v>
      </c>
    </row>
    <row r="333" spans="1:20" x14ac:dyDescent="0.3">
      <c r="A333" s="15" t="s">
        <v>35</v>
      </c>
      <c r="B333" s="16">
        <v>1</v>
      </c>
      <c r="C333" s="16">
        <v>0</v>
      </c>
      <c r="D333" s="16">
        <v>1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8">
        <v>1</v>
      </c>
      <c r="C334" s="18">
        <v>0</v>
      </c>
      <c r="D334" s="18">
        <v>1</v>
      </c>
      <c r="E334" s="18">
        <v>0</v>
      </c>
      <c r="F334" s="18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0">
        <v>0</v>
      </c>
      <c r="S334" s="138">
        <v>0</v>
      </c>
      <c r="T334" s="130">
        <v>0</v>
      </c>
    </row>
    <row r="335" spans="1:20" x14ac:dyDescent="0.3">
      <c r="A335" s="17" t="s">
        <v>37</v>
      </c>
      <c r="B335" s="18">
        <v>1</v>
      </c>
      <c r="C335" s="18">
        <v>0</v>
      </c>
      <c r="D335" s="18">
        <v>1</v>
      </c>
      <c r="E335" s="18">
        <v>0</v>
      </c>
      <c r="F335" s="18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0">
        <v>0</v>
      </c>
      <c r="S335" s="138">
        <v>0</v>
      </c>
      <c r="T335" s="130">
        <v>0</v>
      </c>
    </row>
    <row r="336" spans="1:20" x14ac:dyDescent="0.3">
      <c r="A336" s="17" t="s">
        <v>38</v>
      </c>
      <c r="B336" s="167" t="s">
        <v>667</v>
      </c>
      <c r="C336" s="168"/>
      <c r="D336" s="168"/>
      <c r="E336" s="168"/>
      <c r="F336" s="168"/>
      <c r="H336" s="17" t="s">
        <v>38</v>
      </c>
      <c r="I336" s="172" t="s">
        <v>67</v>
      </c>
      <c r="J336" s="173"/>
      <c r="K336" s="173"/>
      <c r="L336" s="173"/>
      <c r="M336" s="173"/>
      <c r="O336" s="17" t="s">
        <v>38</v>
      </c>
      <c r="P336" s="172" t="s">
        <v>1933</v>
      </c>
      <c r="Q336" s="173"/>
      <c r="R336" s="173"/>
      <c r="S336" s="173"/>
      <c r="T336" s="173"/>
    </row>
    <row r="337" spans="1:20" ht="19.8" x14ac:dyDescent="0.3">
      <c r="A337" s="170">
        <v>46101</v>
      </c>
      <c r="B337" s="168"/>
      <c r="C337" s="168"/>
      <c r="D337" s="168"/>
      <c r="E337" s="168"/>
      <c r="F337" s="168"/>
      <c r="H337" s="170">
        <v>46132</v>
      </c>
      <c r="I337" s="168"/>
      <c r="J337" s="168"/>
      <c r="K337" s="168"/>
      <c r="L337" s="168"/>
      <c r="M337" s="168"/>
      <c r="O337" s="171">
        <v>46163</v>
      </c>
      <c r="P337" s="174"/>
      <c r="Q337" s="174"/>
      <c r="R337" s="174"/>
      <c r="S337" s="174"/>
      <c r="T337" s="174"/>
    </row>
    <row r="338" spans="1:20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3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1800</v>
      </c>
      <c r="R338" s="1" t="s">
        <v>3</v>
      </c>
      <c r="S338" s="1" t="s">
        <v>870</v>
      </c>
      <c r="T338" s="1" t="s">
        <v>4</v>
      </c>
    </row>
    <row r="339" spans="1:20" x14ac:dyDescent="0.3">
      <c r="A339" s="2" t="s">
        <v>5</v>
      </c>
      <c r="B339" s="3">
        <v>4689</v>
      </c>
      <c r="C339" s="3">
        <v>1323</v>
      </c>
      <c r="D339" s="3">
        <v>1339</v>
      </c>
      <c r="E339" s="3">
        <v>1157</v>
      </c>
      <c r="F339" s="3">
        <v>870</v>
      </c>
      <c r="H339" s="2" t="s">
        <v>5</v>
      </c>
      <c r="I339" s="3">
        <v>4295</v>
      </c>
      <c r="J339" s="3">
        <v>1287</v>
      </c>
      <c r="K339" s="3">
        <v>1114</v>
      </c>
      <c r="L339" s="3">
        <v>935</v>
      </c>
      <c r="M339" s="3">
        <v>959</v>
      </c>
      <c r="O339" s="2" t="s">
        <v>5</v>
      </c>
      <c r="P339" s="3">
        <v>6138</v>
      </c>
      <c r="Q339" s="3">
        <v>1975</v>
      </c>
      <c r="R339" s="3">
        <v>2061</v>
      </c>
      <c r="S339" s="3">
        <v>0</v>
      </c>
      <c r="T339" s="3">
        <v>2102</v>
      </c>
    </row>
    <row r="340" spans="1:20" x14ac:dyDescent="0.3">
      <c r="A340" s="2" t="s">
        <v>6</v>
      </c>
      <c r="B340" s="3">
        <v>692</v>
      </c>
      <c r="C340" s="6">
        <v>165</v>
      </c>
      <c r="D340" s="4">
        <v>115</v>
      </c>
      <c r="E340" s="5">
        <v>330</v>
      </c>
      <c r="F340" s="3">
        <v>82</v>
      </c>
      <c r="H340" s="2" t="s">
        <v>6</v>
      </c>
      <c r="I340" s="3">
        <v>521</v>
      </c>
      <c r="J340" s="4">
        <v>156</v>
      </c>
      <c r="K340" s="6">
        <v>165</v>
      </c>
      <c r="L340" s="3">
        <v>7</v>
      </c>
      <c r="M340" s="5">
        <v>193</v>
      </c>
      <c r="O340" s="2" t="s">
        <v>6</v>
      </c>
      <c r="P340" s="3">
        <v>768</v>
      </c>
      <c r="Q340" s="6">
        <v>256</v>
      </c>
      <c r="R340" s="4">
        <v>243</v>
      </c>
      <c r="S340" s="3">
        <v>0</v>
      </c>
      <c r="T340" s="5">
        <v>269</v>
      </c>
    </row>
    <row r="341" spans="1:20" x14ac:dyDescent="0.3">
      <c r="A341" s="2" t="s">
        <v>7</v>
      </c>
      <c r="B341" s="3" t="s">
        <v>795</v>
      </c>
      <c r="C341" s="6" t="s">
        <v>796</v>
      </c>
      <c r="D341" s="3" t="s">
        <v>483</v>
      </c>
      <c r="E341" s="5" t="s">
        <v>797</v>
      </c>
      <c r="F341" s="4" t="s">
        <v>798</v>
      </c>
      <c r="H341" s="2" t="s">
        <v>7</v>
      </c>
      <c r="I341" s="3" t="s">
        <v>1520</v>
      </c>
      <c r="J341" s="4" t="s">
        <v>1579</v>
      </c>
      <c r="K341" s="6" t="s">
        <v>1580</v>
      </c>
      <c r="L341" s="3" t="s">
        <v>44</v>
      </c>
      <c r="M341" s="5" t="s">
        <v>1581</v>
      </c>
      <c r="O341" s="2" t="s">
        <v>7</v>
      </c>
      <c r="P341" s="3" t="s">
        <v>855</v>
      </c>
      <c r="Q341" s="5" t="s">
        <v>1974</v>
      </c>
      <c r="R341" s="4" t="s">
        <v>907</v>
      </c>
      <c r="S341" s="3">
        <v>0</v>
      </c>
      <c r="T341" s="6" t="s">
        <v>1652</v>
      </c>
    </row>
    <row r="342" spans="1:20" x14ac:dyDescent="0.3">
      <c r="A342" s="2" t="s">
        <v>12</v>
      </c>
      <c r="B342" s="3" t="s">
        <v>643</v>
      </c>
      <c r="C342" s="5" t="s">
        <v>21</v>
      </c>
      <c r="D342" s="4" t="s">
        <v>799</v>
      </c>
      <c r="E342" s="3" t="s">
        <v>800</v>
      </c>
      <c r="F342" s="6" t="s">
        <v>779</v>
      </c>
      <c r="H342" s="2" t="s">
        <v>12</v>
      </c>
      <c r="I342" s="3" t="s">
        <v>1582</v>
      </c>
      <c r="J342" s="4" t="s">
        <v>1583</v>
      </c>
      <c r="K342" s="5" t="s">
        <v>909</v>
      </c>
      <c r="L342" s="3" t="s">
        <v>25</v>
      </c>
      <c r="M342" s="6" t="s">
        <v>855</v>
      </c>
      <c r="O342" s="2" t="s">
        <v>12</v>
      </c>
      <c r="P342" s="3" t="s">
        <v>312</v>
      </c>
      <c r="Q342" s="5" t="s">
        <v>1206</v>
      </c>
      <c r="R342" s="4" t="s">
        <v>367</v>
      </c>
      <c r="S342" s="3">
        <v>0</v>
      </c>
      <c r="T342" s="6" t="s">
        <v>1164</v>
      </c>
    </row>
    <row r="343" spans="1:20" x14ac:dyDescent="0.3">
      <c r="A343" s="2" t="s">
        <v>17</v>
      </c>
      <c r="B343" s="3" t="s">
        <v>801</v>
      </c>
      <c r="C343" s="6" t="s">
        <v>802</v>
      </c>
      <c r="D343" s="4" t="s">
        <v>803</v>
      </c>
      <c r="E343" s="5" t="s">
        <v>804</v>
      </c>
      <c r="F343" s="3" t="s">
        <v>353</v>
      </c>
      <c r="H343" s="2" t="s">
        <v>17</v>
      </c>
      <c r="I343" s="3" t="s">
        <v>1045</v>
      </c>
      <c r="J343" s="4" t="s">
        <v>63</v>
      </c>
      <c r="K343" s="6" t="s">
        <v>346</v>
      </c>
      <c r="L343" s="3" t="s">
        <v>44</v>
      </c>
      <c r="M343" s="5" t="s">
        <v>287</v>
      </c>
      <c r="O343" s="2" t="s">
        <v>17</v>
      </c>
      <c r="P343" s="3" t="s">
        <v>1217</v>
      </c>
      <c r="Q343" s="4" t="s">
        <v>453</v>
      </c>
      <c r="R343" s="6" t="s">
        <v>206</v>
      </c>
      <c r="S343" s="3" t="s">
        <v>25</v>
      </c>
      <c r="T343" s="5" t="s">
        <v>579</v>
      </c>
    </row>
    <row r="344" spans="1:20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  <c r="O344" s="2" t="s">
        <v>22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 x14ac:dyDescent="0.3">
      <c r="A345" s="7" t="s">
        <v>26</v>
      </c>
      <c r="B345" s="8">
        <v>332</v>
      </c>
      <c r="C345" s="8">
        <v>136</v>
      </c>
      <c r="D345" s="8">
        <v>88</v>
      </c>
      <c r="E345" s="8">
        <v>40</v>
      </c>
      <c r="F345" s="8">
        <v>68</v>
      </c>
      <c r="H345" s="7" t="s">
        <v>26</v>
      </c>
      <c r="I345" s="8">
        <v>417</v>
      </c>
      <c r="J345" s="8">
        <v>145</v>
      </c>
      <c r="K345" s="8">
        <v>152</v>
      </c>
      <c r="L345" s="8">
        <v>0</v>
      </c>
      <c r="M345" s="8">
        <v>120</v>
      </c>
      <c r="O345" s="7" t="s">
        <v>26</v>
      </c>
      <c r="P345" s="8">
        <v>542</v>
      </c>
      <c r="Q345" s="8">
        <v>186</v>
      </c>
      <c r="R345" s="8">
        <v>166</v>
      </c>
      <c r="S345" s="8">
        <v>0</v>
      </c>
      <c r="T345" s="8">
        <v>190</v>
      </c>
    </row>
    <row r="346" spans="1:20" x14ac:dyDescent="0.3">
      <c r="A346" s="9" t="s">
        <v>27</v>
      </c>
      <c r="B346" s="10">
        <v>34</v>
      </c>
      <c r="C346" s="10">
        <v>13</v>
      </c>
      <c r="D346" s="10">
        <v>11</v>
      </c>
      <c r="E346" s="10">
        <v>3</v>
      </c>
      <c r="F346" s="10">
        <v>7</v>
      </c>
      <c r="H346" s="9" t="s">
        <v>27</v>
      </c>
      <c r="I346" s="10">
        <v>13</v>
      </c>
      <c r="J346" s="10">
        <v>5</v>
      </c>
      <c r="K346" s="10">
        <v>2</v>
      </c>
      <c r="L346" s="10">
        <v>0</v>
      </c>
      <c r="M346" s="10">
        <v>6</v>
      </c>
      <c r="O346" s="9" t="s">
        <v>27</v>
      </c>
      <c r="P346" s="10">
        <v>69</v>
      </c>
      <c r="Q346" s="10">
        <v>31</v>
      </c>
      <c r="R346" s="10">
        <v>19</v>
      </c>
      <c r="S346" s="10">
        <v>0</v>
      </c>
      <c r="T346" s="10">
        <v>19</v>
      </c>
    </row>
    <row r="347" spans="1:20" x14ac:dyDescent="0.3">
      <c r="A347" s="9" t="s">
        <v>28</v>
      </c>
      <c r="B347" s="10">
        <v>92</v>
      </c>
      <c r="C347" s="10">
        <v>43</v>
      </c>
      <c r="D347" s="10">
        <v>38</v>
      </c>
      <c r="E347" s="10">
        <v>0</v>
      </c>
      <c r="F347" s="10">
        <v>11</v>
      </c>
      <c r="H347" s="9" t="s">
        <v>28</v>
      </c>
      <c r="I347" s="10">
        <v>1</v>
      </c>
      <c r="J347" s="10">
        <v>1</v>
      </c>
      <c r="K347" s="10">
        <v>0</v>
      </c>
      <c r="L347" s="10">
        <v>0</v>
      </c>
      <c r="M347" s="10">
        <v>0</v>
      </c>
      <c r="O347" s="9" t="s">
        <v>28</v>
      </c>
      <c r="P347" s="10">
        <v>2</v>
      </c>
      <c r="Q347" s="10">
        <v>2</v>
      </c>
      <c r="R347" s="10">
        <v>0</v>
      </c>
      <c r="S347" s="10">
        <v>0</v>
      </c>
      <c r="T347" s="10">
        <v>0</v>
      </c>
    </row>
    <row r="348" spans="1:20" x14ac:dyDescent="0.3">
      <c r="A348" s="9" t="s">
        <v>29</v>
      </c>
      <c r="B348" s="10">
        <v>159</v>
      </c>
      <c r="C348" s="10">
        <v>60</v>
      </c>
      <c r="D348" s="10">
        <v>20</v>
      </c>
      <c r="E348" s="10">
        <v>36</v>
      </c>
      <c r="F348" s="10">
        <v>43</v>
      </c>
      <c r="H348" s="9" t="s">
        <v>29</v>
      </c>
      <c r="I348" s="10">
        <v>397</v>
      </c>
      <c r="J348" s="10">
        <v>136</v>
      </c>
      <c r="K348" s="10">
        <v>147</v>
      </c>
      <c r="L348" s="10">
        <v>0</v>
      </c>
      <c r="M348" s="10">
        <v>114</v>
      </c>
      <c r="O348" s="9" t="s">
        <v>29</v>
      </c>
      <c r="P348" s="10">
        <v>437</v>
      </c>
      <c r="Q348" s="10">
        <v>126</v>
      </c>
      <c r="R348" s="10">
        <v>142</v>
      </c>
      <c r="S348" s="10">
        <v>0</v>
      </c>
      <c r="T348" s="10">
        <v>169</v>
      </c>
    </row>
    <row r="349" spans="1:20" x14ac:dyDescent="0.3">
      <c r="A349" s="9" t="s">
        <v>30</v>
      </c>
      <c r="B349" s="10">
        <v>47</v>
      </c>
      <c r="C349" s="10">
        <v>20</v>
      </c>
      <c r="D349" s="10">
        <v>19</v>
      </c>
      <c r="E349" s="10">
        <v>1</v>
      </c>
      <c r="F349" s="10">
        <v>7</v>
      </c>
      <c r="H349" s="9" t="s">
        <v>30</v>
      </c>
      <c r="I349" s="10">
        <v>6</v>
      </c>
      <c r="J349" s="10">
        <v>3</v>
      </c>
      <c r="K349" s="10">
        <v>3</v>
      </c>
      <c r="L349" s="10">
        <v>0</v>
      </c>
      <c r="M349" s="10">
        <v>0</v>
      </c>
      <c r="O349" s="9" t="s">
        <v>30</v>
      </c>
      <c r="P349" s="10">
        <v>34</v>
      </c>
      <c r="Q349" s="10">
        <v>27</v>
      </c>
      <c r="R349" s="10">
        <v>5</v>
      </c>
      <c r="S349" s="10">
        <v>0</v>
      </c>
      <c r="T349" s="10">
        <v>2</v>
      </c>
    </row>
    <row r="350" spans="1:20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O350" s="9" t="s">
        <v>31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A351" s="11" t="s">
        <v>32</v>
      </c>
      <c r="B351" s="12">
        <v>302</v>
      </c>
      <c r="C351" s="12">
        <v>29</v>
      </c>
      <c r="D351" s="12">
        <v>27</v>
      </c>
      <c r="E351" s="12">
        <v>232</v>
      </c>
      <c r="F351" s="12">
        <v>14</v>
      </c>
      <c r="H351" s="11" t="s">
        <v>32</v>
      </c>
      <c r="I351" s="12">
        <v>95</v>
      </c>
      <c r="J351" s="12">
        <v>11</v>
      </c>
      <c r="K351" s="12">
        <v>13</v>
      </c>
      <c r="L351" s="12">
        <v>7</v>
      </c>
      <c r="M351" s="12">
        <v>64</v>
      </c>
      <c r="O351" s="11" t="s">
        <v>32</v>
      </c>
      <c r="P351" s="12">
        <v>218</v>
      </c>
      <c r="Q351" s="12">
        <v>63</v>
      </c>
      <c r="R351" s="12">
        <v>76</v>
      </c>
      <c r="S351" s="12">
        <v>0</v>
      </c>
      <c r="T351" s="12">
        <v>79</v>
      </c>
    </row>
    <row r="352" spans="1:20" x14ac:dyDescent="0.3">
      <c r="A352" s="13" t="s">
        <v>33</v>
      </c>
      <c r="B352" s="14">
        <v>143</v>
      </c>
      <c r="C352" s="14">
        <v>1</v>
      </c>
      <c r="D352" s="14">
        <v>0</v>
      </c>
      <c r="E352" s="14">
        <v>142</v>
      </c>
      <c r="F352" s="14">
        <v>0</v>
      </c>
      <c r="H352" s="13" t="s">
        <v>33</v>
      </c>
      <c r="I352" s="14">
        <v>52</v>
      </c>
      <c r="J352" s="14">
        <v>0</v>
      </c>
      <c r="K352" s="14">
        <v>0</v>
      </c>
      <c r="L352" s="14">
        <v>0</v>
      </c>
      <c r="M352" s="14">
        <v>52</v>
      </c>
      <c r="O352" s="13" t="s">
        <v>33</v>
      </c>
      <c r="P352" s="14">
        <v>8</v>
      </c>
      <c r="Q352" s="14">
        <v>6</v>
      </c>
      <c r="R352" s="14">
        <v>2</v>
      </c>
      <c r="S352" s="14">
        <v>0</v>
      </c>
      <c r="T352" s="14">
        <v>0</v>
      </c>
    </row>
    <row r="353" spans="1:20" x14ac:dyDescent="0.3">
      <c r="A353" s="13" t="s">
        <v>34</v>
      </c>
      <c r="B353" s="14">
        <v>159</v>
      </c>
      <c r="C353" s="14">
        <v>28</v>
      </c>
      <c r="D353" s="14">
        <v>27</v>
      </c>
      <c r="E353" s="14">
        <v>90</v>
      </c>
      <c r="F353" s="14">
        <v>14</v>
      </c>
      <c r="H353" s="13" t="s">
        <v>34</v>
      </c>
      <c r="I353" s="14">
        <v>43</v>
      </c>
      <c r="J353" s="14">
        <v>11</v>
      </c>
      <c r="K353" s="14">
        <v>13</v>
      </c>
      <c r="L353" s="14">
        <v>7</v>
      </c>
      <c r="M353" s="14">
        <v>12</v>
      </c>
      <c r="O353" s="13" t="s">
        <v>34</v>
      </c>
      <c r="P353" s="14">
        <v>210</v>
      </c>
      <c r="Q353" s="14">
        <v>57</v>
      </c>
      <c r="R353" s="14">
        <v>74</v>
      </c>
      <c r="S353" s="14">
        <v>0</v>
      </c>
      <c r="T353" s="14">
        <v>79</v>
      </c>
    </row>
    <row r="354" spans="1:20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O354" s="15" t="s">
        <v>35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</row>
    <row r="355" spans="1:20" x14ac:dyDescent="0.3">
      <c r="A355" s="17" t="s">
        <v>36</v>
      </c>
      <c r="B355" s="18">
        <v>0</v>
      </c>
      <c r="C355" s="18">
        <v>0</v>
      </c>
      <c r="D355" s="18">
        <v>0</v>
      </c>
      <c r="E355" s="18">
        <v>0</v>
      </c>
      <c r="F355" s="18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O355" s="17" t="s">
        <v>36</v>
      </c>
      <c r="P355" s="138">
        <v>0</v>
      </c>
      <c r="Q355" s="138">
        <v>0</v>
      </c>
      <c r="R355" s="138">
        <v>0</v>
      </c>
      <c r="S355" s="138">
        <v>0</v>
      </c>
      <c r="T355" s="138">
        <v>0</v>
      </c>
    </row>
    <row r="356" spans="1:20" x14ac:dyDescent="0.3">
      <c r="A356" s="17" t="s">
        <v>37</v>
      </c>
      <c r="B356" s="18">
        <v>0</v>
      </c>
      <c r="C356" s="18">
        <v>0</v>
      </c>
      <c r="D356" s="18">
        <v>0</v>
      </c>
      <c r="E356" s="18">
        <v>0</v>
      </c>
      <c r="F356" s="18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  <c r="O356" s="17" t="s">
        <v>37</v>
      </c>
      <c r="P356" s="138">
        <v>0</v>
      </c>
      <c r="Q356" s="138">
        <v>0</v>
      </c>
      <c r="R356" s="138">
        <v>0</v>
      </c>
      <c r="S356" s="138">
        <v>0</v>
      </c>
      <c r="T356" s="138">
        <v>0</v>
      </c>
    </row>
    <row r="357" spans="1:20" x14ac:dyDescent="0.3">
      <c r="A357" s="17" t="s">
        <v>38</v>
      </c>
      <c r="B357" s="167" t="s">
        <v>805</v>
      </c>
      <c r="C357" s="168"/>
      <c r="D357" s="168"/>
      <c r="E357" s="168"/>
      <c r="F357" s="168"/>
      <c r="H357" s="17" t="s">
        <v>38</v>
      </c>
      <c r="I357" s="167" t="s">
        <v>1584</v>
      </c>
      <c r="J357" s="168"/>
      <c r="K357" s="168"/>
      <c r="L357" s="168"/>
      <c r="M357" s="168"/>
      <c r="O357" s="17" t="s">
        <v>38</v>
      </c>
      <c r="P357" s="172" t="s">
        <v>1141</v>
      </c>
      <c r="Q357" s="173"/>
      <c r="R357" s="173"/>
      <c r="S357" s="173"/>
      <c r="T357" s="173"/>
    </row>
    <row r="358" spans="1:20" ht="19.8" x14ac:dyDescent="0.3">
      <c r="A358" s="170">
        <v>46102</v>
      </c>
      <c r="B358" s="168"/>
      <c r="C358" s="168"/>
      <c r="D358" s="168"/>
      <c r="E358" s="168"/>
      <c r="F358" s="168"/>
      <c r="H358" s="170">
        <v>46133</v>
      </c>
      <c r="I358" s="168"/>
      <c r="J358" s="168"/>
      <c r="K358" s="168"/>
      <c r="L358" s="168"/>
      <c r="M358" s="168"/>
      <c r="O358" s="171">
        <v>46164</v>
      </c>
      <c r="P358" s="171"/>
      <c r="Q358" s="171"/>
      <c r="R358" s="171"/>
      <c r="S358" s="171"/>
      <c r="T358" s="171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3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3</v>
      </c>
      <c r="L359" s="1" t="s">
        <v>40</v>
      </c>
      <c r="M359" s="1" t="s">
        <v>4</v>
      </c>
      <c r="O359" s="1" t="s">
        <v>0</v>
      </c>
      <c r="P359" s="1" t="s">
        <v>1</v>
      </c>
      <c r="Q359" s="1" t="s">
        <v>1800</v>
      </c>
      <c r="R359" s="1" t="s">
        <v>3</v>
      </c>
      <c r="S359" s="1" t="s">
        <v>870</v>
      </c>
      <c r="T359" s="1" t="s">
        <v>4</v>
      </c>
    </row>
    <row r="360" spans="1:20" x14ac:dyDescent="0.3">
      <c r="A360" s="2" t="s">
        <v>5</v>
      </c>
      <c r="B360" s="3">
        <v>5224</v>
      </c>
      <c r="C360" s="3">
        <v>1614</v>
      </c>
      <c r="D360" s="3">
        <v>1318</v>
      </c>
      <c r="E360" s="3">
        <v>1160</v>
      </c>
      <c r="F360" s="3">
        <v>1132</v>
      </c>
      <c r="H360" s="2" t="s">
        <v>5</v>
      </c>
      <c r="I360" s="3">
        <v>7637</v>
      </c>
      <c r="J360" s="3">
        <v>2280</v>
      </c>
      <c r="K360" s="3">
        <v>1903</v>
      </c>
      <c r="L360" s="3">
        <v>1657</v>
      </c>
      <c r="M360" s="3">
        <v>1797</v>
      </c>
      <c r="O360" s="2" t="s">
        <v>5</v>
      </c>
      <c r="P360" s="3">
        <v>5454</v>
      </c>
      <c r="Q360" s="3">
        <v>1811</v>
      </c>
      <c r="R360" s="3">
        <v>1830</v>
      </c>
      <c r="S360" s="3">
        <v>0</v>
      </c>
      <c r="T360" s="3">
        <v>1813</v>
      </c>
    </row>
    <row r="361" spans="1:20" x14ac:dyDescent="0.3">
      <c r="A361" s="2" t="s">
        <v>6</v>
      </c>
      <c r="B361" s="3">
        <v>240</v>
      </c>
      <c r="C361" s="5">
        <v>100</v>
      </c>
      <c r="D361" s="6">
        <v>63</v>
      </c>
      <c r="E361" s="3">
        <v>20</v>
      </c>
      <c r="F361" s="4">
        <v>57</v>
      </c>
      <c r="H361" s="2" t="s">
        <v>6</v>
      </c>
      <c r="I361" s="3">
        <v>627</v>
      </c>
      <c r="J361" s="6">
        <v>203</v>
      </c>
      <c r="K361" s="5">
        <v>216</v>
      </c>
      <c r="L361" s="3">
        <v>8</v>
      </c>
      <c r="M361" s="4">
        <v>200</v>
      </c>
      <c r="O361" s="2" t="s">
        <v>6</v>
      </c>
      <c r="P361" s="3">
        <v>771</v>
      </c>
      <c r="Q361" s="6">
        <v>249</v>
      </c>
      <c r="R361" s="4">
        <v>245</v>
      </c>
      <c r="S361" s="3">
        <v>0</v>
      </c>
      <c r="T361" s="5">
        <v>277</v>
      </c>
    </row>
    <row r="362" spans="1:20" x14ac:dyDescent="0.3">
      <c r="A362" s="2" t="s">
        <v>7</v>
      </c>
      <c r="B362" s="3" t="s">
        <v>832</v>
      </c>
      <c r="C362" s="5" t="s">
        <v>459</v>
      </c>
      <c r="D362" s="4" t="s">
        <v>833</v>
      </c>
      <c r="E362" s="3" t="s">
        <v>280</v>
      </c>
      <c r="F362" s="6" t="s">
        <v>834</v>
      </c>
      <c r="H362" s="2" t="s">
        <v>7</v>
      </c>
      <c r="I362" s="3" t="s">
        <v>914</v>
      </c>
      <c r="J362" s="4" t="s">
        <v>728</v>
      </c>
      <c r="K362" s="5" t="s">
        <v>1598</v>
      </c>
      <c r="L362" s="3" t="s">
        <v>153</v>
      </c>
      <c r="M362" s="6" t="s">
        <v>1599</v>
      </c>
      <c r="O362" s="2" t="s">
        <v>7</v>
      </c>
      <c r="P362" s="3" t="s">
        <v>1983</v>
      </c>
      <c r="Q362" s="6" t="s">
        <v>1784</v>
      </c>
      <c r="R362" s="4" t="s">
        <v>1030</v>
      </c>
      <c r="S362" s="3">
        <v>0</v>
      </c>
      <c r="T362" s="5" t="s">
        <v>1984</v>
      </c>
    </row>
    <row r="363" spans="1:20" x14ac:dyDescent="0.3">
      <c r="A363" s="2" t="s">
        <v>12</v>
      </c>
      <c r="B363" s="3" t="s">
        <v>835</v>
      </c>
      <c r="C363" s="5" t="s">
        <v>836</v>
      </c>
      <c r="D363" s="6" t="s">
        <v>837</v>
      </c>
      <c r="E363" s="3" t="s">
        <v>560</v>
      </c>
      <c r="F363" s="4" t="s">
        <v>204</v>
      </c>
      <c r="H363" s="2" t="s">
        <v>12</v>
      </c>
      <c r="I363" s="3" t="s">
        <v>903</v>
      </c>
      <c r="J363" s="4" t="s">
        <v>242</v>
      </c>
      <c r="K363" s="5" t="s">
        <v>1487</v>
      </c>
      <c r="L363" s="3" t="s">
        <v>109</v>
      </c>
      <c r="M363" s="6" t="s">
        <v>669</v>
      </c>
      <c r="O363" s="2" t="s">
        <v>12</v>
      </c>
      <c r="P363" s="3" t="s">
        <v>816</v>
      </c>
      <c r="Q363" s="5" t="s">
        <v>215</v>
      </c>
      <c r="R363" s="4" t="s">
        <v>1517</v>
      </c>
      <c r="S363" s="3">
        <v>0</v>
      </c>
      <c r="T363" s="6" t="s">
        <v>1054</v>
      </c>
    </row>
    <row r="364" spans="1:20" x14ac:dyDescent="0.3">
      <c r="A364" s="2" t="s">
        <v>17</v>
      </c>
      <c r="B364" s="3" t="s">
        <v>491</v>
      </c>
      <c r="C364" s="4" t="s">
        <v>200</v>
      </c>
      <c r="D364" s="3" t="s">
        <v>121</v>
      </c>
      <c r="E364" s="6" t="s">
        <v>157</v>
      </c>
      <c r="F364" s="5" t="s">
        <v>62</v>
      </c>
      <c r="H364" s="2" t="s">
        <v>17</v>
      </c>
      <c r="I364" s="3" t="s">
        <v>300</v>
      </c>
      <c r="J364" s="6" t="s">
        <v>119</v>
      </c>
      <c r="K364" s="4" t="s">
        <v>146</v>
      </c>
      <c r="L364" s="3" t="s">
        <v>147</v>
      </c>
      <c r="M364" s="5" t="s">
        <v>1168</v>
      </c>
      <c r="O364" s="2" t="s">
        <v>17</v>
      </c>
      <c r="P364" s="3" t="s">
        <v>455</v>
      </c>
      <c r="Q364" s="4" t="s">
        <v>124</v>
      </c>
      <c r="R364" s="6" t="s">
        <v>325</v>
      </c>
      <c r="S364" s="3" t="s">
        <v>25</v>
      </c>
      <c r="T364" s="5" t="s">
        <v>785</v>
      </c>
    </row>
    <row r="365" spans="1:20" x14ac:dyDescent="0.3">
      <c r="A365" s="2" t="s">
        <v>22</v>
      </c>
      <c r="B365" s="3" t="s">
        <v>25</v>
      </c>
      <c r="C365" s="3" t="s">
        <v>25</v>
      </c>
      <c r="D365" s="3" t="s">
        <v>25</v>
      </c>
      <c r="E365" s="3" t="s">
        <v>25</v>
      </c>
      <c r="F365" s="3" t="s">
        <v>25</v>
      </c>
      <c r="H365" s="2" t="s">
        <v>22</v>
      </c>
      <c r="I365" s="3" t="s">
        <v>25</v>
      </c>
      <c r="J365" s="3" t="s">
        <v>25</v>
      </c>
      <c r="K365" s="3" t="s">
        <v>25</v>
      </c>
      <c r="L365" s="3" t="s">
        <v>25</v>
      </c>
      <c r="M365" s="3" t="s">
        <v>25</v>
      </c>
      <c r="O365" s="2" t="s">
        <v>22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 x14ac:dyDescent="0.3">
      <c r="A366" s="7" t="s">
        <v>26</v>
      </c>
      <c r="B366" s="8">
        <v>219</v>
      </c>
      <c r="C366" s="8">
        <v>94</v>
      </c>
      <c r="D366" s="8">
        <v>61</v>
      </c>
      <c r="E366" s="8">
        <v>15</v>
      </c>
      <c r="F366" s="8">
        <v>49</v>
      </c>
      <c r="H366" s="7" t="s">
        <v>26</v>
      </c>
      <c r="I366" s="8">
        <v>563</v>
      </c>
      <c r="J366" s="8">
        <v>194</v>
      </c>
      <c r="K366" s="8">
        <v>212</v>
      </c>
      <c r="L366" s="8">
        <v>3</v>
      </c>
      <c r="M366" s="8">
        <v>154</v>
      </c>
      <c r="O366" s="7" t="s">
        <v>26</v>
      </c>
      <c r="P366" s="8">
        <v>324</v>
      </c>
      <c r="Q366" s="8">
        <v>113</v>
      </c>
      <c r="R366" s="8">
        <v>98</v>
      </c>
      <c r="S366" s="8">
        <v>0</v>
      </c>
      <c r="T366" s="8">
        <v>113</v>
      </c>
    </row>
    <row r="367" spans="1:20" x14ac:dyDescent="0.3">
      <c r="A367" s="9" t="s">
        <v>27</v>
      </c>
      <c r="B367" s="10">
        <v>59</v>
      </c>
      <c r="C367" s="10">
        <v>18</v>
      </c>
      <c r="D367" s="10">
        <v>22</v>
      </c>
      <c r="E367" s="10">
        <v>1</v>
      </c>
      <c r="F367" s="10">
        <v>18</v>
      </c>
      <c r="H367" s="9" t="s">
        <v>27</v>
      </c>
      <c r="I367" s="10">
        <v>45</v>
      </c>
      <c r="J367" s="10">
        <v>12</v>
      </c>
      <c r="K367" s="10">
        <v>18</v>
      </c>
      <c r="L367" s="10">
        <v>1</v>
      </c>
      <c r="M367" s="10">
        <v>14</v>
      </c>
      <c r="O367" s="9" t="s">
        <v>27</v>
      </c>
      <c r="P367" s="10">
        <v>61</v>
      </c>
      <c r="Q367" s="10">
        <v>25</v>
      </c>
      <c r="R367" s="10">
        <v>20</v>
      </c>
      <c r="S367" s="10">
        <v>0</v>
      </c>
      <c r="T367" s="10">
        <v>16</v>
      </c>
    </row>
    <row r="368" spans="1:20" x14ac:dyDescent="0.3">
      <c r="A368" s="9" t="s">
        <v>28</v>
      </c>
      <c r="B368" s="10">
        <v>13</v>
      </c>
      <c r="C368" s="10">
        <v>1</v>
      </c>
      <c r="D368" s="10">
        <v>7</v>
      </c>
      <c r="E368" s="10">
        <v>0</v>
      </c>
      <c r="F368" s="10">
        <v>5</v>
      </c>
      <c r="H368" s="9" t="s">
        <v>28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O368" s="9" t="s">
        <v>28</v>
      </c>
      <c r="P368" s="10">
        <v>14</v>
      </c>
      <c r="Q368" s="10">
        <v>7</v>
      </c>
      <c r="R368" s="10">
        <v>4</v>
      </c>
      <c r="S368" s="10">
        <v>0</v>
      </c>
      <c r="T368" s="10">
        <v>3</v>
      </c>
    </row>
    <row r="369" spans="1:20" x14ac:dyDescent="0.3">
      <c r="A369" s="9" t="s">
        <v>29</v>
      </c>
      <c r="B369" s="10">
        <v>72</v>
      </c>
      <c r="C369" s="10">
        <v>38</v>
      </c>
      <c r="D369" s="10">
        <v>12</v>
      </c>
      <c r="E369" s="10">
        <v>14</v>
      </c>
      <c r="F369" s="10">
        <v>8</v>
      </c>
      <c r="H369" s="9" t="s">
        <v>29</v>
      </c>
      <c r="I369" s="10">
        <v>501</v>
      </c>
      <c r="J369" s="10">
        <v>170</v>
      </c>
      <c r="K369" s="10">
        <v>192</v>
      </c>
      <c r="L369" s="10">
        <v>1</v>
      </c>
      <c r="M369" s="10">
        <v>138</v>
      </c>
      <c r="O369" s="9" t="s">
        <v>29</v>
      </c>
      <c r="P369" s="10">
        <v>193</v>
      </c>
      <c r="Q369" s="10">
        <v>61</v>
      </c>
      <c r="R369" s="10">
        <v>49</v>
      </c>
      <c r="S369" s="10">
        <v>0</v>
      </c>
      <c r="T369" s="10">
        <v>83</v>
      </c>
    </row>
    <row r="370" spans="1:20" x14ac:dyDescent="0.3">
      <c r="A370" s="9" t="s">
        <v>30</v>
      </c>
      <c r="B370" s="10">
        <v>75</v>
      </c>
      <c r="C370" s="10">
        <v>37</v>
      </c>
      <c r="D370" s="10">
        <v>20</v>
      </c>
      <c r="E370" s="10">
        <v>0</v>
      </c>
      <c r="F370" s="10">
        <v>18</v>
      </c>
      <c r="H370" s="9" t="s">
        <v>30</v>
      </c>
      <c r="I370" s="10">
        <v>17</v>
      </c>
      <c r="J370" s="10">
        <v>12</v>
      </c>
      <c r="K370" s="10">
        <v>2</v>
      </c>
      <c r="L370" s="10">
        <v>1</v>
      </c>
      <c r="M370" s="10">
        <v>2</v>
      </c>
      <c r="O370" s="9" t="s">
        <v>30</v>
      </c>
      <c r="P370" s="10">
        <v>56</v>
      </c>
      <c r="Q370" s="10">
        <v>20</v>
      </c>
      <c r="R370" s="10">
        <v>25</v>
      </c>
      <c r="S370" s="10">
        <v>0</v>
      </c>
      <c r="T370" s="10">
        <v>11</v>
      </c>
    </row>
    <row r="371" spans="1:20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O371" s="9" t="s">
        <v>31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s="11" t="s">
        <v>32</v>
      </c>
      <c r="B372" s="12">
        <v>21</v>
      </c>
      <c r="C372" s="12">
        <v>6</v>
      </c>
      <c r="D372" s="12">
        <v>2</v>
      </c>
      <c r="E372" s="12">
        <v>5</v>
      </c>
      <c r="F372" s="12">
        <v>8</v>
      </c>
      <c r="H372" s="11" t="s">
        <v>32</v>
      </c>
      <c r="I372" s="12">
        <v>56</v>
      </c>
      <c r="J372" s="12">
        <v>10</v>
      </c>
      <c r="K372" s="12">
        <v>6</v>
      </c>
      <c r="L372" s="12">
        <v>5</v>
      </c>
      <c r="M372" s="12">
        <v>35</v>
      </c>
      <c r="O372" s="11" t="s">
        <v>32</v>
      </c>
      <c r="P372" s="12">
        <v>447</v>
      </c>
      <c r="Q372" s="12">
        <v>136</v>
      </c>
      <c r="R372" s="12">
        <v>147</v>
      </c>
      <c r="S372" s="12">
        <v>0</v>
      </c>
      <c r="T372" s="12">
        <v>164</v>
      </c>
    </row>
    <row r="373" spans="1:20" x14ac:dyDescent="0.3">
      <c r="A373" s="13" t="s">
        <v>33</v>
      </c>
      <c r="B373" s="14">
        <v>2</v>
      </c>
      <c r="C373" s="14">
        <v>0</v>
      </c>
      <c r="D373" s="14">
        <v>0</v>
      </c>
      <c r="E373" s="14">
        <v>1</v>
      </c>
      <c r="F373" s="14">
        <v>1</v>
      </c>
      <c r="H373" s="13" t="s">
        <v>33</v>
      </c>
      <c r="I373" s="14">
        <v>39</v>
      </c>
      <c r="J373" s="14">
        <v>6</v>
      </c>
      <c r="K373" s="14">
        <v>3</v>
      </c>
      <c r="L373" s="14">
        <v>0</v>
      </c>
      <c r="M373" s="14">
        <v>30</v>
      </c>
      <c r="O373" s="13" t="s">
        <v>33</v>
      </c>
      <c r="P373" s="14">
        <v>5</v>
      </c>
      <c r="Q373" s="14">
        <v>0</v>
      </c>
      <c r="R373" s="14">
        <v>3</v>
      </c>
      <c r="S373" s="14">
        <v>0</v>
      </c>
      <c r="T373" s="14">
        <v>2</v>
      </c>
    </row>
    <row r="374" spans="1:20" x14ac:dyDescent="0.3">
      <c r="A374" s="13" t="s">
        <v>34</v>
      </c>
      <c r="B374" s="14">
        <v>19</v>
      </c>
      <c r="C374" s="14">
        <v>6</v>
      </c>
      <c r="D374" s="14">
        <v>2</v>
      </c>
      <c r="E374" s="14">
        <v>4</v>
      </c>
      <c r="F374" s="14">
        <v>7</v>
      </c>
      <c r="H374" s="13" t="s">
        <v>34</v>
      </c>
      <c r="I374" s="14">
        <v>17</v>
      </c>
      <c r="J374" s="14">
        <v>4</v>
      </c>
      <c r="K374" s="14">
        <v>3</v>
      </c>
      <c r="L374" s="14">
        <v>5</v>
      </c>
      <c r="M374" s="14">
        <v>5</v>
      </c>
      <c r="O374" s="13" t="s">
        <v>34</v>
      </c>
      <c r="P374" s="14">
        <v>442</v>
      </c>
      <c r="Q374" s="14">
        <v>136</v>
      </c>
      <c r="R374" s="14">
        <v>144</v>
      </c>
      <c r="S374" s="14">
        <v>0</v>
      </c>
      <c r="T374" s="14">
        <v>162</v>
      </c>
    </row>
    <row r="375" spans="1:20" x14ac:dyDescent="0.3">
      <c r="A375" s="15" t="s">
        <v>35</v>
      </c>
      <c r="B375" s="16">
        <v>0</v>
      </c>
      <c r="C375" s="16">
        <v>0</v>
      </c>
      <c r="D375" s="16">
        <v>0</v>
      </c>
      <c r="E375" s="16">
        <v>0</v>
      </c>
      <c r="F375" s="16">
        <v>0</v>
      </c>
      <c r="H375" s="15" t="s">
        <v>35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O375" s="15" t="s">
        <v>35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</row>
    <row r="376" spans="1:20" x14ac:dyDescent="0.3">
      <c r="A376" s="17" t="s">
        <v>36</v>
      </c>
      <c r="B376" s="18">
        <v>0</v>
      </c>
      <c r="C376" s="18">
        <v>0</v>
      </c>
      <c r="D376" s="18">
        <v>0</v>
      </c>
      <c r="E376" s="18">
        <v>0</v>
      </c>
      <c r="F376" s="18">
        <v>0</v>
      </c>
      <c r="H376" s="17" t="s">
        <v>36</v>
      </c>
      <c r="I376" s="100">
        <v>0</v>
      </c>
      <c r="J376" s="100">
        <v>0</v>
      </c>
      <c r="K376" s="100">
        <v>0</v>
      </c>
      <c r="L376" s="100">
        <v>0</v>
      </c>
      <c r="M376" s="100">
        <v>0</v>
      </c>
      <c r="O376" s="17" t="s">
        <v>36</v>
      </c>
      <c r="P376" s="138">
        <v>0</v>
      </c>
      <c r="Q376" s="138">
        <v>0</v>
      </c>
      <c r="R376" s="138">
        <v>0</v>
      </c>
      <c r="S376" s="138">
        <v>0</v>
      </c>
      <c r="T376" s="138">
        <v>0</v>
      </c>
    </row>
    <row r="377" spans="1:20" x14ac:dyDescent="0.3">
      <c r="A377" s="17" t="s">
        <v>37</v>
      </c>
      <c r="B377" s="18">
        <v>0</v>
      </c>
      <c r="C377" s="18">
        <v>0</v>
      </c>
      <c r="D377" s="18">
        <v>0</v>
      </c>
      <c r="E377" s="18">
        <v>0</v>
      </c>
      <c r="F377" s="18">
        <v>0</v>
      </c>
      <c r="H377" s="17" t="s">
        <v>37</v>
      </c>
      <c r="I377" s="100">
        <v>0</v>
      </c>
      <c r="J377" s="100">
        <v>0</v>
      </c>
      <c r="K377" s="100">
        <v>0</v>
      </c>
      <c r="L377" s="100">
        <v>0</v>
      </c>
      <c r="M377" s="100">
        <v>0</v>
      </c>
      <c r="O377" s="17" t="s">
        <v>37</v>
      </c>
      <c r="P377" s="138">
        <v>0</v>
      </c>
      <c r="Q377" s="138">
        <v>0</v>
      </c>
      <c r="R377" s="138">
        <v>0</v>
      </c>
      <c r="S377" s="138">
        <v>0</v>
      </c>
      <c r="T377" s="138">
        <v>0</v>
      </c>
    </row>
    <row r="378" spans="1:20" x14ac:dyDescent="0.3">
      <c r="A378" s="17" t="s">
        <v>38</v>
      </c>
      <c r="B378" s="167" t="s">
        <v>253</v>
      </c>
      <c r="C378" s="168"/>
      <c r="D378" s="168"/>
      <c r="E378" s="168"/>
      <c r="F378" s="168"/>
      <c r="H378" s="17" t="s">
        <v>38</v>
      </c>
      <c r="I378" s="167" t="s">
        <v>667</v>
      </c>
      <c r="J378" s="168"/>
      <c r="K378" s="168"/>
      <c r="L378" s="168"/>
      <c r="M378" s="168"/>
      <c r="O378" s="17" t="s">
        <v>38</v>
      </c>
      <c r="P378" s="172" t="s">
        <v>1985</v>
      </c>
      <c r="Q378" s="173"/>
      <c r="R378" s="173"/>
      <c r="S378" s="173"/>
      <c r="T378" s="173"/>
    </row>
    <row r="379" spans="1:20" ht="19.8" x14ac:dyDescent="0.3">
      <c r="A379" s="170">
        <v>46104</v>
      </c>
      <c r="B379" s="168"/>
      <c r="C379" s="168"/>
      <c r="D379" s="168"/>
      <c r="E379" s="168"/>
      <c r="F379" s="168"/>
      <c r="H379" s="170">
        <v>46134</v>
      </c>
      <c r="I379" s="168"/>
      <c r="J379" s="168"/>
      <c r="K379" s="168"/>
      <c r="L379" s="168"/>
      <c r="M379" s="168"/>
      <c r="O379" s="171">
        <v>46165</v>
      </c>
      <c r="P379" s="171"/>
      <c r="Q379" s="171"/>
      <c r="R379" s="171"/>
      <c r="S379" s="171"/>
      <c r="T379" s="171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3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3</v>
      </c>
      <c r="L380" s="1" t="s">
        <v>40</v>
      </c>
      <c r="M380" s="1" t="s">
        <v>4</v>
      </c>
      <c r="O380" s="1" t="s">
        <v>0</v>
      </c>
      <c r="P380" s="1" t="s">
        <v>1</v>
      </c>
      <c r="Q380" s="1" t="s">
        <v>1800</v>
      </c>
      <c r="R380" s="1" t="s">
        <v>3</v>
      </c>
      <c r="S380" s="1" t="s">
        <v>870</v>
      </c>
      <c r="T380" s="1" t="s">
        <v>4</v>
      </c>
    </row>
    <row r="381" spans="1:20" x14ac:dyDescent="0.3">
      <c r="A381" s="2" t="s">
        <v>5</v>
      </c>
      <c r="B381" s="3">
        <v>3181</v>
      </c>
      <c r="C381" s="3">
        <v>1135</v>
      </c>
      <c r="D381" s="3">
        <v>1057</v>
      </c>
      <c r="E381" s="3">
        <v>675</v>
      </c>
      <c r="F381" s="3">
        <v>314</v>
      </c>
      <c r="H381" s="2" t="s">
        <v>5</v>
      </c>
      <c r="I381" s="3">
        <v>7328</v>
      </c>
      <c r="J381" s="3">
        <v>2170</v>
      </c>
      <c r="K381" s="3">
        <v>1833</v>
      </c>
      <c r="L381" s="3">
        <v>1618</v>
      </c>
      <c r="M381" s="3">
        <v>1707</v>
      </c>
      <c r="O381" s="2" t="s">
        <v>5</v>
      </c>
      <c r="P381" s="3">
        <v>3206</v>
      </c>
      <c r="Q381" s="3">
        <v>1158</v>
      </c>
      <c r="R381" s="3">
        <v>1105</v>
      </c>
      <c r="S381" s="3">
        <v>0</v>
      </c>
      <c r="T381" s="3">
        <v>943</v>
      </c>
    </row>
    <row r="382" spans="1:20" x14ac:dyDescent="0.3">
      <c r="A382" s="2" t="s">
        <v>6</v>
      </c>
      <c r="B382" s="3">
        <v>283</v>
      </c>
      <c r="C382" s="5">
        <v>124</v>
      </c>
      <c r="D382" s="6">
        <v>96</v>
      </c>
      <c r="E382" s="4">
        <v>46</v>
      </c>
      <c r="F382" s="3">
        <v>17</v>
      </c>
      <c r="H382" s="2" t="s">
        <v>6</v>
      </c>
      <c r="I382" s="3">
        <v>496</v>
      </c>
      <c r="J382" s="6">
        <v>153</v>
      </c>
      <c r="K382" s="5">
        <v>162</v>
      </c>
      <c r="L382" s="3">
        <v>29</v>
      </c>
      <c r="M382" s="4">
        <v>152</v>
      </c>
      <c r="O382" s="2" t="s">
        <v>6</v>
      </c>
      <c r="P382" s="3">
        <v>421</v>
      </c>
      <c r="Q382" s="5">
        <v>157</v>
      </c>
      <c r="R382" s="4">
        <v>129</v>
      </c>
      <c r="S382" s="3">
        <v>0</v>
      </c>
      <c r="T382" s="6">
        <v>135</v>
      </c>
    </row>
    <row r="383" spans="1:20" x14ac:dyDescent="0.3">
      <c r="A383" s="2" t="s">
        <v>7</v>
      </c>
      <c r="B383" s="3" t="s">
        <v>728</v>
      </c>
      <c r="C383" s="5" t="s">
        <v>864</v>
      </c>
      <c r="D383" s="6" t="s">
        <v>176</v>
      </c>
      <c r="E383" s="4" t="s">
        <v>865</v>
      </c>
      <c r="F383" s="3" t="s">
        <v>255</v>
      </c>
      <c r="H383" s="2" t="s">
        <v>7</v>
      </c>
      <c r="I383" s="3" t="s">
        <v>216</v>
      </c>
      <c r="J383" s="4" t="s">
        <v>1596</v>
      </c>
      <c r="K383" s="6" t="s">
        <v>788</v>
      </c>
      <c r="L383" s="3" t="s">
        <v>210</v>
      </c>
      <c r="M383" s="5" t="s">
        <v>728</v>
      </c>
      <c r="O383" s="2" t="s">
        <v>7</v>
      </c>
      <c r="P383" s="3" t="s">
        <v>1912</v>
      </c>
      <c r="Q383" s="6" t="s">
        <v>1867</v>
      </c>
      <c r="R383" s="4" t="s">
        <v>1493</v>
      </c>
      <c r="S383" s="3">
        <v>0</v>
      </c>
      <c r="T383" s="5" t="s">
        <v>1590</v>
      </c>
    </row>
    <row r="384" spans="1:20" x14ac:dyDescent="0.3">
      <c r="A384" s="2" t="s">
        <v>12</v>
      </c>
      <c r="B384" s="3" t="s">
        <v>603</v>
      </c>
      <c r="C384" s="5" t="s">
        <v>771</v>
      </c>
      <c r="D384" s="6" t="s">
        <v>107</v>
      </c>
      <c r="E384" s="3" t="s">
        <v>637</v>
      </c>
      <c r="F384" s="4" t="s">
        <v>856</v>
      </c>
      <c r="H384" s="2" t="s">
        <v>12</v>
      </c>
      <c r="I384" s="3" t="s">
        <v>1620</v>
      </c>
      <c r="J384" s="4" t="s">
        <v>975</v>
      </c>
      <c r="K384" s="6" t="s">
        <v>306</v>
      </c>
      <c r="L384" s="3" t="s">
        <v>268</v>
      </c>
      <c r="M384" s="5" t="s">
        <v>604</v>
      </c>
      <c r="O384" s="2" t="s">
        <v>12</v>
      </c>
      <c r="P384" s="3" t="s">
        <v>1798</v>
      </c>
      <c r="Q384" s="6" t="s">
        <v>916</v>
      </c>
      <c r="R384" s="4" t="s">
        <v>1388</v>
      </c>
      <c r="S384" s="3">
        <v>0</v>
      </c>
      <c r="T384" s="5" t="s">
        <v>329</v>
      </c>
    </row>
    <row r="385" spans="1:20" x14ac:dyDescent="0.3">
      <c r="A385" s="2" t="s">
        <v>17</v>
      </c>
      <c r="B385" s="3" t="s">
        <v>866</v>
      </c>
      <c r="C385" s="6" t="s">
        <v>867</v>
      </c>
      <c r="D385" s="5" t="s">
        <v>107</v>
      </c>
      <c r="E385" s="4" t="s">
        <v>868</v>
      </c>
      <c r="F385" s="3" t="s">
        <v>869</v>
      </c>
      <c r="H385" s="2" t="s">
        <v>17</v>
      </c>
      <c r="I385" s="3" t="s">
        <v>59</v>
      </c>
      <c r="J385" s="4" t="s">
        <v>131</v>
      </c>
      <c r="K385" s="5" t="s">
        <v>1235</v>
      </c>
      <c r="L385" s="3" t="s">
        <v>774</v>
      </c>
      <c r="M385" s="6" t="s">
        <v>974</v>
      </c>
      <c r="O385" s="2" t="s">
        <v>17</v>
      </c>
      <c r="P385" s="3" t="s">
        <v>217</v>
      </c>
      <c r="Q385" s="5" t="s">
        <v>412</v>
      </c>
      <c r="R385" s="4" t="s">
        <v>1340</v>
      </c>
      <c r="S385" s="3" t="s">
        <v>25</v>
      </c>
      <c r="T385" s="6" t="s">
        <v>1061</v>
      </c>
    </row>
    <row r="386" spans="1:20" x14ac:dyDescent="0.3">
      <c r="A386" s="2" t="s">
        <v>22</v>
      </c>
      <c r="B386" s="3" t="s">
        <v>75</v>
      </c>
      <c r="C386" s="3" t="s">
        <v>25</v>
      </c>
      <c r="D386" s="3" t="s">
        <v>25</v>
      </c>
      <c r="E386" s="5" t="s">
        <v>66</v>
      </c>
      <c r="F386" s="3" t="s">
        <v>25</v>
      </c>
      <c r="H386" s="2" t="s">
        <v>22</v>
      </c>
      <c r="I386" s="3" t="s">
        <v>25</v>
      </c>
      <c r="J386" s="3" t="s">
        <v>25</v>
      </c>
      <c r="K386" s="3" t="s">
        <v>25</v>
      </c>
      <c r="L386" s="3" t="s">
        <v>25</v>
      </c>
      <c r="M386" s="3" t="s">
        <v>25</v>
      </c>
      <c r="O386" s="2" t="s">
        <v>22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 x14ac:dyDescent="0.3">
      <c r="A387" s="7" t="s">
        <v>26</v>
      </c>
      <c r="B387" s="8">
        <v>154</v>
      </c>
      <c r="C387" s="8">
        <v>74</v>
      </c>
      <c r="D387" s="8">
        <v>48</v>
      </c>
      <c r="E387" s="8">
        <v>18</v>
      </c>
      <c r="F387" s="8">
        <v>14</v>
      </c>
      <c r="H387" s="7" t="s">
        <v>26</v>
      </c>
      <c r="I387" s="8">
        <v>328</v>
      </c>
      <c r="J387" s="8">
        <v>111</v>
      </c>
      <c r="K387" s="8">
        <v>110</v>
      </c>
      <c r="L387" s="8">
        <v>1</v>
      </c>
      <c r="M387" s="8">
        <v>106</v>
      </c>
      <c r="O387" s="7" t="s">
        <v>26</v>
      </c>
      <c r="P387" s="8">
        <v>149</v>
      </c>
      <c r="Q387" s="8">
        <v>52</v>
      </c>
      <c r="R387" s="8">
        <v>47</v>
      </c>
      <c r="S387" s="8">
        <v>0</v>
      </c>
      <c r="T387" s="8">
        <v>50</v>
      </c>
    </row>
    <row r="388" spans="1:20" x14ac:dyDescent="0.3">
      <c r="A388" s="9" t="s">
        <v>27</v>
      </c>
      <c r="B388" s="10">
        <v>29</v>
      </c>
      <c r="C388" s="10">
        <v>15</v>
      </c>
      <c r="D388" s="10">
        <v>8</v>
      </c>
      <c r="E388" s="10">
        <v>1</v>
      </c>
      <c r="F388" s="10">
        <v>5</v>
      </c>
      <c r="H388" s="9" t="s">
        <v>27</v>
      </c>
      <c r="I388" s="10">
        <v>40</v>
      </c>
      <c r="J388" s="10">
        <v>10</v>
      </c>
      <c r="K388" s="10">
        <v>14</v>
      </c>
      <c r="L388" s="10">
        <v>1</v>
      </c>
      <c r="M388" s="10">
        <v>15</v>
      </c>
      <c r="O388" s="9" t="s">
        <v>27</v>
      </c>
      <c r="P388" s="10">
        <v>29</v>
      </c>
      <c r="Q388" s="10">
        <v>11</v>
      </c>
      <c r="R388" s="10">
        <v>11</v>
      </c>
      <c r="S388" s="10">
        <v>0</v>
      </c>
      <c r="T388" s="10">
        <v>7</v>
      </c>
    </row>
    <row r="389" spans="1:20" x14ac:dyDescent="0.3">
      <c r="A389" s="9" t="s">
        <v>28</v>
      </c>
      <c r="B389" s="10">
        <v>19</v>
      </c>
      <c r="C389" s="10">
        <v>14</v>
      </c>
      <c r="D389" s="10">
        <v>5</v>
      </c>
      <c r="E389" s="10">
        <v>0</v>
      </c>
      <c r="F389" s="10">
        <v>0</v>
      </c>
      <c r="H389" s="9" t="s">
        <v>28</v>
      </c>
      <c r="I389" s="10">
        <v>2</v>
      </c>
      <c r="J389" s="10">
        <v>2</v>
      </c>
      <c r="K389" s="10">
        <v>0</v>
      </c>
      <c r="L389" s="10">
        <v>0</v>
      </c>
      <c r="M389" s="10">
        <v>0</v>
      </c>
      <c r="O389" s="9" t="s">
        <v>28</v>
      </c>
      <c r="P389" s="10">
        <v>13</v>
      </c>
      <c r="Q389" s="10">
        <v>5</v>
      </c>
      <c r="R389" s="10">
        <v>5</v>
      </c>
      <c r="S389" s="10">
        <v>0</v>
      </c>
      <c r="T389" s="10">
        <v>3</v>
      </c>
    </row>
    <row r="390" spans="1:20" x14ac:dyDescent="0.3">
      <c r="A390" s="9" t="s">
        <v>29</v>
      </c>
      <c r="B390" s="10">
        <v>65</v>
      </c>
      <c r="C390" s="10">
        <v>24</v>
      </c>
      <c r="D390" s="10">
        <v>19</v>
      </c>
      <c r="E390" s="10">
        <v>17</v>
      </c>
      <c r="F390" s="10">
        <v>5</v>
      </c>
      <c r="H390" s="9" t="s">
        <v>29</v>
      </c>
      <c r="I390" s="10">
        <v>275</v>
      </c>
      <c r="J390" s="10">
        <v>95</v>
      </c>
      <c r="K390" s="10">
        <v>92</v>
      </c>
      <c r="L390" s="10">
        <v>0</v>
      </c>
      <c r="M390" s="10">
        <v>88</v>
      </c>
      <c r="O390" s="9" t="s">
        <v>29</v>
      </c>
      <c r="P390" s="10">
        <v>74</v>
      </c>
      <c r="Q390" s="10">
        <v>27</v>
      </c>
      <c r="R390" s="10">
        <v>18</v>
      </c>
      <c r="S390" s="10">
        <v>0</v>
      </c>
      <c r="T390" s="10">
        <v>29</v>
      </c>
    </row>
    <row r="391" spans="1:20" x14ac:dyDescent="0.3">
      <c r="A391" s="9" t="s">
        <v>30</v>
      </c>
      <c r="B391" s="10">
        <v>41</v>
      </c>
      <c r="C391" s="10">
        <v>21</v>
      </c>
      <c r="D391" s="10">
        <v>16</v>
      </c>
      <c r="E391" s="10">
        <v>0</v>
      </c>
      <c r="F391" s="10">
        <v>4</v>
      </c>
      <c r="H391" s="9" t="s">
        <v>30</v>
      </c>
      <c r="I391" s="10">
        <v>11</v>
      </c>
      <c r="J391" s="10">
        <v>4</v>
      </c>
      <c r="K391" s="10">
        <v>4</v>
      </c>
      <c r="L391" s="10">
        <v>0</v>
      </c>
      <c r="M391" s="10">
        <v>3</v>
      </c>
      <c r="O391" s="9" t="s">
        <v>30</v>
      </c>
      <c r="P391" s="10">
        <v>33</v>
      </c>
      <c r="Q391" s="10">
        <v>9</v>
      </c>
      <c r="R391" s="10">
        <v>13</v>
      </c>
      <c r="S391" s="10">
        <v>0</v>
      </c>
      <c r="T391" s="10">
        <v>11</v>
      </c>
    </row>
    <row r="392" spans="1:20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O392" s="9" t="s">
        <v>31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s="11" t="s">
        <v>32</v>
      </c>
      <c r="B393" s="12">
        <v>129</v>
      </c>
      <c r="C393" s="12">
        <v>50</v>
      </c>
      <c r="D393" s="12">
        <v>48</v>
      </c>
      <c r="E393" s="12">
        <v>28</v>
      </c>
      <c r="F393" s="12">
        <v>3</v>
      </c>
      <c r="H393" s="11" t="s">
        <v>32</v>
      </c>
      <c r="I393" s="12">
        <v>160</v>
      </c>
      <c r="J393" s="12">
        <v>42</v>
      </c>
      <c r="K393" s="12">
        <v>52</v>
      </c>
      <c r="L393" s="12">
        <v>28</v>
      </c>
      <c r="M393" s="12">
        <v>38</v>
      </c>
      <c r="O393" s="11" t="s">
        <v>32</v>
      </c>
      <c r="P393" s="12">
        <v>272</v>
      </c>
      <c r="Q393" s="12">
        <v>105</v>
      </c>
      <c r="R393" s="12">
        <v>82</v>
      </c>
      <c r="S393" s="12">
        <v>0</v>
      </c>
      <c r="T393" s="12">
        <v>85</v>
      </c>
    </row>
    <row r="394" spans="1:20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17</v>
      </c>
      <c r="J394" s="14">
        <v>2</v>
      </c>
      <c r="K394" s="14">
        <v>4</v>
      </c>
      <c r="L394" s="14">
        <v>1</v>
      </c>
      <c r="M394" s="14">
        <v>10</v>
      </c>
      <c r="O394" s="13" t="s">
        <v>33</v>
      </c>
      <c r="P394" s="14">
        <v>21</v>
      </c>
      <c r="Q394" s="14">
        <v>10</v>
      </c>
      <c r="R394" s="14">
        <v>7</v>
      </c>
      <c r="S394" s="14">
        <v>0</v>
      </c>
      <c r="T394" s="14">
        <v>4</v>
      </c>
    </row>
    <row r="395" spans="1:20" x14ac:dyDescent="0.3">
      <c r="A395" s="13" t="s">
        <v>34</v>
      </c>
      <c r="B395" s="14">
        <v>129</v>
      </c>
      <c r="C395" s="14">
        <v>50</v>
      </c>
      <c r="D395" s="14">
        <v>48</v>
      </c>
      <c r="E395" s="14">
        <v>28</v>
      </c>
      <c r="F395" s="14">
        <v>3</v>
      </c>
      <c r="H395" s="13" t="s">
        <v>34</v>
      </c>
      <c r="I395" s="14">
        <v>143</v>
      </c>
      <c r="J395" s="14">
        <v>40</v>
      </c>
      <c r="K395" s="14">
        <v>48</v>
      </c>
      <c r="L395" s="14">
        <v>27</v>
      </c>
      <c r="M395" s="14">
        <v>28</v>
      </c>
      <c r="O395" s="13" t="s">
        <v>34</v>
      </c>
      <c r="P395" s="14">
        <v>251</v>
      </c>
      <c r="Q395" s="14">
        <v>95</v>
      </c>
      <c r="R395" s="14">
        <v>75</v>
      </c>
      <c r="S395" s="14">
        <v>0</v>
      </c>
      <c r="T395" s="14">
        <v>81</v>
      </c>
    </row>
    <row r="396" spans="1:20" x14ac:dyDescent="0.3">
      <c r="A396" s="15" t="s">
        <v>35</v>
      </c>
      <c r="B396" s="16">
        <v>4</v>
      </c>
      <c r="C396" s="16">
        <v>0</v>
      </c>
      <c r="D396" s="16">
        <v>0</v>
      </c>
      <c r="E396" s="16">
        <v>4</v>
      </c>
      <c r="F396" s="16">
        <v>0</v>
      </c>
      <c r="H396" s="15" t="s">
        <v>35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O396" s="15" t="s">
        <v>35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</row>
    <row r="397" spans="1:20" x14ac:dyDescent="0.3">
      <c r="A397" s="17" t="s">
        <v>36</v>
      </c>
      <c r="B397" s="18">
        <v>4</v>
      </c>
      <c r="C397" s="18">
        <v>0</v>
      </c>
      <c r="D397" s="18">
        <v>0</v>
      </c>
      <c r="E397" s="18">
        <v>4</v>
      </c>
      <c r="F397" s="18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O397" s="17" t="s">
        <v>36</v>
      </c>
      <c r="P397" s="138">
        <v>0</v>
      </c>
      <c r="Q397" s="138">
        <v>0</v>
      </c>
      <c r="R397" s="138">
        <v>0</v>
      </c>
      <c r="S397" s="138">
        <v>0</v>
      </c>
      <c r="T397" s="138">
        <v>0</v>
      </c>
    </row>
    <row r="398" spans="1:20" x14ac:dyDescent="0.3">
      <c r="A398" s="17" t="s">
        <v>37</v>
      </c>
      <c r="B398" s="18">
        <v>0</v>
      </c>
      <c r="C398" s="18">
        <v>0</v>
      </c>
      <c r="D398" s="18">
        <v>0</v>
      </c>
      <c r="E398" s="18">
        <v>0</v>
      </c>
      <c r="F398" s="18">
        <v>0</v>
      </c>
      <c r="H398" s="17" t="s">
        <v>37</v>
      </c>
      <c r="I398" s="100">
        <v>0</v>
      </c>
      <c r="J398" s="100">
        <v>0</v>
      </c>
      <c r="K398" s="100">
        <v>0</v>
      </c>
      <c r="L398" s="100">
        <v>0</v>
      </c>
      <c r="M398" s="100">
        <v>0</v>
      </c>
      <c r="O398" s="17" t="s">
        <v>37</v>
      </c>
      <c r="P398" s="138">
        <v>0</v>
      </c>
      <c r="Q398" s="138">
        <v>0</v>
      </c>
      <c r="R398" s="138">
        <v>0</v>
      </c>
      <c r="S398" s="138">
        <v>0</v>
      </c>
      <c r="T398" s="138">
        <v>0</v>
      </c>
    </row>
    <row r="399" spans="1:20" x14ac:dyDescent="0.3">
      <c r="A399" s="17" t="s">
        <v>38</v>
      </c>
      <c r="B399" s="167" t="s">
        <v>253</v>
      </c>
      <c r="C399" s="168"/>
      <c r="D399" s="168"/>
      <c r="E399" s="168"/>
      <c r="F399" s="168"/>
      <c r="H399" s="17" t="s">
        <v>38</v>
      </c>
      <c r="I399" s="167" t="s">
        <v>1621</v>
      </c>
      <c r="J399" s="168"/>
      <c r="K399" s="168"/>
      <c r="L399" s="168"/>
      <c r="M399" s="168"/>
      <c r="O399" s="17" t="s">
        <v>38</v>
      </c>
      <c r="P399" s="172" t="s">
        <v>1993</v>
      </c>
      <c r="Q399" s="173"/>
      <c r="R399" s="173"/>
      <c r="S399" s="173"/>
      <c r="T399" s="173"/>
    </row>
    <row r="400" spans="1:20" ht="19.8" x14ac:dyDescent="0.3">
      <c r="A400" s="170">
        <v>46105</v>
      </c>
      <c r="B400" s="168"/>
      <c r="C400" s="168"/>
      <c r="D400" s="168"/>
      <c r="E400" s="168"/>
      <c r="F400" s="168"/>
      <c r="H400" s="170">
        <v>46135</v>
      </c>
      <c r="I400" s="168"/>
      <c r="J400" s="168"/>
      <c r="K400" s="168"/>
      <c r="L400" s="168"/>
      <c r="M400" s="168"/>
      <c r="O400" s="170">
        <v>46167</v>
      </c>
      <c r="P400" s="168"/>
      <c r="Q400" s="168"/>
      <c r="R400" s="168"/>
      <c r="S400" s="168"/>
      <c r="T400" s="168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  <c r="O401" s="1" t="s">
        <v>0</v>
      </c>
      <c r="P401" s="1" t="s">
        <v>1</v>
      </c>
      <c r="Q401" s="1" t="s">
        <v>1800</v>
      </c>
      <c r="R401" s="1" t="s">
        <v>3</v>
      </c>
      <c r="S401" s="1" t="s">
        <v>40</v>
      </c>
      <c r="T401" s="1" t="s">
        <v>4</v>
      </c>
    </row>
    <row r="402" spans="1:20" x14ac:dyDescent="0.3">
      <c r="A402" s="2" t="s">
        <v>5</v>
      </c>
      <c r="B402" s="3">
        <v>3251</v>
      </c>
      <c r="C402" s="3">
        <v>1188</v>
      </c>
      <c r="D402" s="3">
        <v>1018</v>
      </c>
      <c r="E402" s="3">
        <v>235</v>
      </c>
      <c r="F402" s="3">
        <v>810</v>
      </c>
      <c r="H402" s="2" t="s">
        <v>5</v>
      </c>
      <c r="I402" s="3">
        <v>7208</v>
      </c>
      <c r="J402" s="3">
        <v>2110</v>
      </c>
      <c r="K402" s="3">
        <v>1877</v>
      </c>
      <c r="L402" s="3">
        <v>1603</v>
      </c>
      <c r="M402" s="3">
        <v>1618</v>
      </c>
      <c r="O402" s="2" t="s">
        <v>5</v>
      </c>
      <c r="P402" s="3">
        <v>4125</v>
      </c>
      <c r="Q402" s="3">
        <v>1514</v>
      </c>
      <c r="R402" s="3">
        <v>1387</v>
      </c>
      <c r="S402" s="3">
        <v>1</v>
      </c>
      <c r="T402" s="3">
        <v>1223</v>
      </c>
    </row>
    <row r="403" spans="1:20" x14ac:dyDescent="0.3">
      <c r="A403" s="2" t="s">
        <v>6</v>
      </c>
      <c r="B403" s="3">
        <v>319</v>
      </c>
      <c r="C403" s="6">
        <v>36</v>
      </c>
      <c r="D403" s="4">
        <v>26</v>
      </c>
      <c r="E403" s="5">
        <v>235</v>
      </c>
      <c r="F403" s="3">
        <v>22</v>
      </c>
      <c r="H403" s="2" t="s">
        <v>6</v>
      </c>
      <c r="I403" s="3">
        <v>307</v>
      </c>
      <c r="J403" s="6">
        <v>101</v>
      </c>
      <c r="K403" s="5">
        <v>105</v>
      </c>
      <c r="L403" s="3">
        <v>7</v>
      </c>
      <c r="M403" s="4">
        <v>94</v>
      </c>
      <c r="O403" s="2" t="s">
        <v>6</v>
      </c>
      <c r="P403" s="3">
        <v>496</v>
      </c>
      <c r="Q403" s="5">
        <v>279</v>
      </c>
      <c r="R403" s="4">
        <v>103</v>
      </c>
      <c r="S403" s="3">
        <v>1</v>
      </c>
      <c r="T403" s="6">
        <v>113</v>
      </c>
    </row>
    <row r="404" spans="1:20" x14ac:dyDescent="0.3">
      <c r="A404" s="2" t="s">
        <v>7</v>
      </c>
      <c r="B404" s="3" t="s">
        <v>376</v>
      </c>
      <c r="C404" s="6" t="s">
        <v>925</v>
      </c>
      <c r="D404" s="3" t="s">
        <v>184</v>
      </c>
      <c r="E404" s="5" t="s">
        <v>48</v>
      </c>
      <c r="F404" s="4" t="s">
        <v>440</v>
      </c>
      <c r="H404" s="2" t="s">
        <v>7</v>
      </c>
      <c r="I404" s="3" t="s">
        <v>622</v>
      </c>
      <c r="J404" s="4" t="s">
        <v>1634</v>
      </c>
      <c r="K404" s="6" t="s">
        <v>118</v>
      </c>
      <c r="L404" s="3" t="s">
        <v>119</v>
      </c>
      <c r="M404" s="5" t="s">
        <v>1201</v>
      </c>
      <c r="O404" s="2" t="s">
        <v>7</v>
      </c>
      <c r="P404" s="3" t="s">
        <v>1432</v>
      </c>
      <c r="Q404" s="6" t="s">
        <v>988</v>
      </c>
      <c r="R404" s="3" t="s">
        <v>1076</v>
      </c>
      <c r="S404" s="5" t="s">
        <v>48</v>
      </c>
      <c r="T404" s="4" t="s">
        <v>543</v>
      </c>
    </row>
    <row r="405" spans="1:20" x14ac:dyDescent="0.3">
      <c r="A405" s="2" t="s">
        <v>12</v>
      </c>
      <c r="B405" s="3" t="s">
        <v>184</v>
      </c>
      <c r="C405" s="5" t="s">
        <v>925</v>
      </c>
      <c r="D405" s="4" t="s">
        <v>184</v>
      </c>
      <c r="E405" s="3" t="s">
        <v>25</v>
      </c>
      <c r="F405" s="6" t="s">
        <v>357</v>
      </c>
      <c r="H405" s="2" t="s">
        <v>12</v>
      </c>
      <c r="I405" s="3" t="s">
        <v>1635</v>
      </c>
      <c r="J405" s="4" t="s">
        <v>919</v>
      </c>
      <c r="K405" s="5" t="s">
        <v>1636</v>
      </c>
      <c r="L405" s="3" t="s">
        <v>268</v>
      </c>
      <c r="M405" s="6" t="s">
        <v>622</v>
      </c>
      <c r="O405" s="2" t="s">
        <v>12</v>
      </c>
      <c r="P405" s="3" t="s">
        <v>1330</v>
      </c>
      <c r="Q405" s="5" t="s">
        <v>589</v>
      </c>
      <c r="R405" s="4" t="s">
        <v>424</v>
      </c>
      <c r="S405" s="3" t="s">
        <v>25</v>
      </c>
      <c r="T405" s="6" t="s">
        <v>486</v>
      </c>
    </row>
    <row r="406" spans="1:20" x14ac:dyDescent="0.3">
      <c r="A406" s="2" t="s">
        <v>17</v>
      </c>
      <c r="B406" s="3" t="s">
        <v>189</v>
      </c>
      <c r="C406" s="3" t="s">
        <v>47</v>
      </c>
      <c r="D406" s="4" t="s">
        <v>419</v>
      </c>
      <c r="E406" s="5" t="s">
        <v>48</v>
      </c>
      <c r="F406" s="6" t="s">
        <v>76</v>
      </c>
      <c r="H406" s="2" t="s">
        <v>17</v>
      </c>
      <c r="I406" s="3" t="s">
        <v>83</v>
      </c>
      <c r="J406" s="6" t="s">
        <v>416</v>
      </c>
      <c r="K406" s="4" t="s">
        <v>42</v>
      </c>
      <c r="L406" s="3" t="s">
        <v>200</v>
      </c>
      <c r="M406" s="5" t="s">
        <v>850</v>
      </c>
      <c r="O406" s="2" t="s">
        <v>17</v>
      </c>
      <c r="P406" s="3" t="s">
        <v>867</v>
      </c>
      <c r="Q406" s="4" t="s">
        <v>916</v>
      </c>
      <c r="R406" s="3" t="s">
        <v>343</v>
      </c>
      <c r="S406" s="5" t="s">
        <v>48</v>
      </c>
      <c r="T406" s="6" t="s">
        <v>632</v>
      </c>
    </row>
    <row r="407" spans="1:20" x14ac:dyDescent="0.3">
      <c r="A407" s="2" t="s">
        <v>22</v>
      </c>
      <c r="B407" s="3" t="s">
        <v>304</v>
      </c>
      <c r="C407" s="3" t="s">
        <v>25</v>
      </c>
      <c r="D407" s="3" t="s">
        <v>25</v>
      </c>
      <c r="E407" s="5" t="s">
        <v>48</v>
      </c>
      <c r="F407" s="3" t="s">
        <v>25</v>
      </c>
      <c r="H407" s="2" t="s">
        <v>22</v>
      </c>
      <c r="I407" s="3" t="s">
        <v>25</v>
      </c>
      <c r="J407" s="3" t="s">
        <v>25</v>
      </c>
      <c r="K407" s="3" t="s">
        <v>25</v>
      </c>
      <c r="L407" s="3" t="s">
        <v>25</v>
      </c>
      <c r="M407" s="3" t="s">
        <v>25</v>
      </c>
      <c r="O407" s="2" t="s">
        <v>22</v>
      </c>
      <c r="P407" s="3" t="s">
        <v>267</v>
      </c>
      <c r="Q407" s="3" t="s">
        <v>25</v>
      </c>
      <c r="R407" s="3" t="s">
        <v>25</v>
      </c>
      <c r="S407" s="5" t="s">
        <v>48</v>
      </c>
      <c r="T407" s="3" t="s">
        <v>25</v>
      </c>
    </row>
    <row r="408" spans="1:20" x14ac:dyDescent="0.3">
      <c r="A408" s="7" t="s">
        <v>26</v>
      </c>
      <c r="B408" s="8">
        <v>83</v>
      </c>
      <c r="C408" s="8">
        <v>36</v>
      </c>
      <c r="D408" s="8">
        <v>26</v>
      </c>
      <c r="E408" s="8">
        <v>0</v>
      </c>
      <c r="F408" s="8">
        <v>21</v>
      </c>
      <c r="H408" s="7" t="s">
        <v>26</v>
      </c>
      <c r="I408" s="8">
        <v>252</v>
      </c>
      <c r="J408" s="8">
        <v>89</v>
      </c>
      <c r="K408" s="8">
        <v>93</v>
      </c>
      <c r="L408" s="8">
        <v>1</v>
      </c>
      <c r="M408" s="8">
        <v>69</v>
      </c>
      <c r="O408" s="7" t="s">
        <v>26</v>
      </c>
      <c r="P408" s="8">
        <v>314</v>
      </c>
      <c r="Q408" s="8">
        <v>211</v>
      </c>
      <c r="R408" s="8">
        <v>49</v>
      </c>
      <c r="S408" s="8">
        <v>0</v>
      </c>
      <c r="T408" s="8">
        <v>54</v>
      </c>
    </row>
    <row r="409" spans="1:20" x14ac:dyDescent="0.3">
      <c r="A409" s="9" t="s">
        <v>27</v>
      </c>
      <c r="B409" s="10">
        <v>13</v>
      </c>
      <c r="C409" s="10">
        <v>4</v>
      </c>
      <c r="D409" s="10">
        <v>5</v>
      </c>
      <c r="E409" s="10">
        <v>0</v>
      </c>
      <c r="F409" s="10">
        <v>4</v>
      </c>
      <c r="H409" s="9" t="s">
        <v>27</v>
      </c>
      <c r="I409" s="10">
        <v>39</v>
      </c>
      <c r="J409" s="10">
        <v>13</v>
      </c>
      <c r="K409" s="10">
        <v>13</v>
      </c>
      <c r="L409" s="10">
        <v>1</v>
      </c>
      <c r="M409" s="10">
        <v>12</v>
      </c>
      <c r="O409" s="9" t="s">
        <v>27</v>
      </c>
      <c r="P409" s="10">
        <v>31</v>
      </c>
      <c r="Q409" s="10">
        <v>17</v>
      </c>
      <c r="R409" s="10">
        <v>10</v>
      </c>
      <c r="S409" s="10">
        <v>0</v>
      </c>
      <c r="T409" s="10">
        <v>4</v>
      </c>
    </row>
    <row r="410" spans="1:20" x14ac:dyDescent="0.3">
      <c r="A410" s="9" t="s">
        <v>28</v>
      </c>
      <c r="B410" s="10">
        <v>0</v>
      </c>
      <c r="C410" s="10">
        <v>0</v>
      </c>
      <c r="D410" s="10">
        <v>0</v>
      </c>
      <c r="E410" s="10">
        <v>0</v>
      </c>
      <c r="F410" s="10">
        <v>0</v>
      </c>
      <c r="H410" s="9" t="s">
        <v>28</v>
      </c>
      <c r="I410" s="10">
        <v>8</v>
      </c>
      <c r="J410" s="10">
        <v>8</v>
      </c>
      <c r="K410" s="10">
        <v>0</v>
      </c>
      <c r="L410" s="10">
        <v>0</v>
      </c>
      <c r="M410" s="10">
        <v>0</v>
      </c>
      <c r="O410" s="9" t="s">
        <v>28</v>
      </c>
      <c r="P410" s="10">
        <v>167</v>
      </c>
      <c r="Q410" s="10">
        <v>160</v>
      </c>
      <c r="R410" s="10">
        <v>5</v>
      </c>
      <c r="S410" s="10">
        <v>0</v>
      </c>
      <c r="T410" s="10">
        <v>2</v>
      </c>
    </row>
    <row r="411" spans="1:20" x14ac:dyDescent="0.3">
      <c r="A411" s="9" t="s">
        <v>29</v>
      </c>
      <c r="B411" s="10">
        <v>64</v>
      </c>
      <c r="C411" s="10">
        <v>31</v>
      </c>
      <c r="D411" s="10">
        <v>16</v>
      </c>
      <c r="E411" s="10">
        <v>0</v>
      </c>
      <c r="F411" s="10">
        <v>17</v>
      </c>
      <c r="H411" s="9" t="s">
        <v>29</v>
      </c>
      <c r="I411" s="10">
        <v>187</v>
      </c>
      <c r="J411" s="10">
        <v>55</v>
      </c>
      <c r="K411" s="10">
        <v>78</v>
      </c>
      <c r="L411" s="10">
        <v>0</v>
      </c>
      <c r="M411" s="10">
        <v>54</v>
      </c>
      <c r="O411" s="9" t="s">
        <v>29</v>
      </c>
      <c r="P411" s="10">
        <v>60</v>
      </c>
      <c r="Q411" s="10">
        <v>0</v>
      </c>
      <c r="R411" s="10">
        <v>18</v>
      </c>
      <c r="S411" s="10">
        <v>0</v>
      </c>
      <c r="T411" s="10">
        <v>42</v>
      </c>
    </row>
    <row r="412" spans="1:20" x14ac:dyDescent="0.3">
      <c r="A412" s="9" t="s">
        <v>30</v>
      </c>
      <c r="B412" s="10">
        <v>6</v>
      </c>
      <c r="C412" s="10">
        <v>1</v>
      </c>
      <c r="D412" s="10">
        <v>5</v>
      </c>
      <c r="E412" s="10">
        <v>0</v>
      </c>
      <c r="F412" s="10">
        <v>0</v>
      </c>
      <c r="H412" s="9" t="s">
        <v>30</v>
      </c>
      <c r="I412" s="10">
        <v>18</v>
      </c>
      <c r="J412" s="10">
        <v>13</v>
      </c>
      <c r="K412" s="10">
        <v>2</v>
      </c>
      <c r="L412" s="10">
        <v>0</v>
      </c>
      <c r="M412" s="10">
        <v>3</v>
      </c>
      <c r="O412" s="9" t="s">
        <v>30</v>
      </c>
      <c r="P412" s="10">
        <v>56</v>
      </c>
      <c r="Q412" s="10">
        <v>34</v>
      </c>
      <c r="R412" s="10">
        <v>16</v>
      </c>
      <c r="S412" s="10">
        <v>0</v>
      </c>
      <c r="T412" s="10">
        <v>6</v>
      </c>
    </row>
    <row r="413" spans="1:20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O413" s="9" t="s">
        <v>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A414" s="11" t="s">
        <v>32</v>
      </c>
      <c r="B414" s="12">
        <v>246</v>
      </c>
      <c r="C414" s="12">
        <v>3</v>
      </c>
      <c r="D414" s="12">
        <v>4</v>
      </c>
      <c r="E414" s="12">
        <v>235</v>
      </c>
      <c r="F414" s="12">
        <v>4</v>
      </c>
      <c r="H414" s="11" t="s">
        <v>32</v>
      </c>
      <c r="I414" s="12">
        <v>47</v>
      </c>
      <c r="J414" s="12">
        <v>14</v>
      </c>
      <c r="K414" s="12">
        <v>12</v>
      </c>
      <c r="L414" s="12">
        <v>6</v>
      </c>
      <c r="M414" s="12">
        <v>15</v>
      </c>
      <c r="O414" s="11" t="s">
        <v>32</v>
      </c>
      <c r="P414" s="12">
        <v>182</v>
      </c>
      <c r="Q414" s="12">
        <v>68</v>
      </c>
      <c r="R414" s="12">
        <v>54</v>
      </c>
      <c r="S414" s="12">
        <v>1</v>
      </c>
      <c r="T414" s="12">
        <v>59</v>
      </c>
    </row>
    <row r="415" spans="1:20" x14ac:dyDescent="0.3">
      <c r="A415" s="13" t="s">
        <v>33</v>
      </c>
      <c r="B415" s="14">
        <v>2</v>
      </c>
      <c r="C415" s="14">
        <v>0</v>
      </c>
      <c r="D415" s="14">
        <v>2</v>
      </c>
      <c r="E415" s="14">
        <v>0</v>
      </c>
      <c r="F415" s="14">
        <v>0</v>
      </c>
      <c r="H415" s="13" t="s">
        <v>33</v>
      </c>
      <c r="I415" s="14">
        <v>18</v>
      </c>
      <c r="J415" s="14">
        <v>3</v>
      </c>
      <c r="K415" s="14">
        <v>4</v>
      </c>
      <c r="L415" s="14">
        <v>0</v>
      </c>
      <c r="M415" s="14">
        <v>11</v>
      </c>
      <c r="O415" s="13" t="s">
        <v>33</v>
      </c>
      <c r="P415" s="14">
        <v>11</v>
      </c>
      <c r="Q415" s="14">
        <v>6</v>
      </c>
      <c r="R415" s="14">
        <v>3</v>
      </c>
      <c r="S415" s="14">
        <v>0</v>
      </c>
      <c r="T415" s="14">
        <v>2</v>
      </c>
    </row>
    <row r="416" spans="1:20" x14ac:dyDescent="0.3">
      <c r="A416" s="13" t="s">
        <v>34</v>
      </c>
      <c r="B416" s="14">
        <v>244</v>
      </c>
      <c r="C416" s="14">
        <v>3</v>
      </c>
      <c r="D416" s="14">
        <v>2</v>
      </c>
      <c r="E416" s="14">
        <v>235</v>
      </c>
      <c r="F416" s="14">
        <v>4</v>
      </c>
      <c r="H416" s="13" t="s">
        <v>34</v>
      </c>
      <c r="I416" s="14">
        <v>29</v>
      </c>
      <c r="J416" s="14">
        <v>11</v>
      </c>
      <c r="K416" s="14">
        <v>8</v>
      </c>
      <c r="L416" s="14">
        <v>6</v>
      </c>
      <c r="M416" s="14">
        <v>4</v>
      </c>
      <c r="O416" s="13" t="s">
        <v>34</v>
      </c>
      <c r="P416" s="14">
        <v>171</v>
      </c>
      <c r="Q416" s="14">
        <v>62</v>
      </c>
      <c r="R416" s="14">
        <v>51</v>
      </c>
      <c r="S416" s="14">
        <v>1</v>
      </c>
      <c r="T416" s="14">
        <v>57</v>
      </c>
    </row>
    <row r="417" spans="1:20" x14ac:dyDescent="0.3">
      <c r="A417" s="15" t="s">
        <v>35</v>
      </c>
      <c r="B417" s="16">
        <v>235</v>
      </c>
      <c r="C417" s="16">
        <v>0</v>
      </c>
      <c r="D417" s="16">
        <v>0</v>
      </c>
      <c r="E417" s="16">
        <v>235</v>
      </c>
      <c r="F417" s="16">
        <v>0</v>
      </c>
      <c r="H417" s="15" t="s">
        <v>35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O417" s="15" t="s">
        <v>35</v>
      </c>
      <c r="P417" s="16">
        <v>1</v>
      </c>
      <c r="Q417" s="16">
        <v>0</v>
      </c>
      <c r="R417" s="16">
        <v>0</v>
      </c>
      <c r="S417" s="16">
        <v>1</v>
      </c>
      <c r="T417" s="16">
        <v>0</v>
      </c>
    </row>
    <row r="418" spans="1:20" x14ac:dyDescent="0.3">
      <c r="A418" s="17" t="s">
        <v>36</v>
      </c>
      <c r="B418" s="18">
        <v>235</v>
      </c>
      <c r="C418" s="18">
        <v>0</v>
      </c>
      <c r="D418" s="18">
        <v>0</v>
      </c>
      <c r="E418" s="18">
        <v>235</v>
      </c>
      <c r="F418" s="18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  <c r="O418" s="17" t="s">
        <v>36</v>
      </c>
      <c r="P418" s="138">
        <v>1</v>
      </c>
      <c r="Q418" s="138">
        <v>0</v>
      </c>
      <c r="R418" s="138">
        <v>0</v>
      </c>
      <c r="S418" s="138">
        <v>1</v>
      </c>
      <c r="T418" s="138">
        <v>0</v>
      </c>
    </row>
    <row r="419" spans="1:20" x14ac:dyDescent="0.3">
      <c r="A419" s="17" t="s">
        <v>37</v>
      </c>
      <c r="B419" s="18">
        <v>0</v>
      </c>
      <c r="C419" s="18">
        <v>0</v>
      </c>
      <c r="D419" s="18">
        <v>0</v>
      </c>
      <c r="E419" s="18">
        <v>0</v>
      </c>
      <c r="F419" s="18">
        <v>0</v>
      </c>
      <c r="H419" s="17" t="s">
        <v>37</v>
      </c>
      <c r="I419" s="103">
        <v>0</v>
      </c>
      <c r="J419" s="103">
        <v>0</v>
      </c>
      <c r="K419" s="103">
        <v>0</v>
      </c>
      <c r="L419" s="103">
        <v>0</v>
      </c>
      <c r="M419" s="103">
        <v>0</v>
      </c>
      <c r="O419" s="17" t="s">
        <v>37</v>
      </c>
      <c r="P419" s="138">
        <v>1</v>
      </c>
      <c r="Q419" s="138">
        <v>0</v>
      </c>
      <c r="R419" s="138">
        <v>0</v>
      </c>
      <c r="S419" s="138">
        <v>1</v>
      </c>
      <c r="T419" s="138">
        <v>0</v>
      </c>
    </row>
    <row r="420" spans="1:20" x14ac:dyDescent="0.3">
      <c r="A420" s="17" t="s">
        <v>38</v>
      </c>
      <c r="B420" s="167" t="s">
        <v>926</v>
      </c>
      <c r="C420" s="168"/>
      <c r="D420" s="168"/>
      <c r="E420" s="168"/>
      <c r="F420" s="168"/>
      <c r="H420" s="17" t="s">
        <v>38</v>
      </c>
      <c r="I420" s="167" t="s">
        <v>1637</v>
      </c>
      <c r="J420" s="168"/>
      <c r="K420" s="168"/>
      <c r="L420" s="168"/>
      <c r="M420" s="168"/>
      <c r="O420" s="17" t="s">
        <v>38</v>
      </c>
      <c r="P420" s="167" t="s">
        <v>2001</v>
      </c>
      <c r="Q420" s="168"/>
      <c r="R420" s="168"/>
      <c r="S420" s="168"/>
      <c r="T420" s="168"/>
    </row>
    <row r="421" spans="1:20" ht="19.8" x14ac:dyDescent="0.3">
      <c r="A421" s="170">
        <v>46106</v>
      </c>
      <c r="B421" s="168"/>
      <c r="C421" s="168"/>
      <c r="D421" s="168"/>
      <c r="E421" s="168"/>
      <c r="F421" s="168"/>
      <c r="H421" s="170">
        <v>46136</v>
      </c>
      <c r="I421" s="168"/>
      <c r="J421" s="168"/>
      <c r="K421" s="168"/>
      <c r="L421" s="168"/>
      <c r="M421" s="168"/>
      <c r="O421" s="170">
        <v>46168</v>
      </c>
      <c r="P421" s="168"/>
      <c r="Q421" s="168"/>
      <c r="R421" s="168"/>
      <c r="S421" s="168"/>
      <c r="T421" s="168"/>
    </row>
    <row r="422" spans="1:20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  <c r="O422" s="1" t="s">
        <v>0</v>
      </c>
      <c r="P422" s="1" t="s">
        <v>1</v>
      </c>
      <c r="Q422" s="1" t="s">
        <v>1800</v>
      </c>
      <c r="R422" s="1" t="s">
        <v>3</v>
      </c>
      <c r="S422" s="1" t="s">
        <v>40</v>
      </c>
      <c r="T422" s="1" t="s">
        <v>4</v>
      </c>
    </row>
    <row r="423" spans="1:20" x14ac:dyDescent="0.3">
      <c r="A423" s="2" t="s">
        <v>5</v>
      </c>
      <c r="B423" s="3">
        <v>3260</v>
      </c>
      <c r="C423" s="3">
        <v>980</v>
      </c>
      <c r="D423" s="3">
        <v>808</v>
      </c>
      <c r="E423" s="3">
        <v>709</v>
      </c>
      <c r="F423" s="3">
        <v>763</v>
      </c>
      <c r="H423" s="2" t="s">
        <v>5</v>
      </c>
      <c r="I423" s="3">
        <v>6991</v>
      </c>
      <c r="J423" s="3">
        <v>2098</v>
      </c>
      <c r="K423" s="3">
        <v>1915</v>
      </c>
      <c r="L423" s="3">
        <v>1509</v>
      </c>
      <c r="M423" s="3">
        <v>1469</v>
      </c>
      <c r="O423" s="2" t="s">
        <v>5</v>
      </c>
      <c r="P423" s="3">
        <v>4334</v>
      </c>
      <c r="Q423" s="3">
        <v>1456</v>
      </c>
      <c r="R423" s="3">
        <v>1318</v>
      </c>
      <c r="S423" s="3">
        <v>1046</v>
      </c>
      <c r="T423" s="3">
        <v>514</v>
      </c>
    </row>
    <row r="424" spans="1:20" x14ac:dyDescent="0.3">
      <c r="A424" s="2" t="s">
        <v>6</v>
      </c>
      <c r="B424" s="3">
        <v>104</v>
      </c>
      <c r="C424" s="5">
        <v>43</v>
      </c>
      <c r="D424" s="6">
        <v>24</v>
      </c>
      <c r="E424" s="4">
        <v>20</v>
      </c>
      <c r="F424" s="3">
        <v>17</v>
      </c>
      <c r="H424" s="2" t="s">
        <v>6</v>
      </c>
      <c r="I424" s="3">
        <v>558</v>
      </c>
      <c r="J424" s="6">
        <v>181</v>
      </c>
      <c r="K424" s="5">
        <v>190</v>
      </c>
      <c r="L424" s="3">
        <v>19</v>
      </c>
      <c r="M424" s="4">
        <v>168</v>
      </c>
      <c r="O424" s="2" t="s">
        <v>6</v>
      </c>
      <c r="P424" s="3">
        <v>342</v>
      </c>
      <c r="Q424" s="5">
        <v>139</v>
      </c>
      <c r="R424" s="6">
        <v>85</v>
      </c>
      <c r="S424" s="4">
        <v>60</v>
      </c>
      <c r="T424" s="3">
        <v>58</v>
      </c>
    </row>
    <row r="425" spans="1:20" x14ac:dyDescent="0.3">
      <c r="A425" s="2" t="s">
        <v>7</v>
      </c>
      <c r="B425" s="3" t="s">
        <v>453</v>
      </c>
      <c r="C425" s="5" t="s">
        <v>973</v>
      </c>
      <c r="D425" s="6" t="s">
        <v>639</v>
      </c>
      <c r="E425" s="4" t="s">
        <v>742</v>
      </c>
      <c r="F425" s="3" t="s">
        <v>974</v>
      </c>
      <c r="H425" s="2" t="s">
        <v>7</v>
      </c>
      <c r="I425" s="3" t="s">
        <v>1594</v>
      </c>
      <c r="J425" s="4" t="s">
        <v>230</v>
      </c>
      <c r="K425" s="6" t="s">
        <v>457</v>
      </c>
      <c r="L425" s="3" t="s">
        <v>277</v>
      </c>
      <c r="M425" s="5" t="s">
        <v>1327</v>
      </c>
      <c r="O425" s="2" t="s">
        <v>7</v>
      </c>
      <c r="P425" s="3" t="s">
        <v>1014</v>
      </c>
      <c r="Q425" s="6" t="s">
        <v>736</v>
      </c>
      <c r="R425" s="4" t="s">
        <v>425</v>
      </c>
      <c r="S425" s="3" t="s">
        <v>422</v>
      </c>
      <c r="T425" s="5" t="s">
        <v>1238</v>
      </c>
    </row>
    <row r="426" spans="1:20" x14ac:dyDescent="0.3">
      <c r="A426" s="2" t="s">
        <v>12</v>
      </c>
      <c r="B426" s="3" t="s">
        <v>453</v>
      </c>
      <c r="C426" s="5" t="s">
        <v>973</v>
      </c>
      <c r="D426" s="6" t="s">
        <v>639</v>
      </c>
      <c r="E426" s="4" t="s">
        <v>742</v>
      </c>
      <c r="F426" s="3" t="s">
        <v>974</v>
      </c>
      <c r="H426" s="2" t="s">
        <v>12</v>
      </c>
      <c r="I426" s="3" t="s">
        <v>1268</v>
      </c>
      <c r="J426" s="4" t="s">
        <v>1187</v>
      </c>
      <c r="K426" s="6" t="s">
        <v>128</v>
      </c>
      <c r="L426" s="3" t="s">
        <v>25</v>
      </c>
      <c r="M426" s="5" t="s">
        <v>993</v>
      </c>
      <c r="O426" s="2" t="s">
        <v>12</v>
      </c>
      <c r="P426" s="3" t="s">
        <v>1174</v>
      </c>
      <c r="Q426" s="6" t="s">
        <v>1836</v>
      </c>
      <c r="R426" s="3" t="s">
        <v>489</v>
      </c>
      <c r="S426" s="4" t="s">
        <v>916</v>
      </c>
      <c r="T426" s="5" t="s">
        <v>1813</v>
      </c>
    </row>
    <row r="427" spans="1:20" x14ac:dyDescent="0.3">
      <c r="A427" s="2" t="s">
        <v>17</v>
      </c>
      <c r="B427" s="3" t="s">
        <v>84</v>
      </c>
      <c r="C427" s="4" t="s">
        <v>81</v>
      </c>
      <c r="D427" s="6" t="s">
        <v>102</v>
      </c>
      <c r="E427" s="5" t="s">
        <v>310</v>
      </c>
      <c r="F427" s="3" t="s">
        <v>25</v>
      </c>
      <c r="H427" s="2" t="s">
        <v>17</v>
      </c>
      <c r="I427" s="3" t="s">
        <v>277</v>
      </c>
      <c r="J427" s="3" t="s">
        <v>887</v>
      </c>
      <c r="K427" s="6" t="s">
        <v>559</v>
      </c>
      <c r="L427" s="4" t="s">
        <v>277</v>
      </c>
      <c r="M427" s="5" t="s">
        <v>714</v>
      </c>
      <c r="O427" s="2" t="s">
        <v>17</v>
      </c>
      <c r="P427" s="3" t="s">
        <v>802</v>
      </c>
      <c r="Q427" s="6" t="s">
        <v>1763</v>
      </c>
      <c r="R427" s="4" t="s">
        <v>201</v>
      </c>
      <c r="S427" s="3" t="s">
        <v>1255</v>
      </c>
      <c r="T427" s="5" t="s">
        <v>1635</v>
      </c>
    </row>
    <row r="428" spans="1:20" x14ac:dyDescent="0.3">
      <c r="A428" s="2" t="s">
        <v>22</v>
      </c>
      <c r="B428" s="3" t="s">
        <v>25</v>
      </c>
      <c r="C428" s="3" t="s">
        <v>25</v>
      </c>
      <c r="D428" s="3" t="s">
        <v>25</v>
      </c>
      <c r="E428" s="3" t="s">
        <v>25</v>
      </c>
      <c r="F428" s="3" t="s">
        <v>25</v>
      </c>
      <c r="H428" s="2" t="s">
        <v>22</v>
      </c>
      <c r="I428" s="3" t="s">
        <v>25</v>
      </c>
      <c r="J428" s="3" t="s">
        <v>25</v>
      </c>
      <c r="K428" s="3" t="s">
        <v>25</v>
      </c>
      <c r="L428" s="3" t="s">
        <v>25</v>
      </c>
      <c r="M428" s="3" t="s">
        <v>25</v>
      </c>
      <c r="O428" s="2" t="s">
        <v>22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 x14ac:dyDescent="0.3">
      <c r="A429" s="7" t="s">
        <v>26</v>
      </c>
      <c r="B429" s="8">
        <v>104</v>
      </c>
      <c r="C429" s="8">
        <v>43</v>
      </c>
      <c r="D429" s="8">
        <v>24</v>
      </c>
      <c r="E429" s="8">
        <v>20</v>
      </c>
      <c r="F429" s="8">
        <v>17</v>
      </c>
      <c r="H429" s="7" t="s">
        <v>26</v>
      </c>
      <c r="I429" s="8">
        <v>458</v>
      </c>
      <c r="J429" s="8">
        <v>162</v>
      </c>
      <c r="K429" s="8">
        <v>166</v>
      </c>
      <c r="L429" s="8">
        <v>0</v>
      </c>
      <c r="M429" s="8">
        <v>130</v>
      </c>
      <c r="O429" s="7" t="s">
        <v>26</v>
      </c>
      <c r="P429" s="8">
        <v>247</v>
      </c>
      <c r="Q429" s="8">
        <v>105</v>
      </c>
      <c r="R429" s="8">
        <v>55</v>
      </c>
      <c r="S429" s="8">
        <v>47</v>
      </c>
      <c r="T429" s="8">
        <v>40</v>
      </c>
    </row>
    <row r="430" spans="1:20" x14ac:dyDescent="0.3">
      <c r="A430" s="9" t="s">
        <v>27</v>
      </c>
      <c r="B430" s="10">
        <v>11</v>
      </c>
      <c r="C430" s="10">
        <v>6</v>
      </c>
      <c r="D430" s="10">
        <v>3</v>
      </c>
      <c r="E430" s="10">
        <v>0</v>
      </c>
      <c r="F430" s="10">
        <v>2</v>
      </c>
      <c r="H430" s="9" t="s">
        <v>27</v>
      </c>
      <c r="I430" s="10">
        <v>38</v>
      </c>
      <c r="J430" s="10">
        <v>11</v>
      </c>
      <c r="K430" s="10">
        <v>14</v>
      </c>
      <c r="L430" s="10">
        <v>0</v>
      </c>
      <c r="M430" s="10">
        <v>13</v>
      </c>
      <c r="O430" s="9" t="s">
        <v>27</v>
      </c>
      <c r="P430" s="10">
        <v>25</v>
      </c>
      <c r="Q430" s="10">
        <v>8</v>
      </c>
      <c r="R430" s="10">
        <v>13</v>
      </c>
      <c r="S430" s="10">
        <v>2</v>
      </c>
      <c r="T430" s="10">
        <v>2</v>
      </c>
    </row>
    <row r="431" spans="1:20" x14ac:dyDescent="0.3">
      <c r="A431" s="9" t="s">
        <v>28</v>
      </c>
      <c r="B431" s="10">
        <v>0</v>
      </c>
      <c r="C431" s="10">
        <v>0</v>
      </c>
      <c r="D431" s="10">
        <v>0</v>
      </c>
      <c r="E431" s="10">
        <v>0</v>
      </c>
      <c r="F431" s="10">
        <v>0</v>
      </c>
      <c r="H431" s="9" t="s">
        <v>28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  <c r="O431" s="9" t="s">
        <v>28</v>
      </c>
      <c r="P431" s="10">
        <v>58</v>
      </c>
      <c r="Q431" s="10">
        <v>46</v>
      </c>
      <c r="R431" s="10">
        <v>3</v>
      </c>
      <c r="S431" s="10">
        <v>4</v>
      </c>
      <c r="T431" s="10">
        <v>5</v>
      </c>
    </row>
    <row r="432" spans="1:20" x14ac:dyDescent="0.3">
      <c r="A432" s="9" t="s">
        <v>29</v>
      </c>
      <c r="B432" s="10">
        <v>84</v>
      </c>
      <c r="C432" s="10">
        <v>33</v>
      </c>
      <c r="D432" s="10">
        <v>18</v>
      </c>
      <c r="E432" s="10">
        <v>20</v>
      </c>
      <c r="F432" s="10">
        <v>13</v>
      </c>
      <c r="H432" s="9" t="s">
        <v>29</v>
      </c>
      <c r="I432" s="10">
        <v>401</v>
      </c>
      <c r="J432" s="10">
        <v>140</v>
      </c>
      <c r="K432" s="10">
        <v>150</v>
      </c>
      <c r="L432" s="10">
        <v>0</v>
      </c>
      <c r="M432" s="10">
        <v>111</v>
      </c>
      <c r="O432" s="9" t="s">
        <v>29</v>
      </c>
      <c r="P432" s="10">
        <v>146</v>
      </c>
      <c r="Q432" s="10">
        <v>47</v>
      </c>
      <c r="R432" s="10">
        <v>30</v>
      </c>
      <c r="S432" s="10">
        <v>36</v>
      </c>
      <c r="T432" s="10">
        <v>33</v>
      </c>
    </row>
    <row r="433" spans="1:20" x14ac:dyDescent="0.3">
      <c r="A433" s="9" t="s">
        <v>30</v>
      </c>
      <c r="B433" s="10">
        <v>9</v>
      </c>
      <c r="C433" s="10">
        <v>4</v>
      </c>
      <c r="D433" s="10">
        <v>3</v>
      </c>
      <c r="E433" s="10">
        <v>0</v>
      </c>
      <c r="F433" s="10">
        <v>2</v>
      </c>
      <c r="H433" s="9" t="s">
        <v>30</v>
      </c>
      <c r="I433" s="10">
        <v>17</v>
      </c>
      <c r="J433" s="10">
        <v>9</v>
      </c>
      <c r="K433" s="10">
        <v>2</v>
      </c>
      <c r="L433" s="10">
        <v>0</v>
      </c>
      <c r="M433" s="10">
        <v>6</v>
      </c>
      <c r="O433" s="9" t="s">
        <v>30</v>
      </c>
      <c r="P433" s="10">
        <v>18</v>
      </c>
      <c r="Q433" s="10">
        <v>4</v>
      </c>
      <c r="R433" s="10">
        <v>9</v>
      </c>
      <c r="S433" s="10">
        <v>5</v>
      </c>
      <c r="T433" s="10">
        <v>0</v>
      </c>
    </row>
    <row r="434" spans="1:20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O434" s="9" t="s">
        <v>31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</row>
    <row r="435" spans="1:20" x14ac:dyDescent="0.3">
      <c r="A435" s="11" t="s">
        <v>32</v>
      </c>
      <c r="B435" s="12">
        <v>3</v>
      </c>
      <c r="C435" s="12">
        <v>1</v>
      </c>
      <c r="D435" s="12">
        <v>1</v>
      </c>
      <c r="E435" s="12">
        <v>1</v>
      </c>
      <c r="F435" s="12">
        <v>0</v>
      </c>
      <c r="H435" s="11" t="s">
        <v>32</v>
      </c>
      <c r="I435" s="12">
        <v>88</v>
      </c>
      <c r="J435" s="12">
        <v>19</v>
      </c>
      <c r="K435" s="12">
        <v>25</v>
      </c>
      <c r="L435" s="12">
        <v>19</v>
      </c>
      <c r="M435" s="12">
        <v>25</v>
      </c>
      <c r="O435" s="11" t="s">
        <v>32</v>
      </c>
      <c r="P435" s="12">
        <v>95</v>
      </c>
      <c r="Q435" s="12">
        <v>34</v>
      </c>
      <c r="R435" s="12">
        <v>30</v>
      </c>
      <c r="S435" s="12">
        <v>13</v>
      </c>
      <c r="T435" s="12">
        <v>18</v>
      </c>
    </row>
    <row r="436" spans="1:20" x14ac:dyDescent="0.3">
      <c r="A436" s="13" t="s">
        <v>33</v>
      </c>
      <c r="B436" s="14">
        <v>1</v>
      </c>
      <c r="C436" s="14">
        <v>0</v>
      </c>
      <c r="D436" s="14">
        <v>0</v>
      </c>
      <c r="E436" s="14">
        <v>1</v>
      </c>
      <c r="F436" s="14">
        <v>0</v>
      </c>
      <c r="H436" s="13" t="s">
        <v>33</v>
      </c>
      <c r="I436" s="14">
        <v>22</v>
      </c>
      <c r="J436" s="14">
        <v>5</v>
      </c>
      <c r="K436" s="14">
        <v>4</v>
      </c>
      <c r="L436" s="14">
        <v>1</v>
      </c>
      <c r="M436" s="14">
        <v>12</v>
      </c>
      <c r="O436" s="13" t="s">
        <v>33</v>
      </c>
      <c r="P436" s="14">
        <v>1</v>
      </c>
      <c r="Q436" s="14">
        <v>1</v>
      </c>
      <c r="R436" s="14">
        <v>0</v>
      </c>
      <c r="S436" s="14">
        <v>0</v>
      </c>
      <c r="T436" s="14">
        <v>0</v>
      </c>
    </row>
    <row r="437" spans="1:20" x14ac:dyDescent="0.3">
      <c r="A437" s="13" t="s">
        <v>34</v>
      </c>
      <c r="B437" s="14">
        <v>2</v>
      </c>
      <c r="C437" s="14">
        <v>1</v>
      </c>
      <c r="D437" s="14">
        <v>1</v>
      </c>
      <c r="E437" s="14">
        <v>0</v>
      </c>
      <c r="F437" s="14">
        <v>0</v>
      </c>
      <c r="H437" s="13" t="s">
        <v>34</v>
      </c>
      <c r="I437" s="14">
        <v>66</v>
      </c>
      <c r="J437" s="14">
        <v>14</v>
      </c>
      <c r="K437" s="14">
        <v>21</v>
      </c>
      <c r="L437" s="14">
        <v>18</v>
      </c>
      <c r="M437" s="14">
        <v>13</v>
      </c>
      <c r="O437" s="13" t="s">
        <v>34</v>
      </c>
      <c r="P437" s="14">
        <v>94</v>
      </c>
      <c r="Q437" s="14">
        <v>33</v>
      </c>
      <c r="R437" s="14">
        <v>30</v>
      </c>
      <c r="S437" s="14">
        <v>13</v>
      </c>
      <c r="T437" s="14">
        <v>18</v>
      </c>
    </row>
    <row r="438" spans="1:20" x14ac:dyDescent="0.3">
      <c r="A438" s="15" t="s">
        <v>35</v>
      </c>
      <c r="B438" s="16">
        <v>0</v>
      </c>
      <c r="C438" s="16">
        <v>0</v>
      </c>
      <c r="D438" s="16">
        <v>0</v>
      </c>
      <c r="E438" s="16">
        <v>0</v>
      </c>
      <c r="F438" s="16">
        <v>0</v>
      </c>
      <c r="H438" s="15" t="s">
        <v>35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O438" s="15" t="s">
        <v>35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</row>
    <row r="439" spans="1:20" x14ac:dyDescent="0.3">
      <c r="A439" s="17" t="s">
        <v>36</v>
      </c>
      <c r="B439" s="19">
        <v>0</v>
      </c>
      <c r="C439" s="19">
        <v>0</v>
      </c>
      <c r="D439" s="19">
        <v>0</v>
      </c>
      <c r="E439" s="19">
        <v>0</v>
      </c>
      <c r="F439" s="19">
        <v>0</v>
      </c>
      <c r="H439" s="17" t="s">
        <v>36</v>
      </c>
      <c r="I439" s="109">
        <v>0</v>
      </c>
      <c r="J439" s="109">
        <v>0</v>
      </c>
      <c r="K439" s="109">
        <v>0</v>
      </c>
      <c r="L439" s="109">
        <v>0</v>
      </c>
      <c r="M439" s="109">
        <v>0</v>
      </c>
      <c r="O439" s="17" t="s">
        <v>36</v>
      </c>
      <c r="P439" s="138">
        <v>0</v>
      </c>
      <c r="Q439" s="138">
        <v>0</v>
      </c>
      <c r="R439" s="138">
        <v>0</v>
      </c>
      <c r="S439" s="138">
        <v>0</v>
      </c>
      <c r="T439" s="138">
        <v>0</v>
      </c>
    </row>
    <row r="440" spans="1:20" x14ac:dyDescent="0.3">
      <c r="A440" s="17" t="s">
        <v>37</v>
      </c>
      <c r="B440" s="19">
        <v>0</v>
      </c>
      <c r="C440" s="19">
        <v>0</v>
      </c>
      <c r="D440" s="19">
        <v>0</v>
      </c>
      <c r="E440" s="19">
        <v>0</v>
      </c>
      <c r="F440" s="19">
        <v>0</v>
      </c>
      <c r="H440" s="17" t="s">
        <v>37</v>
      </c>
      <c r="I440" s="109">
        <v>0</v>
      </c>
      <c r="J440" s="109">
        <v>0</v>
      </c>
      <c r="K440" s="109">
        <v>0</v>
      </c>
      <c r="L440" s="109">
        <v>0</v>
      </c>
      <c r="M440" s="109">
        <v>0</v>
      </c>
      <c r="O440" s="17" t="s">
        <v>37</v>
      </c>
      <c r="P440" s="138">
        <v>0</v>
      </c>
      <c r="Q440" s="138">
        <v>0</v>
      </c>
      <c r="R440" s="138">
        <v>0</v>
      </c>
      <c r="S440" s="138">
        <v>0</v>
      </c>
      <c r="T440" s="138">
        <v>0</v>
      </c>
    </row>
    <row r="441" spans="1:20" x14ac:dyDescent="0.3">
      <c r="A441" s="17" t="s">
        <v>38</v>
      </c>
      <c r="B441" s="167" t="s">
        <v>926</v>
      </c>
      <c r="C441" s="168"/>
      <c r="D441" s="168"/>
      <c r="E441" s="168"/>
      <c r="F441" s="168"/>
      <c r="H441" s="17" t="s">
        <v>38</v>
      </c>
      <c r="I441" s="167" t="s">
        <v>1141</v>
      </c>
      <c r="J441" s="168"/>
      <c r="K441" s="168"/>
      <c r="L441" s="168"/>
      <c r="M441" s="168"/>
      <c r="O441" s="17" t="s">
        <v>38</v>
      </c>
      <c r="P441" s="167" t="s">
        <v>2017</v>
      </c>
      <c r="Q441" s="168"/>
      <c r="R441" s="168"/>
      <c r="S441" s="168"/>
      <c r="T441" s="168"/>
    </row>
    <row r="442" spans="1:20" ht="19.8" x14ac:dyDescent="0.3">
      <c r="A442" s="170">
        <v>46107</v>
      </c>
      <c r="B442" s="168"/>
      <c r="C442" s="168"/>
      <c r="D442" s="168"/>
      <c r="E442" s="168"/>
      <c r="F442" s="168"/>
      <c r="H442" s="170">
        <v>46137</v>
      </c>
      <c r="I442" s="168"/>
      <c r="J442" s="168"/>
      <c r="K442" s="168"/>
      <c r="L442" s="168"/>
      <c r="M442" s="168"/>
      <c r="O442" s="170">
        <v>46169</v>
      </c>
      <c r="P442" s="168"/>
      <c r="Q442" s="168"/>
      <c r="R442" s="168"/>
      <c r="S442" s="168"/>
      <c r="T442" s="168"/>
    </row>
    <row r="443" spans="1:20" x14ac:dyDescent="0.3">
      <c r="A443" s="1" t="s">
        <v>0</v>
      </c>
      <c r="B443" s="1" t="s">
        <v>1</v>
      </c>
      <c r="C443" s="1" t="s">
        <v>2</v>
      </c>
      <c r="D443" s="1" t="s">
        <v>3</v>
      </c>
      <c r="E443" s="1" t="s">
        <v>40</v>
      </c>
      <c r="F443" s="1" t="s">
        <v>4</v>
      </c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  <c r="O443" s="1" t="s">
        <v>0</v>
      </c>
      <c r="P443" s="1" t="s">
        <v>1</v>
      </c>
      <c r="Q443" s="1" t="s">
        <v>1800</v>
      </c>
      <c r="R443" s="1" t="s">
        <v>3</v>
      </c>
      <c r="S443" s="1" t="s">
        <v>40</v>
      </c>
      <c r="T443" s="1" t="s">
        <v>4</v>
      </c>
    </row>
    <row r="444" spans="1:20" x14ac:dyDescent="0.3">
      <c r="A444" s="2" t="s">
        <v>5</v>
      </c>
      <c r="B444" s="3">
        <v>4390</v>
      </c>
      <c r="C444" s="3">
        <v>1309</v>
      </c>
      <c r="D444" s="3">
        <v>1073</v>
      </c>
      <c r="E444" s="3">
        <v>981</v>
      </c>
      <c r="F444" s="3">
        <v>1027</v>
      </c>
      <c r="H444" s="2" t="s">
        <v>5</v>
      </c>
      <c r="I444" s="3">
        <v>5541</v>
      </c>
      <c r="J444" s="3">
        <v>1730</v>
      </c>
      <c r="K444" s="3">
        <v>1563</v>
      </c>
      <c r="L444" s="3">
        <v>1202</v>
      </c>
      <c r="M444" s="3">
        <v>1046</v>
      </c>
      <c r="O444" s="2" t="s">
        <v>5</v>
      </c>
      <c r="P444" s="3">
        <v>5597</v>
      </c>
      <c r="Q444" s="3">
        <v>1646</v>
      </c>
      <c r="R444" s="3">
        <v>1424</v>
      </c>
      <c r="S444" s="3">
        <v>1228</v>
      </c>
      <c r="T444" s="3">
        <v>1299</v>
      </c>
    </row>
    <row r="445" spans="1:20" x14ac:dyDescent="0.3">
      <c r="A445" s="2" t="s">
        <v>6</v>
      </c>
      <c r="B445" s="3">
        <v>124</v>
      </c>
      <c r="C445" s="5">
        <v>44</v>
      </c>
      <c r="D445" s="4">
        <v>25</v>
      </c>
      <c r="E445" s="4">
        <v>25</v>
      </c>
      <c r="F445" s="6">
        <v>30</v>
      </c>
      <c r="H445" s="2" t="s">
        <v>6</v>
      </c>
      <c r="I445" s="3">
        <v>752</v>
      </c>
      <c r="J445" s="6">
        <v>232</v>
      </c>
      <c r="K445" s="5">
        <v>245</v>
      </c>
      <c r="L445" s="3">
        <v>95</v>
      </c>
      <c r="M445" s="4">
        <v>180</v>
      </c>
      <c r="O445" s="2" t="s">
        <v>6</v>
      </c>
      <c r="P445" s="3">
        <v>915</v>
      </c>
      <c r="Q445" s="5">
        <v>265</v>
      </c>
      <c r="R445" s="3">
        <v>196</v>
      </c>
      <c r="S445" s="4">
        <v>217</v>
      </c>
      <c r="T445" s="6">
        <v>237</v>
      </c>
    </row>
    <row r="446" spans="1:20" x14ac:dyDescent="0.3">
      <c r="A446" s="2" t="s">
        <v>7</v>
      </c>
      <c r="B446" s="3" t="s">
        <v>742</v>
      </c>
      <c r="C446" s="5" t="s">
        <v>653</v>
      </c>
      <c r="D446" s="3" t="s">
        <v>1017</v>
      </c>
      <c r="E446" s="4" t="s">
        <v>184</v>
      </c>
      <c r="F446" s="6" t="s">
        <v>479</v>
      </c>
      <c r="H446" s="2" t="s">
        <v>7</v>
      </c>
      <c r="I446" s="3" t="s">
        <v>1591</v>
      </c>
      <c r="J446" s="4" t="s">
        <v>1199</v>
      </c>
      <c r="K446" s="6" t="s">
        <v>1667</v>
      </c>
      <c r="L446" s="3" t="s">
        <v>1668</v>
      </c>
      <c r="M446" s="5" t="s">
        <v>1669</v>
      </c>
      <c r="O446" s="2" t="s">
        <v>7</v>
      </c>
      <c r="P446" s="3" t="s">
        <v>1678</v>
      </c>
      <c r="Q446" s="4" t="s">
        <v>1755</v>
      </c>
      <c r="R446" s="3" t="s">
        <v>1938</v>
      </c>
      <c r="S446" s="6" t="s">
        <v>2021</v>
      </c>
      <c r="T446" s="5" t="s">
        <v>497</v>
      </c>
    </row>
    <row r="447" spans="1:20" x14ac:dyDescent="0.3">
      <c r="A447" s="2" t="s">
        <v>12</v>
      </c>
      <c r="B447" s="3" t="s">
        <v>732</v>
      </c>
      <c r="C447" s="5" t="s">
        <v>653</v>
      </c>
      <c r="D447" s="3" t="s">
        <v>1019</v>
      </c>
      <c r="E447" s="4" t="s">
        <v>184</v>
      </c>
      <c r="F447" s="6" t="s">
        <v>479</v>
      </c>
      <c r="H447" s="2" t="s">
        <v>12</v>
      </c>
      <c r="I447" s="3" t="s">
        <v>658</v>
      </c>
      <c r="J447" s="4" t="s">
        <v>523</v>
      </c>
      <c r="K447" s="6" t="s">
        <v>623</v>
      </c>
      <c r="L447" s="3" t="s">
        <v>309</v>
      </c>
      <c r="M447" s="5" t="s">
        <v>1504</v>
      </c>
      <c r="O447" s="2" t="s">
        <v>12</v>
      </c>
      <c r="P447" s="3" t="s">
        <v>568</v>
      </c>
      <c r="Q447" s="4" t="s">
        <v>1206</v>
      </c>
      <c r="R447" s="3" t="s">
        <v>1158</v>
      </c>
      <c r="S447" s="6" t="s">
        <v>1060</v>
      </c>
      <c r="T447" s="5" t="s">
        <v>1657</v>
      </c>
    </row>
    <row r="448" spans="1:20" x14ac:dyDescent="0.3">
      <c r="A448" s="2" t="s">
        <v>17</v>
      </c>
      <c r="B448" s="3" t="s">
        <v>147</v>
      </c>
      <c r="C448" s="4" t="s">
        <v>266</v>
      </c>
      <c r="D448" s="6" t="s">
        <v>200</v>
      </c>
      <c r="E448" s="5" t="s">
        <v>551</v>
      </c>
      <c r="F448" s="3" t="s">
        <v>25</v>
      </c>
      <c r="H448" s="2" t="s">
        <v>17</v>
      </c>
      <c r="I448" s="3" t="s">
        <v>1670</v>
      </c>
      <c r="J448" s="3" t="s">
        <v>633</v>
      </c>
      <c r="K448" s="4" t="s">
        <v>668</v>
      </c>
      <c r="L448" s="5" t="s">
        <v>779</v>
      </c>
      <c r="M448" s="6" t="s">
        <v>597</v>
      </c>
      <c r="O448" s="2" t="s">
        <v>17</v>
      </c>
      <c r="P448" s="3" t="s">
        <v>380</v>
      </c>
      <c r="Q448" s="5" t="s">
        <v>321</v>
      </c>
      <c r="R448" s="4" t="s">
        <v>1113</v>
      </c>
      <c r="S448" s="6" t="s">
        <v>1903</v>
      </c>
      <c r="T448" s="3" t="s">
        <v>1174</v>
      </c>
    </row>
    <row r="449" spans="1:20" x14ac:dyDescent="0.3">
      <c r="A449" s="2" t="s">
        <v>22</v>
      </c>
      <c r="B449" s="3" t="s">
        <v>25</v>
      </c>
      <c r="C449" s="3" t="s">
        <v>25</v>
      </c>
      <c r="D449" s="3" t="s">
        <v>25</v>
      </c>
      <c r="E449" s="3" t="s">
        <v>25</v>
      </c>
      <c r="F449" s="3" t="s">
        <v>25</v>
      </c>
      <c r="H449" s="2" t="s">
        <v>22</v>
      </c>
      <c r="I449" s="3" t="s">
        <v>25</v>
      </c>
      <c r="J449" s="3" t="s">
        <v>25</v>
      </c>
      <c r="K449" s="3" t="s">
        <v>25</v>
      </c>
      <c r="L449" s="3" t="s">
        <v>25</v>
      </c>
      <c r="M449" s="3" t="s">
        <v>25</v>
      </c>
      <c r="O449" s="2" t="s">
        <v>22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 x14ac:dyDescent="0.3">
      <c r="A450" s="7" t="s">
        <v>26</v>
      </c>
      <c r="B450" s="8">
        <v>123</v>
      </c>
      <c r="C450" s="8">
        <v>44</v>
      </c>
      <c r="D450" s="8">
        <v>24</v>
      </c>
      <c r="E450" s="8">
        <v>25</v>
      </c>
      <c r="F450" s="8">
        <v>30</v>
      </c>
      <c r="H450" s="7" t="s">
        <v>26</v>
      </c>
      <c r="I450" s="8">
        <v>382</v>
      </c>
      <c r="J450" s="8">
        <v>129</v>
      </c>
      <c r="K450" s="8">
        <v>149</v>
      </c>
      <c r="L450" s="8">
        <v>1</v>
      </c>
      <c r="M450" s="8">
        <v>103</v>
      </c>
      <c r="O450" s="7" t="s">
        <v>26</v>
      </c>
      <c r="P450" s="8">
        <v>566</v>
      </c>
      <c r="Q450" s="8">
        <v>155</v>
      </c>
      <c r="R450" s="8">
        <v>111</v>
      </c>
      <c r="S450" s="8">
        <v>137</v>
      </c>
      <c r="T450" s="8">
        <v>163</v>
      </c>
    </row>
    <row r="451" spans="1:20" x14ac:dyDescent="0.3">
      <c r="A451" s="9" t="s">
        <v>27</v>
      </c>
      <c r="B451" s="10">
        <v>21</v>
      </c>
      <c r="C451" s="10">
        <v>9</v>
      </c>
      <c r="D451" s="10">
        <v>5</v>
      </c>
      <c r="E451" s="10">
        <v>0</v>
      </c>
      <c r="F451" s="10">
        <v>7</v>
      </c>
      <c r="H451" s="9" t="s">
        <v>27</v>
      </c>
      <c r="I451" s="10">
        <v>23</v>
      </c>
      <c r="J451" s="10">
        <v>7</v>
      </c>
      <c r="K451" s="10">
        <v>8</v>
      </c>
      <c r="L451" s="10">
        <v>1</v>
      </c>
      <c r="M451" s="10">
        <v>7</v>
      </c>
      <c r="O451" s="9" t="s">
        <v>27</v>
      </c>
      <c r="P451" s="10">
        <v>18</v>
      </c>
      <c r="Q451" s="10">
        <v>6</v>
      </c>
      <c r="R451" s="10">
        <v>5</v>
      </c>
      <c r="S451" s="10">
        <v>0</v>
      </c>
      <c r="T451" s="10">
        <v>7</v>
      </c>
    </row>
    <row r="452" spans="1:20" x14ac:dyDescent="0.3">
      <c r="A452" s="9" t="s">
        <v>28</v>
      </c>
      <c r="B452" s="10">
        <v>0</v>
      </c>
      <c r="C452" s="10">
        <v>0</v>
      </c>
      <c r="D452" s="10">
        <v>0</v>
      </c>
      <c r="E452" s="10">
        <v>0</v>
      </c>
      <c r="F452" s="10">
        <v>0</v>
      </c>
      <c r="H452" s="9" t="s">
        <v>28</v>
      </c>
      <c r="I452" s="10">
        <v>1</v>
      </c>
      <c r="J452" s="10">
        <v>1</v>
      </c>
      <c r="K452" s="10">
        <v>0</v>
      </c>
      <c r="L452" s="10">
        <v>0</v>
      </c>
      <c r="M452" s="10">
        <v>0</v>
      </c>
      <c r="O452" s="9" t="s">
        <v>28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</row>
    <row r="453" spans="1:20" x14ac:dyDescent="0.3">
      <c r="A453" s="9" t="s">
        <v>29</v>
      </c>
      <c r="B453" s="10">
        <v>96</v>
      </c>
      <c r="C453" s="10">
        <v>31</v>
      </c>
      <c r="D453" s="10">
        <v>18</v>
      </c>
      <c r="E453" s="10">
        <v>25</v>
      </c>
      <c r="F453" s="10">
        <v>22</v>
      </c>
      <c r="H453" s="9" t="s">
        <v>29</v>
      </c>
      <c r="I453" s="10">
        <v>347</v>
      </c>
      <c r="J453" s="10">
        <v>113</v>
      </c>
      <c r="K453" s="10">
        <v>139</v>
      </c>
      <c r="L453" s="10">
        <v>0</v>
      </c>
      <c r="M453" s="10">
        <v>95</v>
      </c>
      <c r="O453" s="9" t="s">
        <v>29</v>
      </c>
      <c r="P453" s="10">
        <v>533</v>
      </c>
      <c r="Q453" s="10">
        <v>140</v>
      </c>
      <c r="R453" s="10">
        <v>105</v>
      </c>
      <c r="S453" s="10">
        <v>135</v>
      </c>
      <c r="T453" s="10">
        <v>153</v>
      </c>
    </row>
    <row r="454" spans="1:20" x14ac:dyDescent="0.3">
      <c r="A454" s="9" t="s">
        <v>30</v>
      </c>
      <c r="B454" s="10">
        <v>6</v>
      </c>
      <c r="C454" s="10">
        <v>4</v>
      </c>
      <c r="D454" s="10">
        <v>1</v>
      </c>
      <c r="E454" s="10">
        <v>0</v>
      </c>
      <c r="F454" s="10">
        <v>1</v>
      </c>
      <c r="H454" s="9" t="s">
        <v>30</v>
      </c>
      <c r="I454" s="10">
        <v>11</v>
      </c>
      <c r="J454" s="10">
        <v>8</v>
      </c>
      <c r="K454" s="10">
        <v>2</v>
      </c>
      <c r="L454" s="10">
        <v>0</v>
      </c>
      <c r="M454" s="10">
        <v>1</v>
      </c>
      <c r="O454" s="9" t="s">
        <v>30</v>
      </c>
      <c r="P454" s="10">
        <v>15</v>
      </c>
      <c r="Q454" s="10">
        <v>9</v>
      </c>
      <c r="R454" s="10">
        <v>1</v>
      </c>
      <c r="S454" s="10">
        <v>2</v>
      </c>
      <c r="T454" s="10">
        <v>3</v>
      </c>
    </row>
    <row r="455" spans="1:20" x14ac:dyDescent="0.3">
      <c r="A455" s="9" t="s">
        <v>31</v>
      </c>
      <c r="B455" s="10">
        <v>0</v>
      </c>
      <c r="C455" s="10">
        <v>0</v>
      </c>
      <c r="D455" s="10">
        <v>0</v>
      </c>
      <c r="E455" s="10">
        <v>0</v>
      </c>
      <c r="F455" s="10">
        <v>0</v>
      </c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O455" s="9" t="s">
        <v>31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</row>
    <row r="456" spans="1:20" x14ac:dyDescent="0.3">
      <c r="A456" s="11" t="s">
        <v>32</v>
      </c>
      <c r="B456" s="12">
        <v>13</v>
      </c>
      <c r="C456" s="12">
        <v>3</v>
      </c>
      <c r="D456" s="12">
        <v>4</v>
      </c>
      <c r="E456" s="12">
        <v>6</v>
      </c>
      <c r="F456" s="12">
        <v>0</v>
      </c>
      <c r="H456" s="11" t="s">
        <v>32</v>
      </c>
      <c r="I456" s="12">
        <v>369</v>
      </c>
      <c r="J456" s="12">
        <v>102</v>
      </c>
      <c r="K456" s="12">
        <v>98</v>
      </c>
      <c r="L456" s="12">
        <v>94</v>
      </c>
      <c r="M456" s="12">
        <v>75</v>
      </c>
      <c r="O456" s="11" t="s">
        <v>32</v>
      </c>
      <c r="P456" s="12">
        <v>350</v>
      </c>
      <c r="Q456" s="12">
        <v>111</v>
      </c>
      <c r="R456" s="12">
        <v>85</v>
      </c>
      <c r="S456" s="12">
        <v>80</v>
      </c>
      <c r="T456" s="12">
        <v>74</v>
      </c>
    </row>
    <row r="457" spans="1:20" x14ac:dyDescent="0.3">
      <c r="A457" s="13" t="s">
        <v>33</v>
      </c>
      <c r="B457" s="14">
        <v>5</v>
      </c>
      <c r="C457" s="14">
        <v>1</v>
      </c>
      <c r="D457" s="14">
        <v>1</v>
      </c>
      <c r="E457" s="14">
        <v>3</v>
      </c>
      <c r="F457" s="14">
        <v>0</v>
      </c>
      <c r="H457" s="13" t="s">
        <v>33</v>
      </c>
      <c r="I457" s="14">
        <v>86</v>
      </c>
      <c r="J457" s="14">
        <v>11</v>
      </c>
      <c r="K457" s="14">
        <v>25</v>
      </c>
      <c r="L457" s="14">
        <v>26</v>
      </c>
      <c r="M457" s="14">
        <v>24</v>
      </c>
      <c r="O457" s="13" t="s">
        <v>33</v>
      </c>
      <c r="P457" s="14">
        <v>14</v>
      </c>
      <c r="Q457" s="14">
        <v>6</v>
      </c>
      <c r="R457" s="14">
        <v>3</v>
      </c>
      <c r="S457" s="14">
        <v>0</v>
      </c>
      <c r="T457" s="14">
        <v>5</v>
      </c>
    </row>
    <row r="458" spans="1:20" x14ac:dyDescent="0.3">
      <c r="A458" s="13" t="s">
        <v>34</v>
      </c>
      <c r="B458" s="14">
        <v>8</v>
      </c>
      <c r="C458" s="14">
        <v>2</v>
      </c>
      <c r="D458" s="14">
        <v>3</v>
      </c>
      <c r="E458" s="14">
        <v>3</v>
      </c>
      <c r="F458" s="14">
        <v>0</v>
      </c>
      <c r="H458" s="13" t="s">
        <v>34</v>
      </c>
      <c r="I458" s="14">
        <v>283</v>
      </c>
      <c r="J458" s="14">
        <v>91</v>
      </c>
      <c r="K458" s="14">
        <v>73</v>
      </c>
      <c r="L458" s="14">
        <v>68</v>
      </c>
      <c r="M458" s="14">
        <v>51</v>
      </c>
      <c r="O458" s="13" t="s">
        <v>34</v>
      </c>
      <c r="P458" s="14">
        <v>336</v>
      </c>
      <c r="Q458" s="14">
        <v>105</v>
      </c>
      <c r="R458" s="14">
        <v>82</v>
      </c>
      <c r="S458" s="14">
        <v>80</v>
      </c>
      <c r="T458" s="14">
        <v>69</v>
      </c>
    </row>
    <row r="459" spans="1:20" x14ac:dyDescent="0.3">
      <c r="A459" s="15" t="s">
        <v>35</v>
      </c>
      <c r="B459" s="16">
        <v>0</v>
      </c>
      <c r="C459" s="16">
        <v>0</v>
      </c>
      <c r="D459" s="16">
        <v>0</v>
      </c>
      <c r="E459" s="16">
        <v>0</v>
      </c>
      <c r="F459" s="16">
        <v>0</v>
      </c>
      <c r="H459" s="15" t="s">
        <v>35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O459" s="15" t="s">
        <v>35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</row>
    <row r="460" spans="1:20" x14ac:dyDescent="0.3">
      <c r="A460" s="17" t="s">
        <v>36</v>
      </c>
      <c r="B460" s="34">
        <v>0</v>
      </c>
      <c r="C460" s="34">
        <v>0</v>
      </c>
      <c r="D460" s="34">
        <v>0</v>
      </c>
      <c r="E460" s="34">
        <v>0</v>
      </c>
      <c r="F460" s="34">
        <v>0</v>
      </c>
      <c r="H460" s="17" t="s">
        <v>36</v>
      </c>
      <c r="I460" s="109">
        <v>0</v>
      </c>
      <c r="J460" s="109">
        <v>0</v>
      </c>
      <c r="K460" s="109">
        <v>0</v>
      </c>
      <c r="L460" s="109">
        <v>0</v>
      </c>
      <c r="M460" s="109">
        <v>0</v>
      </c>
      <c r="O460" s="17" t="s">
        <v>36</v>
      </c>
      <c r="P460" s="138">
        <v>0</v>
      </c>
      <c r="Q460" s="138">
        <v>0</v>
      </c>
      <c r="R460" s="138">
        <v>0</v>
      </c>
      <c r="S460" s="138">
        <v>0</v>
      </c>
      <c r="T460" s="138">
        <v>0</v>
      </c>
    </row>
    <row r="461" spans="1:20" x14ac:dyDescent="0.3">
      <c r="A461" s="17" t="s">
        <v>37</v>
      </c>
      <c r="B461" s="34">
        <v>0</v>
      </c>
      <c r="C461" s="34">
        <v>0</v>
      </c>
      <c r="D461" s="34">
        <v>0</v>
      </c>
      <c r="E461" s="34">
        <v>0</v>
      </c>
      <c r="F461" s="34">
        <v>0</v>
      </c>
      <c r="H461" s="17" t="s">
        <v>37</v>
      </c>
      <c r="I461" s="109">
        <v>0</v>
      </c>
      <c r="J461" s="109">
        <v>0</v>
      </c>
      <c r="K461" s="109">
        <v>0</v>
      </c>
      <c r="L461" s="109">
        <v>0</v>
      </c>
      <c r="M461" s="109">
        <v>0</v>
      </c>
      <c r="O461" s="17" t="s">
        <v>37</v>
      </c>
      <c r="P461" s="138">
        <v>0</v>
      </c>
      <c r="Q461" s="138">
        <v>0</v>
      </c>
      <c r="R461" s="138">
        <v>0</v>
      </c>
      <c r="S461" s="138">
        <v>0</v>
      </c>
      <c r="T461" s="138">
        <v>0</v>
      </c>
    </row>
    <row r="462" spans="1:20" x14ac:dyDescent="0.3">
      <c r="A462" s="17" t="s">
        <v>38</v>
      </c>
      <c r="B462" s="167" t="s">
        <v>67</v>
      </c>
      <c r="C462" s="168"/>
      <c r="D462" s="168"/>
      <c r="E462" s="168"/>
      <c r="F462" s="168"/>
      <c r="H462" s="17" t="s">
        <v>38</v>
      </c>
      <c r="I462" s="167" t="s">
        <v>1671</v>
      </c>
      <c r="J462" s="168"/>
      <c r="K462" s="168"/>
      <c r="L462" s="168"/>
      <c r="M462" s="168"/>
      <c r="O462" s="17" t="s">
        <v>38</v>
      </c>
      <c r="P462" s="167" t="s">
        <v>1236</v>
      </c>
      <c r="Q462" s="168"/>
      <c r="R462" s="168"/>
      <c r="S462" s="168"/>
      <c r="T462" s="168"/>
    </row>
    <row r="463" spans="1:20" ht="19.8" x14ac:dyDescent="0.3">
      <c r="A463" s="170">
        <v>46108</v>
      </c>
      <c r="B463" s="168"/>
      <c r="C463" s="168"/>
      <c r="D463" s="168"/>
      <c r="E463" s="168"/>
      <c r="F463" s="168"/>
      <c r="H463" s="171">
        <v>46139</v>
      </c>
      <c r="I463" s="174"/>
      <c r="J463" s="174"/>
      <c r="K463" s="174"/>
      <c r="L463" s="174"/>
      <c r="M463" s="174"/>
      <c r="O463" s="170">
        <v>46170</v>
      </c>
      <c r="P463" s="168"/>
      <c r="Q463" s="168"/>
      <c r="R463" s="168"/>
      <c r="S463" s="168"/>
      <c r="T463" s="168"/>
    </row>
    <row r="464" spans="1:20" x14ac:dyDescent="0.3">
      <c r="A464" s="1" t="s">
        <v>0</v>
      </c>
      <c r="B464" s="1" t="s">
        <v>1</v>
      </c>
      <c r="C464" s="1" t="s">
        <v>2</v>
      </c>
      <c r="D464" s="1" t="s">
        <v>3</v>
      </c>
      <c r="E464" s="1" t="s">
        <v>40</v>
      </c>
      <c r="F464" s="1" t="s">
        <v>4</v>
      </c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  <c r="O464" s="179" t="s">
        <v>0</v>
      </c>
      <c r="P464" s="179" t="s">
        <v>1</v>
      </c>
      <c r="Q464" s="179" t="s">
        <v>1800</v>
      </c>
      <c r="R464" s="179" t="s">
        <v>3</v>
      </c>
      <c r="S464" s="179" t="s">
        <v>40</v>
      </c>
      <c r="T464" s="179" t="s">
        <v>4</v>
      </c>
    </row>
    <row r="465" spans="1:20" x14ac:dyDescent="0.3">
      <c r="A465" s="2" t="s">
        <v>5</v>
      </c>
      <c r="B465" s="3">
        <v>5590</v>
      </c>
      <c r="C465" s="3">
        <v>534</v>
      </c>
      <c r="D465" s="3">
        <v>1768</v>
      </c>
      <c r="E465" s="3">
        <v>1701</v>
      </c>
      <c r="F465" s="3">
        <v>1587</v>
      </c>
      <c r="H465" s="2" t="s">
        <v>5</v>
      </c>
      <c r="I465" s="3">
        <v>3378</v>
      </c>
      <c r="J465" s="3">
        <v>1433</v>
      </c>
      <c r="K465" s="3">
        <v>1250</v>
      </c>
      <c r="L465" s="3">
        <v>1055</v>
      </c>
      <c r="M465" s="3">
        <v>1073</v>
      </c>
      <c r="O465" s="180" t="s">
        <v>5</v>
      </c>
      <c r="P465" s="181">
        <v>4321</v>
      </c>
      <c r="Q465" s="181">
        <v>1386</v>
      </c>
      <c r="R465" s="181">
        <v>1059</v>
      </c>
      <c r="S465" s="181">
        <v>892</v>
      </c>
      <c r="T465" s="181">
        <v>984</v>
      </c>
    </row>
    <row r="466" spans="1:20" x14ac:dyDescent="0.3">
      <c r="A466" s="2" t="s">
        <v>6</v>
      </c>
      <c r="B466" s="3">
        <v>408</v>
      </c>
      <c r="C466" s="3">
        <v>37</v>
      </c>
      <c r="D466" s="5">
        <v>176</v>
      </c>
      <c r="E466" s="6">
        <v>112</v>
      </c>
      <c r="F466" s="4">
        <v>83</v>
      </c>
      <c r="H466" s="2" t="s">
        <v>6</v>
      </c>
      <c r="I466" s="3">
        <v>247</v>
      </c>
      <c r="J466" s="4">
        <v>53</v>
      </c>
      <c r="K466" s="6">
        <v>69</v>
      </c>
      <c r="L466" s="4">
        <v>5</v>
      </c>
      <c r="M466" s="5">
        <v>173</v>
      </c>
      <c r="O466" s="180" t="s">
        <v>6</v>
      </c>
      <c r="P466" s="181">
        <v>291</v>
      </c>
      <c r="Q466" s="184">
        <v>73</v>
      </c>
      <c r="R466" s="182">
        <v>67</v>
      </c>
      <c r="S466" s="182">
        <v>67</v>
      </c>
      <c r="T466" s="183">
        <v>84</v>
      </c>
    </row>
    <row r="467" spans="1:20" x14ac:dyDescent="0.3">
      <c r="A467" s="2" t="s">
        <v>7</v>
      </c>
      <c r="B467" s="3" t="s">
        <v>92</v>
      </c>
      <c r="C467" s="6" t="s">
        <v>1051</v>
      </c>
      <c r="D467" s="5" t="s">
        <v>360</v>
      </c>
      <c r="E467" s="4" t="s">
        <v>249</v>
      </c>
      <c r="F467" s="3" t="s">
        <v>1052</v>
      </c>
      <c r="H467" s="2" t="s">
        <v>7</v>
      </c>
      <c r="I467" s="3" t="s">
        <v>172</v>
      </c>
      <c r="J467" s="4" t="s">
        <v>143</v>
      </c>
      <c r="K467" s="6" t="s">
        <v>247</v>
      </c>
      <c r="L467" s="4" t="s">
        <v>148</v>
      </c>
      <c r="M467" s="5" t="s">
        <v>1694</v>
      </c>
      <c r="O467" s="180" t="s">
        <v>7</v>
      </c>
      <c r="P467" s="181" t="s">
        <v>923</v>
      </c>
      <c r="Q467" s="181" t="s">
        <v>1386</v>
      </c>
      <c r="R467" s="182" t="s">
        <v>1124</v>
      </c>
      <c r="S467" s="184" t="s">
        <v>124</v>
      </c>
      <c r="T467" s="183" t="s">
        <v>1552</v>
      </c>
    </row>
    <row r="468" spans="1:20" x14ac:dyDescent="0.3">
      <c r="A468" s="2" t="s">
        <v>12</v>
      </c>
      <c r="B468" s="3" t="s">
        <v>882</v>
      </c>
      <c r="C468" s="5" t="s">
        <v>321</v>
      </c>
      <c r="D468" s="4" t="s">
        <v>1053</v>
      </c>
      <c r="E468" s="6" t="s">
        <v>1054</v>
      </c>
      <c r="F468" s="3" t="s">
        <v>251</v>
      </c>
      <c r="H468" s="2" t="s">
        <v>12</v>
      </c>
      <c r="I468" s="3" t="s">
        <v>456</v>
      </c>
      <c r="J468" s="4" t="s">
        <v>481</v>
      </c>
      <c r="K468" s="5" t="s">
        <v>401</v>
      </c>
      <c r="L468" s="4" t="s">
        <v>84</v>
      </c>
      <c r="M468" s="6" t="s">
        <v>368</v>
      </c>
      <c r="O468" s="180" t="s">
        <v>12</v>
      </c>
      <c r="P468" s="181" t="s">
        <v>1268</v>
      </c>
      <c r="Q468" s="181" t="s">
        <v>975</v>
      </c>
      <c r="R468" s="182" t="s">
        <v>1624</v>
      </c>
      <c r="S468" s="184" t="s">
        <v>124</v>
      </c>
      <c r="T468" s="183" t="s">
        <v>1612</v>
      </c>
    </row>
    <row r="469" spans="1:20" x14ac:dyDescent="0.3">
      <c r="A469" s="2" t="s">
        <v>17</v>
      </c>
      <c r="B469" s="3" t="s">
        <v>314</v>
      </c>
      <c r="C469" s="3" t="s">
        <v>136</v>
      </c>
      <c r="D469" s="5" t="s">
        <v>392</v>
      </c>
      <c r="E469" s="4" t="s">
        <v>560</v>
      </c>
      <c r="F469" s="6" t="s">
        <v>155</v>
      </c>
      <c r="H469" s="2" t="s">
        <v>17</v>
      </c>
      <c r="I469" s="3" t="s">
        <v>550</v>
      </c>
      <c r="J469" s="4" t="s">
        <v>138</v>
      </c>
      <c r="K469" s="4" t="s">
        <v>347</v>
      </c>
      <c r="L469" s="6" t="s">
        <v>595</v>
      </c>
      <c r="M469" s="5" t="s">
        <v>1695</v>
      </c>
      <c r="O469" s="180" t="s">
        <v>17</v>
      </c>
      <c r="P469" s="181" t="s">
        <v>154</v>
      </c>
      <c r="Q469" s="182" t="s">
        <v>310</v>
      </c>
      <c r="R469" s="184" t="s">
        <v>136</v>
      </c>
      <c r="S469" s="181" t="s">
        <v>25</v>
      </c>
      <c r="T469" s="183" t="s">
        <v>147</v>
      </c>
    </row>
    <row r="470" spans="1:20" x14ac:dyDescent="0.3">
      <c r="A470" s="2" t="s">
        <v>22</v>
      </c>
      <c r="B470" s="3" t="s">
        <v>257</v>
      </c>
      <c r="C470" s="5" t="s">
        <v>136</v>
      </c>
      <c r="D470" s="6" t="s">
        <v>268</v>
      </c>
      <c r="E470" s="3" t="s">
        <v>25</v>
      </c>
      <c r="F470" s="3" t="s">
        <v>25</v>
      </c>
      <c r="H470" s="2" t="s">
        <v>22</v>
      </c>
      <c r="I470" s="3" t="s">
        <v>25</v>
      </c>
      <c r="J470" s="3" t="s">
        <v>25</v>
      </c>
      <c r="K470" s="3" t="s">
        <v>25</v>
      </c>
      <c r="L470" s="3" t="s">
        <v>25</v>
      </c>
      <c r="M470" s="3" t="s">
        <v>25</v>
      </c>
      <c r="O470" s="180" t="s">
        <v>22</v>
      </c>
      <c r="P470" s="181" t="s">
        <v>25</v>
      </c>
      <c r="Q470" s="181" t="s">
        <v>25</v>
      </c>
      <c r="R470" s="181" t="s">
        <v>25</v>
      </c>
      <c r="S470" s="181" t="s">
        <v>25</v>
      </c>
      <c r="T470" s="181" t="s">
        <v>25</v>
      </c>
    </row>
    <row r="471" spans="1:20" x14ac:dyDescent="0.3">
      <c r="A471" s="7" t="s">
        <v>26</v>
      </c>
      <c r="B471" s="8">
        <v>297</v>
      </c>
      <c r="C471" s="8">
        <v>36</v>
      </c>
      <c r="D471" s="8">
        <v>95</v>
      </c>
      <c r="E471" s="8">
        <v>106</v>
      </c>
      <c r="F471" s="8">
        <v>60</v>
      </c>
      <c r="H471" s="7" t="s">
        <v>26</v>
      </c>
      <c r="I471" s="8">
        <v>115</v>
      </c>
      <c r="J471" s="8">
        <v>52</v>
      </c>
      <c r="K471" s="8">
        <v>66</v>
      </c>
      <c r="L471" s="8">
        <v>1</v>
      </c>
      <c r="M471" s="8">
        <v>48</v>
      </c>
      <c r="O471" s="185" t="s">
        <v>26</v>
      </c>
      <c r="P471" s="186">
        <v>283</v>
      </c>
      <c r="Q471" s="186">
        <v>71</v>
      </c>
      <c r="R471" s="186">
        <v>65</v>
      </c>
      <c r="S471" s="186">
        <v>67</v>
      </c>
      <c r="T471" s="186">
        <v>80</v>
      </c>
    </row>
    <row r="472" spans="1:20" x14ac:dyDescent="0.3">
      <c r="A472" s="9" t="s">
        <v>27</v>
      </c>
      <c r="B472" s="10">
        <v>57</v>
      </c>
      <c r="C472" s="10">
        <v>10</v>
      </c>
      <c r="D472" s="10">
        <v>25</v>
      </c>
      <c r="E472" s="10">
        <v>0</v>
      </c>
      <c r="F472" s="10">
        <v>22</v>
      </c>
      <c r="H472" s="9" t="s">
        <v>27</v>
      </c>
      <c r="I472" s="10">
        <v>18</v>
      </c>
      <c r="J472" s="10">
        <v>5</v>
      </c>
      <c r="K472" s="10">
        <v>7</v>
      </c>
      <c r="L472" s="10">
        <v>1</v>
      </c>
      <c r="M472" s="10">
        <v>10</v>
      </c>
      <c r="O472" s="187" t="s">
        <v>27</v>
      </c>
      <c r="P472" s="188">
        <v>42</v>
      </c>
      <c r="Q472" s="188">
        <v>11</v>
      </c>
      <c r="R472" s="188">
        <v>17</v>
      </c>
      <c r="S472" s="188">
        <v>4</v>
      </c>
      <c r="T472" s="188">
        <v>10</v>
      </c>
    </row>
    <row r="473" spans="1:20" x14ac:dyDescent="0.3">
      <c r="A473" s="9" t="s">
        <v>28</v>
      </c>
      <c r="B473" s="10">
        <v>3</v>
      </c>
      <c r="C473" s="10">
        <v>3</v>
      </c>
      <c r="D473" s="10">
        <v>0</v>
      </c>
      <c r="E473" s="10">
        <v>0</v>
      </c>
      <c r="F473" s="10">
        <v>0</v>
      </c>
      <c r="H473" s="9" t="s">
        <v>28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O473" s="187" t="s">
        <v>28</v>
      </c>
      <c r="P473" s="188">
        <v>2</v>
      </c>
      <c r="Q473" s="188">
        <v>2</v>
      </c>
      <c r="R473" s="188">
        <v>0</v>
      </c>
      <c r="S473" s="188">
        <v>0</v>
      </c>
      <c r="T473" s="188">
        <v>0</v>
      </c>
    </row>
    <row r="474" spans="1:20" x14ac:dyDescent="0.3">
      <c r="A474" s="9" t="s">
        <v>29</v>
      </c>
      <c r="B474" s="10">
        <v>218</v>
      </c>
      <c r="C474" s="10">
        <v>21</v>
      </c>
      <c r="D474" s="10">
        <v>61</v>
      </c>
      <c r="E474" s="10">
        <v>106</v>
      </c>
      <c r="F474" s="10">
        <v>30</v>
      </c>
      <c r="H474" s="9" t="s">
        <v>29</v>
      </c>
      <c r="I474" s="10">
        <v>94</v>
      </c>
      <c r="J474" s="10">
        <v>43</v>
      </c>
      <c r="K474" s="10">
        <v>58</v>
      </c>
      <c r="L474" s="10">
        <v>0</v>
      </c>
      <c r="M474" s="10">
        <v>36</v>
      </c>
      <c r="O474" s="187" t="s">
        <v>29</v>
      </c>
      <c r="P474" s="188">
        <v>226</v>
      </c>
      <c r="Q474" s="188">
        <v>52</v>
      </c>
      <c r="R474" s="188">
        <v>44</v>
      </c>
      <c r="S474" s="188">
        <v>60</v>
      </c>
      <c r="T474" s="188">
        <v>70</v>
      </c>
    </row>
    <row r="475" spans="1:20" x14ac:dyDescent="0.3">
      <c r="A475" s="9" t="s">
        <v>30</v>
      </c>
      <c r="B475" s="10">
        <v>19</v>
      </c>
      <c r="C475" s="10">
        <v>2</v>
      </c>
      <c r="D475" s="10">
        <v>9</v>
      </c>
      <c r="E475" s="10">
        <v>0</v>
      </c>
      <c r="F475" s="10">
        <v>8</v>
      </c>
      <c r="H475" s="9" t="s">
        <v>30</v>
      </c>
      <c r="I475" s="10">
        <v>3</v>
      </c>
      <c r="J475" s="10">
        <v>4</v>
      </c>
      <c r="K475" s="10">
        <v>1</v>
      </c>
      <c r="L475" s="10">
        <v>0</v>
      </c>
      <c r="M475" s="10">
        <v>2</v>
      </c>
      <c r="O475" s="187" t="s">
        <v>30</v>
      </c>
      <c r="P475" s="188">
        <v>13</v>
      </c>
      <c r="Q475" s="188">
        <v>6</v>
      </c>
      <c r="R475" s="188">
        <v>4</v>
      </c>
      <c r="S475" s="188">
        <v>3</v>
      </c>
      <c r="T475" s="188">
        <v>0</v>
      </c>
    </row>
    <row r="476" spans="1:20" x14ac:dyDescent="0.3">
      <c r="A476" s="9" t="s">
        <v>31</v>
      </c>
      <c r="B476" s="10">
        <v>0</v>
      </c>
      <c r="C476" s="10">
        <v>0</v>
      </c>
      <c r="D476" s="10">
        <v>0</v>
      </c>
      <c r="E476" s="10">
        <v>0</v>
      </c>
      <c r="F476" s="10">
        <v>0</v>
      </c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0</v>
      </c>
      <c r="Q476" s="188">
        <v>0</v>
      </c>
      <c r="R476" s="188">
        <v>0</v>
      </c>
      <c r="S476" s="188">
        <v>0</v>
      </c>
      <c r="T476" s="188">
        <v>0</v>
      </c>
    </row>
    <row r="477" spans="1:20" x14ac:dyDescent="0.3">
      <c r="A477" s="11" t="s">
        <v>32</v>
      </c>
      <c r="B477" s="12">
        <v>103</v>
      </c>
      <c r="C477" s="12">
        <v>1</v>
      </c>
      <c r="D477" s="12">
        <v>56</v>
      </c>
      <c r="E477" s="12">
        <v>22</v>
      </c>
      <c r="F477" s="12">
        <v>24</v>
      </c>
      <c r="H477" s="11" t="s">
        <v>32</v>
      </c>
      <c r="I477" s="12">
        <v>88</v>
      </c>
      <c r="J477" s="12">
        <v>1</v>
      </c>
      <c r="K477" s="12">
        <v>3</v>
      </c>
      <c r="L477" s="12">
        <v>3</v>
      </c>
      <c r="M477" s="12">
        <v>82</v>
      </c>
      <c r="O477" s="189" t="s">
        <v>32</v>
      </c>
      <c r="P477" s="190">
        <v>7</v>
      </c>
      <c r="Q477" s="190">
        <v>2</v>
      </c>
      <c r="R477" s="190">
        <v>2</v>
      </c>
      <c r="S477" s="190">
        <v>0</v>
      </c>
      <c r="T477" s="190">
        <v>3</v>
      </c>
    </row>
    <row r="478" spans="1:20" x14ac:dyDescent="0.3">
      <c r="A478" s="13" t="s">
        <v>33</v>
      </c>
      <c r="B478" s="14">
        <v>35</v>
      </c>
      <c r="C478" s="14">
        <v>0</v>
      </c>
      <c r="D478" s="14">
        <v>34</v>
      </c>
      <c r="E478" s="14">
        <v>1</v>
      </c>
      <c r="F478" s="14">
        <v>0</v>
      </c>
      <c r="H478" s="13" t="s">
        <v>33</v>
      </c>
      <c r="I478" s="14">
        <v>80</v>
      </c>
      <c r="J478" s="14">
        <v>0</v>
      </c>
      <c r="K478" s="14">
        <v>0</v>
      </c>
      <c r="L478" s="14">
        <v>1</v>
      </c>
      <c r="M478" s="14">
        <v>79</v>
      </c>
      <c r="O478" s="191" t="s">
        <v>33</v>
      </c>
      <c r="P478" s="192">
        <v>7</v>
      </c>
      <c r="Q478" s="192">
        <v>2</v>
      </c>
      <c r="R478" s="192">
        <v>2</v>
      </c>
      <c r="S478" s="192">
        <v>0</v>
      </c>
      <c r="T478" s="192">
        <v>3</v>
      </c>
    </row>
    <row r="479" spans="1:20" x14ac:dyDescent="0.3">
      <c r="A479" s="13" t="s">
        <v>34</v>
      </c>
      <c r="B479" s="14">
        <v>68</v>
      </c>
      <c r="C479" s="14">
        <v>1</v>
      </c>
      <c r="D479" s="14">
        <v>22</v>
      </c>
      <c r="E479" s="14">
        <v>21</v>
      </c>
      <c r="F479" s="14">
        <v>24</v>
      </c>
      <c r="H479" s="13" t="s">
        <v>34</v>
      </c>
      <c r="I479" s="14">
        <v>8</v>
      </c>
      <c r="J479" s="14">
        <v>1</v>
      </c>
      <c r="K479" s="14">
        <v>3</v>
      </c>
      <c r="L479" s="14">
        <v>2</v>
      </c>
      <c r="M479" s="14">
        <v>3</v>
      </c>
      <c r="O479" s="191" t="s">
        <v>34</v>
      </c>
      <c r="P479" s="192">
        <v>0</v>
      </c>
      <c r="Q479" s="192">
        <v>0</v>
      </c>
      <c r="R479" s="192">
        <v>0</v>
      </c>
      <c r="S479" s="192">
        <v>0</v>
      </c>
      <c r="T479" s="192">
        <v>0</v>
      </c>
    </row>
    <row r="480" spans="1:20" x14ac:dyDescent="0.3">
      <c r="A480" s="15" t="s">
        <v>35</v>
      </c>
      <c r="B480" s="16">
        <v>2</v>
      </c>
      <c r="C480" s="16">
        <v>1</v>
      </c>
      <c r="D480" s="16">
        <v>1</v>
      </c>
      <c r="E480" s="16">
        <v>0</v>
      </c>
      <c r="F480" s="16">
        <v>0</v>
      </c>
      <c r="H480" s="15" t="s">
        <v>35</v>
      </c>
      <c r="I480" s="16">
        <v>0</v>
      </c>
      <c r="J480" s="16">
        <v>0</v>
      </c>
      <c r="K480" s="16">
        <v>0</v>
      </c>
      <c r="L480" s="16">
        <v>0</v>
      </c>
      <c r="M480" s="16">
        <v>0</v>
      </c>
      <c r="O480" s="193" t="s">
        <v>35</v>
      </c>
      <c r="P480" s="194">
        <v>0</v>
      </c>
      <c r="Q480" s="194">
        <v>0</v>
      </c>
      <c r="R480" s="194">
        <v>0</v>
      </c>
      <c r="S480" s="194">
        <v>0</v>
      </c>
      <c r="T480" s="194">
        <v>0</v>
      </c>
    </row>
    <row r="481" spans="1:20" x14ac:dyDescent="0.3">
      <c r="A481" s="17" t="s">
        <v>36</v>
      </c>
      <c r="B481" s="55">
        <v>1</v>
      </c>
      <c r="C481" s="55">
        <v>0</v>
      </c>
      <c r="D481" s="55">
        <v>1</v>
      </c>
      <c r="E481" s="55">
        <v>0</v>
      </c>
      <c r="F481" s="55">
        <v>0</v>
      </c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  <c r="O481" s="195" t="s">
        <v>36</v>
      </c>
      <c r="P481" s="196">
        <v>0</v>
      </c>
      <c r="Q481" s="196">
        <v>0</v>
      </c>
      <c r="R481" s="196">
        <v>0</v>
      </c>
      <c r="S481" s="196">
        <v>0</v>
      </c>
      <c r="T481" s="196">
        <v>0</v>
      </c>
    </row>
    <row r="482" spans="1:20" x14ac:dyDescent="0.3">
      <c r="A482" s="17" t="s">
        <v>37</v>
      </c>
      <c r="B482" s="55">
        <v>2</v>
      </c>
      <c r="C482" s="55">
        <v>1</v>
      </c>
      <c r="D482" s="55">
        <v>1</v>
      </c>
      <c r="E482" s="55">
        <v>0</v>
      </c>
      <c r="F482" s="55">
        <v>0</v>
      </c>
      <c r="H482" s="17" t="s">
        <v>37</v>
      </c>
      <c r="I482" s="109">
        <v>0</v>
      </c>
      <c r="J482" s="109">
        <v>0</v>
      </c>
      <c r="K482" s="109">
        <v>0</v>
      </c>
      <c r="L482" s="109">
        <v>0</v>
      </c>
      <c r="M482" s="109">
        <v>0</v>
      </c>
      <c r="O482" s="195" t="s">
        <v>37</v>
      </c>
      <c r="P482" s="196">
        <v>0</v>
      </c>
      <c r="Q482" s="196">
        <v>0</v>
      </c>
      <c r="R482" s="196">
        <v>0</v>
      </c>
      <c r="S482" s="196">
        <v>0</v>
      </c>
      <c r="T482" s="196">
        <v>0</v>
      </c>
    </row>
    <row r="483" spans="1:20" x14ac:dyDescent="0.3">
      <c r="A483" s="17" t="s">
        <v>38</v>
      </c>
      <c r="B483" s="167" t="s">
        <v>1055</v>
      </c>
      <c r="C483" s="168"/>
      <c r="D483" s="168"/>
      <c r="E483" s="168"/>
      <c r="F483" s="168"/>
      <c r="H483" s="17" t="s">
        <v>38</v>
      </c>
      <c r="I483" s="172" t="s">
        <v>1696</v>
      </c>
      <c r="J483" s="173"/>
      <c r="K483" s="173"/>
      <c r="L483" s="173"/>
      <c r="M483" s="173"/>
      <c r="O483" s="195" t="s">
        <v>38</v>
      </c>
      <c r="P483" s="167" t="s">
        <v>667</v>
      </c>
      <c r="Q483" s="168"/>
      <c r="R483" s="168"/>
      <c r="S483" s="168"/>
      <c r="T483" s="168"/>
    </row>
    <row r="484" spans="1:20" ht="19.8" x14ac:dyDescent="0.3">
      <c r="A484" s="171">
        <v>46109</v>
      </c>
      <c r="B484" s="174"/>
      <c r="C484" s="174"/>
      <c r="D484" s="174"/>
      <c r="E484" s="174"/>
      <c r="F484" s="174"/>
      <c r="H484" s="171">
        <v>46140</v>
      </c>
      <c r="I484" s="171"/>
      <c r="J484" s="171"/>
      <c r="K484" s="171"/>
      <c r="L484" s="171"/>
      <c r="M484" s="171"/>
    </row>
    <row r="485" spans="1:20" x14ac:dyDescent="0.3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40</v>
      </c>
      <c r="F485" s="1" t="s">
        <v>4</v>
      </c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1:20" x14ac:dyDescent="0.3">
      <c r="A486" s="2" t="s">
        <v>5</v>
      </c>
      <c r="B486" s="3">
        <v>5128</v>
      </c>
      <c r="C486" s="3">
        <v>1676</v>
      </c>
      <c r="D486" s="3">
        <v>1606</v>
      </c>
      <c r="E486" s="3">
        <v>1520</v>
      </c>
      <c r="F486" s="3">
        <v>326</v>
      </c>
      <c r="H486" s="2" t="s">
        <v>5</v>
      </c>
      <c r="I486" s="3">
        <f>J486+K486+L486+M486</f>
        <v>6839</v>
      </c>
      <c r="J486" s="3">
        <v>2015</v>
      </c>
      <c r="K486" s="3">
        <v>2271</v>
      </c>
      <c r="L486" s="3">
        <v>400</v>
      </c>
      <c r="M486" s="3">
        <v>2153</v>
      </c>
    </row>
    <row r="487" spans="1:20" x14ac:dyDescent="0.3">
      <c r="A487" s="2" t="s">
        <v>6</v>
      </c>
      <c r="B487" s="3">
        <v>546</v>
      </c>
      <c r="C487" s="4">
        <v>79</v>
      </c>
      <c r="D487" s="5">
        <v>268</v>
      </c>
      <c r="E487" s="6">
        <v>187</v>
      </c>
      <c r="F487" s="3">
        <v>12</v>
      </c>
      <c r="H487" s="2" t="s">
        <v>6</v>
      </c>
      <c r="I487" s="3">
        <f>J487+K487+L487+M487</f>
        <v>997</v>
      </c>
      <c r="J487" s="5">
        <v>363</v>
      </c>
      <c r="K487" s="5">
        <v>323</v>
      </c>
      <c r="L487" s="4">
        <v>5</v>
      </c>
      <c r="M487" s="6">
        <v>306</v>
      </c>
    </row>
    <row r="488" spans="1:20" x14ac:dyDescent="0.3">
      <c r="A488" s="2" t="s">
        <v>7</v>
      </c>
      <c r="B488" s="3" t="s">
        <v>1088</v>
      </c>
      <c r="C488" s="4" t="s">
        <v>1089</v>
      </c>
      <c r="D488" s="5" t="s">
        <v>1090</v>
      </c>
      <c r="E488" s="6" t="s">
        <v>1091</v>
      </c>
      <c r="F488" s="3" t="s">
        <v>502</v>
      </c>
      <c r="H488" s="2" t="s">
        <v>7</v>
      </c>
      <c r="I488" s="48">
        <f>I487/I486</f>
        <v>0.14578154700979676</v>
      </c>
      <c r="J488" s="5" t="s">
        <v>1713</v>
      </c>
      <c r="K488" s="5" t="s">
        <v>1709</v>
      </c>
      <c r="L488" s="4" t="s">
        <v>476</v>
      </c>
      <c r="M488" s="6" t="s">
        <v>555</v>
      </c>
    </row>
    <row r="489" spans="1:20" x14ac:dyDescent="0.3">
      <c r="A489" s="2" t="s">
        <v>12</v>
      </c>
      <c r="B489" s="3" t="s">
        <v>1092</v>
      </c>
      <c r="C489" s="6" t="s">
        <v>1093</v>
      </c>
      <c r="D489" s="4" t="s">
        <v>1094</v>
      </c>
      <c r="E489" s="5" t="s">
        <v>556</v>
      </c>
      <c r="F489" s="3" t="s">
        <v>130</v>
      </c>
      <c r="H489" s="2" t="s">
        <v>12</v>
      </c>
      <c r="I489" s="48">
        <f>I492/I486</f>
        <v>5.2346834332504755E-2</v>
      </c>
      <c r="J489" s="6" t="s">
        <v>1607</v>
      </c>
      <c r="K489" s="5" t="s">
        <v>283</v>
      </c>
      <c r="L489" s="4" t="s">
        <v>50</v>
      </c>
      <c r="M489" s="6" t="s">
        <v>1710</v>
      </c>
    </row>
    <row r="490" spans="1:20" x14ac:dyDescent="0.3">
      <c r="A490" s="2" t="s">
        <v>17</v>
      </c>
      <c r="B490" s="3" t="s">
        <v>695</v>
      </c>
      <c r="C490" s="6" t="s">
        <v>416</v>
      </c>
      <c r="D490" s="5" t="s">
        <v>333</v>
      </c>
      <c r="E490" s="4" t="s">
        <v>418</v>
      </c>
      <c r="F490" s="3" t="s">
        <v>74</v>
      </c>
      <c r="H490" s="2" t="s">
        <v>17</v>
      </c>
      <c r="I490" s="48">
        <f>I498/I486</f>
        <v>5.7464541599649074E-2</v>
      </c>
      <c r="J490" s="5" t="s">
        <v>1201</v>
      </c>
      <c r="K490" s="6" t="s">
        <v>969</v>
      </c>
      <c r="L490" s="4" t="s">
        <v>44</v>
      </c>
      <c r="M490" s="5" t="s">
        <v>498</v>
      </c>
    </row>
    <row r="491" spans="1:20" x14ac:dyDescent="0.3">
      <c r="A491" s="2" t="s">
        <v>22</v>
      </c>
      <c r="B491" s="3" t="s">
        <v>25</v>
      </c>
      <c r="C491" s="3" t="s">
        <v>25</v>
      </c>
      <c r="D491" s="3" t="s">
        <v>25</v>
      </c>
      <c r="E491" s="3" t="s">
        <v>25</v>
      </c>
      <c r="F491" s="3" t="s">
        <v>25</v>
      </c>
      <c r="H491" s="2" t="s">
        <v>22</v>
      </c>
      <c r="I491" s="48" t="s">
        <v>25</v>
      </c>
      <c r="J491" s="3" t="s">
        <v>25</v>
      </c>
      <c r="K491" s="3" t="s">
        <v>25</v>
      </c>
      <c r="L491" s="3" t="s">
        <v>25</v>
      </c>
      <c r="M491" s="3" t="s">
        <v>25</v>
      </c>
    </row>
    <row r="492" spans="1:20" x14ac:dyDescent="0.3">
      <c r="A492" s="7" t="s">
        <v>26</v>
      </c>
      <c r="B492" s="8">
        <v>324</v>
      </c>
      <c r="C492" s="8">
        <v>67</v>
      </c>
      <c r="D492" s="8">
        <v>60</v>
      </c>
      <c r="E492" s="8">
        <v>186</v>
      </c>
      <c r="F492" s="8">
        <v>11</v>
      </c>
      <c r="H492" s="7" t="s">
        <v>26</v>
      </c>
      <c r="I492" s="8">
        <v>358</v>
      </c>
      <c r="J492" s="8">
        <v>246</v>
      </c>
      <c r="K492" s="8">
        <v>187</v>
      </c>
      <c r="L492" s="8">
        <v>2</v>
      </c>
      <c r="M492" s="8">
        <v>169</v>
      </c>
    </row>
    <row r="493" spans="1:20" x14ac:dyDescent="0.3">
      <c r="A493" s="9" t="s">
        <v>27</v>
      </c>
      <c r="B493" s="10">
        <v>21</v>
      </c>
      <c r="C493" s="10">
        <v>11</v>
      </c>
      <c r="D493" s="10">
        <v>8</v>
      </c>
      <c r="E493" s="10">
        <v>1</v>
      </c>
      <c r="F493" s="10">
        <v>1</v>
      </c>
      <c r="H493" s="9" t="s">
        <v>27</v>
      </c>
      <c r="I493" s="10">
        <v>75</v>
      </c>
      <c r="J493" s="10">
        <v>56</v>
      </c>
      <c r="K493" s="10">
        <v>47</v>
      </c>
      <c r="L493" s="10">
        <v>1</v>
      </c>
      <c r="M493" s="10">
        <v>27</v>
      </c>
    </row>
    <row r="494" spans="1:20" x14ac:dyDescent="0.3">
      <c r="A494" s="9" t="s">
        <v>28</v>
      </c>
      <c r="B494" s="10">
        <v>7</v>
      </c>
      <c r="C494" s="10">
        <v>7</v>
      </c>
      <c r="D494" s="10">
        <v>0</v>
      </c>
      <c r="E494" s="10">
        <v>0</v>
      </c>
      <c r="F494" s="10">
        <v>0</v>
      </c>
      <c r="H494" s="9" t="s">
        <v>28</v>
      </c>
      <c r="I494" s="10">
        <v>6</v>
      </c>
      <c r="J494" s="10">
        <v>4</v>
      </c>
      <c r="K494" s="10">
        <v>3</v>
      </c>
      <c r="L494" s="10">
        <v>0</v>
      </c>
      <c r="M494" s="10">
        <v>3</v>
      </c>
    </row>
    <row r="495" spans="1:20" x14ac:dyDescent="0.3">
      <c r="A495" s="9" t="s">
        <v>29</v>
      </c>
      <c r="B495" s="10">
        <v>285</v>
      </c>
      <c r="C495" s="10">
        <v>43</v>
      </c>
      <c r="D495" s="10">
        <v>48</v>
      </c>
      <c r="E495" s="10">
        <v>185</v>
      </c>
      <c r="F495" s="10">
        <v>9</v>
      </c>
      <c r="H495" s="9" t="s">
        <v>29</v>
      </c>
      <c r="I495" s="10">
        <v>181</v>
      </c>
      <c r="J495" s="10">
        <v>116</v>
      </c>
      <c r="K495" s="10">
        <v>89</v>
      </c>
      <c r="L495" s="10">
        <v>0</v>
      </c>
      <c r="M495" s="10">
        <v>92</v>
      </c>
    </row>
    <row r="496" spans="1:20" x14ac:dyDescent="0.3">
      <c r="A496" s="9" t="s">
        <v>30</v>
      </c>
      <c r="B496" s="10">
        <v>11</v>
      </c>
      <c r="C496" s="10">
        <v>6</v>
      </c>
      <c r="D496" s="10">
        <v>4</v>
      </c>
      <c r="E496" s="10">
        <v>0</v>
      </c>
      <c r="F496" s="10">
        <v>1</v>
      </c>
      <c r="H496" s="9" t="s">
        <v>30</v>
      </c>
      <c r="I496" s="10">
        <v>96</v>
      </c>
      <c r="J496" s="10">
        <v>70</v>
      </c>
      <c r="K496" s="10">
        <v>48</v>
      </c>
      <c r="L496" s="10">
        <v>1</v>
      </c>
      <c r="M496" s="10">
        <v>47</v>
      </c>
    </row>
    <row r="497" spans="1:13" x14ac:dyDescent="0.3">
      <c r="A497" s="9" t="s">
        <v>31</v>
      </c>
      <c r="B497" s="10">
        <v>0</v>
      </c>
      <c r="C497" s="10">
        <v>0</v>
      </c>
      <c r="D497" s="10">
        <v>0</v>
      </c>
      <c r="E497" s="10">
        <v>0</v>
      </c>
      <c r="F497" s="10">
        <v>0</v>
      </c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3">
      <c r="A498" s="11" t="s">
        <v>32</v>
      </c>
      <c r="B498" s="12">
        <v>152</v>
      </c>
      <c r="C498" s="12">
        <v>11</v>
      </c>
      <c r="D498" s="12">
        <v>135</v>
      </c>
      <c r="E498" s="12">
        <v>5</v>
      </c>
      <c r="F498" s="12">
        <v>1</v>
      </c>
      <c r="H498" s="11" t="s">
        <v>32</v>
      </c>
      <c r="I498" s="12">
        <f>J498+K498+L498+M498</f>
        <v>393</v>
      </c>
      <c r="J498" s="12">
        <v>117</v>
      </c>
      <c r="K498" s="12">
        <v>136</v>
      </c>
      <c r="L498" s="12">
        <v>3</v>
      </c>
      <c r="M498" s="12">
        <v>137</v>
      </c>
    </row>
    <row r="499" spans="1:13" x14ac:dyDescent="0.3">
      <c r="A499" s="13" t="s">
        <v>33</v>
      </c>
      <c r="B499" s="14">
        <v>130</v>
      </c>
      <c r="C499" s="14">
        <v>0</v>
      </c>
      <c r="D499" s="14">
        <v>130</v>
      </c>
      <c r="E499" s="14">
        <v>0</v>
      </c>
      <c r="F499" s="14">
        <v>0</v>
      </c>
      <c r="H499" s="13" t="s">
        <v>33</v>
      </c>
      <c r="I499" s="14">
        <f>J499+K499+L499+M499</f>
        <v>3</v>
      </c>
      <c r="J499" s="14">
        <v>3</v>
      </c>
      <c r="K499" s="14">
        <v>0</v>
      </c>
      <c r="L499" s="14">
        <v>0</v>
      </c>
      <c r="M499" s="14">
        <v>0</v>
      </c>
    </row>
    <row r="500" spans="1:13" x14ac:dyDescent="0.3">
      <c r="A500" s="13" t="s">
        <v>34</v>
      </c>
      <c r="B500" s="14">
        <v>22</v>
      </c>
      <c r="C500" s="14">
        <v>11</v>
      </c>
      <c r="D500" s="14">
        <v>5</v>
      </c>
      <c r="E500" s="14">
        <v>5</v>
      </c>
      <c r="F500" s="14">
        <v>1</v>
      </c>
      <c r="H500" s="13" t="s">
        <v>34</v>
      </c>
      <c r="I500" s="14">
        <f>J500+K500+L500+M500</f>
        <v>390</v>
      </c>
      <c r="J500" s="14">
        <v>114</v>
      </c>
      <c r="K500" s="14">
        <v>136</v>
      </c>
      <c r="L500" s="14">
        <v>3</v>
      </c>
      <c r="M500" s="14">
        <v>137</v>
      </c>
    </row>
    <row r="501" spans="1:13" x14ac:dyDescent="0.3">
      <c r="A501" s="15" t="s">
        <v>35</v>
      </c>
      <c r="B501" s="16">
        <v>0</v>
      </c>
      <c r="C501" s="16">
        <v>0</v>
      </c>
      <c r="D501" s="16">
        <v>0</v>
      </c>
      <c r="E501" s="16">
        <v>0</v>
      </c>
      <c r="F501" s="16">
        <v>0</v>
      </c>
      <c r="H501" s="15" t="s">
        <v>35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</row>
    <row r="502" spans="1:13" x14ac:dyDescent="0.3">
      <c r="A502" s="17" t="s">
        <v>36</v>
      </c>
      <c r="B502" s="55">
        <v>0</v>
      </c>
      <c r="C502" s="55">
        <v>0</v>
      </c>
      <c r="D502" s="55">
        <v>0</v>
      </c>
      <c r="E502" s="55">
        <v>0</v>
      </c>
      <c r="F502" s="55">
        <v>0</v>
      </c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1:13" x14ac:dyDescent="0.3">
      <c r="A503" s="17" t="s">
        <v>37</v>
      </c>
      <c r="B503" s="55">
        <v>0</v>
      </c>
      <c r="C503" s="55">
        <v>0</v>
      </c>
      <c r="D503" s="55">
        <v>0</v>
      </c>
      <c r="E503" s="55">
        <v>0</v>
      </c>
      <c r="F503" s="55">
        <v>0</v>
      </c>
      <c r="H503" s="17" t="s">
        <v>37</v>
      </c>
      <c r="I503" s="109">
        <v>0</v>
      </c>
      <c r="J503" s="109">
        <v>0</v>
      </c>
      <c r="K503" s="109">
        <v>0</v>
      </c>
      <c r="L503" s="109">
        <v>0</v>
      </c>
      <c r="M503" s="109">
        <v>0</v>
      </c>
    </row>
    <row r="504" spans="1:13" x14ac:dyDescent="0.3">
      <c r="A504" s="17" t="s">
        <v>38</v>
      </c>
      <c r="B504" s="167" t="s">
        <v>1095</v>
      </c>
      <c r="C504" s="168"/>
      <c r="D504" s="168"/>
      <c r="E504" s="168"/>
      <c r="F504" s="168"/>
      <c r="H504" s="17" t="s">
        <v>38</v>
      </c>
      <c r="I504" s="172" t="s">
        <v>1711</v>
      </c>
      <c r="J504" s="173"/>
      <c r="K504" s="173"/>
      <c r="L504" s="173"/>
      <c r="M504" s="173"/>
    </row>
    <row r="505" spans="1:13" ht="19.8" x14ac:dyDescent="0.3">
      <c r="A505" s="170">
        <v>46111</v>
      </c>
      <c r="B505" s="168"/>
      <c r="C505" s="168"/>
      <c r="D505" s="168"/>
      <c r="E505" s="168"/>
      <c r="F505" s="168"/>
      <c r="H505" s="171">
        <v>46141</v>
      </c>
      <c r="I505" s="171"/>
      <c r="J505" s="171"/>
      <c r="K505" s="171"/>
      <c r="L505" s="171"/>
      <c r="M505" s="171"/>
    </row>
    <row r="506" spans="1:13" x14ac:dyDescent="0.3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40</v>
      </c>
      <c r="F506" s="1" t="s">
        <v>4</v>
      </c>
      <c r="H506" s="1" t="s">
        <v>0</v>
      </c>
      <c r="I506" s="1" t="s">
        <v>1</v>
      </c>
      <c r="J506" s="1" t="s">
        <v>2</v>
      </c>
      <c r="K506" s="1" t="s">
        <v>3</v>
      </c>
      <c r="L506" s="1" t="s">
        <v>40</v>
      </c>
      <c r="M506" s="1" t="s">
        <v>4</v>
      </c>
    </row>
    <row r="507" spans="1:13" x14ac:dyDescent="0.3">
      <c r="A507" s="2" t="s">
        <v>5</v>
      </c>
      <c r="B507" s="3">
        <v>3786</v>
      </c>
      <c r="C507" s="3">
        <v>1318</v>
      </c>
      <c r="D507" s="3">
        <v>1307</v>
      </c>
      <c r="E507" s="3">
        <v>1146</v>
      </c>
      <c r="F507" s="3">
        <v>15</v>
      </c>
      <c r="H507" s="2" t="s">
        <v>5</v>
      </c>
      <c r="I507" s="3">
        <v>4334</v>
      </c>
      <c r="J507" s="3">
        <v>1981</v>
      </c>
      <c r="K507" s="3">
        <v>1916</v>
      </c>
      <c r="L507" s="3">
        <v>850</v>
      </c>
      <c r="M507" s="3">
        <v>1568</v>
      </c>
    </row>
    <row r="508" spans="1:13" x14ac:dyDescent="0.3">
      <c r="A508" s="2" t="s">
        <v>6</v>
      </c>
      <c r="B508" s="3">
        <v>606</v>
      </c>
      <c r="C508" s="6">
        <v>239</v>
      </c>
      <c r="D508" s="5">
        <v>338</v>
      </c>
      <c r="E508" s="4">
        <v>29</v>
      </c>
      <c r="F508" s="3">
        <v>0</v>
      </c>
      <c r="H508" s="2" t="s">
        <v>6</v>
      </c>
      <c r="I508" s="3">
        <v>606</v>
      </c>
      <c r="J508" s="6">
        <v>319</v>
      </c>
      <c r="K508" s="5">
        <v>337</v>
      </c>
      <c r="L508" s="4">
        <v>32</v>
      </c>
      <c r="M508" s="6">
        <v>237</v>
      </c>
    </row>
    <row r="509" spans="1:13" x14ac:dyDescent="0.3">
      <c r="A509" s="2" t="s">
        <v>7</v>
      </c>
      <c r="B509" s="3" t="s">
        <v>1134</v>
      </c>
      <c r="C509" s="6" t="s">
        <v>1135</v>
      </c>
      <c r="D509" s="5" t="s">
        <v>1136</v>
      </c>
      <c r="E509" s="4" t="s">
        <v>1137</v>
      </c>
      <c r="F509" s="3" t="s">
        <v>25</v>
      </c>
      <c r="H509" s="2" t="s">
        <v>7</v>
      </c>
      <c r="I509" s="3" t="s">
        <v>698</v>
      </c>
      <c r="J509" s="6" t="s">
        <v>1755</v>
      </c>
      <c r="K509" s="5" t="s">
        <v>1752</v>
      </c>
      <c r="L509" s="4" t="s">
        <v>579</v>
      </c>
      <c r="M509" s="6" t="s">
        <v>1324</v>
      </c>
    </row>
    <row r="510" spans="1:13" x14ac:dyDescent="0.3">
      <c r="A510" s="2" t="s">
        <v>12</v>
      </c>
      <c r="B510" s="3" t="s">
        <v>604</v>
      </c>
      <c r="C510" s="5" t="s">
        <v>1014</v>
      </c>
      <c r="D510" s="6" t="s">
        <v>1138</v>
      </c>
      <c r="E510" s="4" t="s">
        <v>1137</v>
      </c>
      <c r="F510" s="3" t="s">
        <v>25</v>
      </c>
      <c r="H510" s="2" t="s">
        <v>12</v>
      </c>
      <c r="I510" s="3" t="s">
        <v>1300</v>
      </c>
      <c r="J510" s="6" t="s">
        <v>1377</v>
      </c>
      <c r="K510" s="5" t="s">
        <v>1035</v>
      </c>
      <c r="L510" s="4" t="s">
        <v>148</v>
      </c>
      <c r="M510" s="6" t="s">
        <v>1753</v>
      </c>
    </row>
    <row r="511" spans="1:13" x14ac:dyDescent="0.3">
      <c r="A511" s="2" t="s">
        <v>17</v>
      </c>
      <c r="B511" s="3" t="s">
        <v>865</v>
      </c>
      <c r="C511" s="6" t="s">
        <v>1139</v>
      </c>
      <c r="D511" s="5" t="s">
        <v>1140</v>
      </c>
      <c r="E511" s="4" t="s">
        <v>591</v>
      </c>
      <c r="F511" s="3" t="s">
        <v>25</v>
      </c>
      <c r="H511" s="2" t="s">
        <v>17</v>
      </c>
      <c r="I511" s="3" t="s">
        <v>495</v>
      </c>
      <c r="J511" s="6" t="s">
        <v>570</v>
      </c>
      <c r="K511" s="6" t="s">
        <v>640</v>
      </c>
      <c r="L511" s="4" t="s">
        <v>692</v>
      </c>
      <c r="M511" s="5" t="s">
        <v>868</v>
      </c>
    </row>
    <row r="512" spans="1:13" x14ac:dyDescent="0.3">
      <c r="A512" s="2" t="s">
        <v>22</v>
      </c>
      <c r="B512" s="3" t="s">
        <v>25</v>
      </c>
      <c r="C512" s="3" t="s">
        <v>25</v>
      </c>
      <c r="D512" s="3" t="s">
        <v>25</v>
      </c>
      <c r="E512" s="3" t="s">
        <v>25</v>
      </c>
      <c r="F512" s="3" t="s">
        <v>25</v>
      </c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  <c r="M512" s="3" t="s">
        <v>25</v>
      </c>
    </row>
    <row r="513" spans="1:13" x14ac:dyDescent="0.3">
      <c r="A513" s="7" t="s">
        <v>26</v>
      </c>
      <c r="B513" s="8">
        <v>235</v>
      </c>
      <c r="C513" s="8">
        <v>104</v>
      </c>
      <c r="D513" s="8">
        <v>102</v>
      </c>
      <c r="E513" s="8">
        <v>29</v>
      </c>
      <c r="F513" s="8">
        <v>0</v>
      </c>
      <c r="H513" s="7" t="s">
        <v>26</v>
      </c>
      <c r="I513" s="8">
        <v>437</v>
      </c>
      <c r="J513" s="8">
        <v>233</v>
      </c>
      <c r="K513" s="8">
        <v>261</v>
      </c>
      <c r="L513" s="8">
        <v>4</v>
      </c>
      <c r="M513" s="8">
        <v>172</v>
      </c>
    </row>
    <row r="514" spans="1:13" x14ac:dyDescent="0.3">
      <c r="A514" s="9" t="s">
        <v>27</v>
      </c>
      <c r="B514" s="10">
        <v>8</v>
      </c>
      <c r="C514" s="10">
        <v>2</v>
      </c>
      <c r="D514" s="10">
        <v>5</v>
      </c>
      <c r="E514" s="10">
        <v>1</v>
      </c>
      <c r="F514" s="10">
        <v>0</v>
      </c>
      <c r="H514" s="9" t="s">
        <v>27</v>
      </c>
      <c r="I514" s="10">
        <v>136</v>
      </c>
      <c r="J514" s="10">
        <v>61</v>
      </c>
      <c r="K514" s="10">
        <v>86</v>
      </c>
      <c r="L514" s="10">
        <v>1</v>
      </c>
      <c r="M514" s="10">
        <v>49</v>
      </c>
    </row>
    <row r="515" spans="1:13" x14ac:dyDescent="0.3">
      <c r="A515" s="9" t="s">
        <v>28</v>
      </c>
      <c r="B515" s="10">
        <v>0</v>
      </c>
      <c r="C515" s="10">
        <v>0</v>
      </c>
      <c r="D515" s="10">
        <v>0</v>
      </c>
      <c r="E515" s="10">
        <v>0</v>
      </c>
      <c r="F515" s="10">
        <v>0</v>
      </c>
      <c r="H515" s="9" t="s">
        <v>28</v>
      </c>
      <c r="I515" s="10">
        <v>3</v>
      </c>
      <c r="J515" s="10">
        <v>4</v>
      </c>
      <c r="K515" s="10">
        <v>1</v>
      </c>
      <c r="L515" s="10">
        <v>0</v>
      </c>
      <c r="M515" s="10">
        <v>2</v>
      </c>
    </row>
    <row r="516" spans="1:13" x14ac:dyDescent="0.3">
      <c r="A516" s="9" t="s">
        <v>29</v>
      </c>
      <c r="B516" s="10">
        <v>221</v>
      </c>
      <c r="C516" s="10">
        <v>98</v>
      </c>
      <c r="D516" s="10">
        <v>95</v>
      </c>
      <c r="E516" s="10">
        <v>28</v>
      </c>
      <c r="F516" s="10">
        <v>0</v>
      </c>
      <c r="H516" s="9" t="s">
        <v>29</v>
      </c>
      <c r="I516" s="10">
        <v>180</v>
      </c>
      <c r="J516" s="10">
        <v>89</v>
      </c>
      <c r="K516" s="10">
        <v>104</v>
      </c>
      <c r="L516" s="10">
        <v>0</v>
      </c>
      <c r="M516" s="10">
        <v>76</v>
      </c>
    </row>
    <row r="517" spans="1:13" x14ac:dyDescent="0.3">
      <c r="A517" s="9" t="s">
        <v>30</v>
      </c>
      <c r="B517" s="10">
        <v>6</v>
      </c>
      <c r="C517" s="10">
        <v>4</v>
      </c>
      <c r="D517" s="10">
        <v>2</v>
      </c>
      <c r="E517" s="10">
        <v>0</v>
      </c>
      <c r="F517" s="10">
        <v>0</v>
      </c>
      <c r="H517" s="9" t="s">
        <v>30</v>
      </c>
      <c r="I517" s="10">
        <v>118</v>
      </c>
      <c r="J517" s="10">
        <v>79</v>
      </c>
      <c r="K517" s="10">
        <v>70</v>
      </c>
      <c r="L517" s="10">
        <v>3</v>
      </c>
      <c r="M517" s="10">
        <v>45</v>
      </c>
    </row>
    <row r="518" spans="1:13" x14ac:dyDescent="0.3">
      <c r="A518" s="9" t="s">
        <v>31</v>
      </c>
      <c r="B518" s="10">
        <v>0</v>
      </c>
      <c r="C518" s="10">
        <v>0</v>
      </c>
      <c r="D518" s="10">
        <v>0</v>
      </c>
      <c r="E518" s="10">
        <v>0</v>
      </c>
      <c r="F518" s="10">
        <v>0</v>
      </c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</row>
    <row r="519" spans="1:13" x14ac:dyDescent="0.3">
      <c r="A519" s="11" t="s">
        <v>32</v>
      </c>
      <c r="B519" s="12">
        <v>258</v>
      </c>
      <c r="C519" s="12">
        <v>84</v>
      </c>
      <c r="D519" s="12">
        <v>168</v>
      </c>
      <c r="E519" s="12">
        <v>6</v>
      </c>
      <c r="F519" s="12">
        <v>0</v>
      </c>
      <c r="H519" s="11" t="s">
        <v>32</v>
      </c>
      <c r="I519" s="12">
        <v>168</v>
      </c>
      <c r="J519" s="12">
        <v>86</v>
      </c>
      <c r="K519" s="12">
        <v>75</v>
      </c>
      <c r="L519" s="12">
        <v>28</v>
      </c>
      <c r="M519" s="12">
        <v>65</v>
      </c>
    </row>
    <row r="520" spans="1:13" x14ac:dyDescent="0.3">
      <c r="A520" s="13" t="s">
        <v>33</v>
      </c>
      <c r="B520" s="14">
        <v>231</v>
      </c>
      <c r="C520" s="14">
        <v>73</v>
      </c>
      <c r="D520" s="14">
        <v>157</v>
      </c>
      <c r="E520" s="14">
        <v>1</v>
      </c>
      <c r="F520" s="14">
        <v>0</v>
      </c>
      <c r="H520" s="13" t="s">
        <v>33</v>
      </c>
      <c r="I520" s="14">
        <v>1</v>
      </c>
      <c r="J520" s="14">
        <v>0</v>
      </c>
      <c r="K520" s="14">
        <v>0</v>
      </c>
      <c r="L520" s="14">
        <v>1</v>
      </c>
      <c r="M520" s="14">
        <v>0</v>
      </c>
    </row>
    <row r="521" spans="1:13" x14ac:dyDescent="0.3">
      <c r="A521" s="13" t="s">
        <v>34</v>
      </c>
      <c r="B521" s="14">
        <v>27</v>
      </c>
      <c r="C521" s="14">
        <v>11</v>
      </c>
      <c r="D521" s="14">
        <v>11</v>
      </c>
      <c r="E521" s="14">
        <v>5</v>
      </c>
      <c r="F521" s="14">
        <v>0</v>
      </c>
      <c r="H521" s="13" t="s">
        <v>34</v>
      </c>
      <c r="I521" s="14">
        <v>167</v>
      </c>
      <c r="J521" s="14">
        <v>86</v>
      </c>
      <c r="K521" s="14">
        <v>75</v>
      </c>
      <c r="L521" s="14">
        <v>27</v>
      </c>
      <c r="M521" s="14">
        <v>65</v>
      </c>
    </row>
    <row r="522" spans="1:13" x14ac:dyDescent="0.3">
      <c r="A522" s="15" t="s">
        <v>35</v>
      </c>
      <c r="B522" s="16">
        <v>0</v>
      </c>
      <c r="C522" s="16">
        <v>0</v>
      </c>
      <c r="D522" s="16">
        <v>0</v>
      </c>
      <c r="E522" s="16">
        <v>0</v>
      </c>
      <c r="F522" s="16">
        <v>0</v>
      </c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</row>
    <row r="523" spans="1:13" x14ac:dyDescent="0.3">
      <c r="A523" s="17" t="s">
        <v>36</v>
      </c>
      <c r="B523" s="55">
        <v>0</v>
      </c>
      <c r="C523" s="55">
        <v>0</v>
      </c>
      <c r="D523" s="55">
        <v>0</v>
      </c>
      <c r="E523" s="55">
        <v>0</v>
      </c>
      <c r="F523" s="55">
        <v>0</v>
      </c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  <c r="M523" s="109">
        <v>0</v>
      </c>
    </row>
    <row r="524" spans="1:13" x14ac:dyDescent="0.3">
      <c r="A524" s="17" t="s">
        <v>37</v>
      </c>
      <c r="B524" s="55">
        <v>0</v>
      </c>
      <c r="C524" s="55">
        <v>0</v>
      </c>
      <c r="D524" s="55">
        <v>0</v>
      </c>
      <c r="E524" s="55">
        <v>0</v>
      </c>
      <c r="F524" s="55">
        <v>0</v>
      </c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  <c r="M524" s="109">
        <v>0</v>
      </c>
    </row>
    <row r="525" spans="1:13" x14ac:dyDescent="0.3">
      <c r="A525" s="17" t="s">
        <v>38</v>
      </c>
      <c r="B525" s="167" t="s">
        <v>1141</v>
      </c>
      <c r="C525" s="168"/>
      <c r="D525" s="168"/>
      <c r="E525" s="168"/>
      <c r="F525" s="168"/>
      <c r="H525" s="17" t="s">
        <v>38</v>
      </c>
      <c r="I525" s="172" t="s">
        <v>1754</v>
      </c>
      <c r="J525" s="173"/>
      <c r="K525" s="173"/>
      <c r="L525" s="173"/>
      <c r="M525" s="173"/>
    </row>
    <row r="526" spans="1:13" ht="19.8" x14ac:dyDescent="0.3">
      <c r="A526" s="170">
        <v>46112</v>
      </c>
      <c r="B526" s="168"/>
      <c r="C526" s="168"/>
      <c r="D526" s="168"/>
      <c r="E526" s="168"/>
      <c r="F526" s="168"/>
      <c r="H526" s="170">
        <v>46142</v>
      </c>
      <c r="I526" s="168"/>
      <c r="J526" s="168"/>
      <c r="K526" s="168"/>
      <c r="L526" s="168"/>
      <c r="M526" s="168"/>
    </row>
    <row r="527" spans="1:13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40</v>
      </c>
      <c r="F527" s="1" t="s">
        <v>4</v>
      </c>
      <c r="H527" s="1" t="s">
        <v>0</v>
      </c>
      <c r="I527" s="1" t="s">
        <v>1</v>
      </c>
      <c r="J527" s="1" t="s">
        <v>2</v>
      </c>
      <c r="K527" s="1" t="s">
        <v>3</v>
      </c>
      <c r="L527" s="1" t="s">
        <v>40</v>
      </c>
      <c r="M527" s="1" t="s">
        <v>4</v>
      </c>
    </row>
    <row r="528" spans="1:13" x14ac:dyDescent="0.3">
      <c r="A528" s="2" t="s">
        <v>5</v>
      </c>
      <c r="B528" s="3">
        <v>5382</v>
      </c>
      <c r="C528" s="3">
        <v>1894</v>
      </c>
      <c r="D528" s="3">
        <v>1836</v>
      </c>
      <c r="E528" s="3">
        <v>1651</v>
      </c>
      <c r="F528" s="3">
        <v>1</v>
      </c>
      <c r="H528" s="2" t="s">
        <v>5</v>
      </c>
      <c r="I528" s="3">
        <v>6624</v>
      </c>
      <c r="J528" s="3">
        <v>2024</v>
      </c>
      <c r="K528" s="3">
        <v>1930</v>
      </c>
      <c r="L528" s="3">
        <v>1779</v>
      </c>
      <c r="M528" s="3">
        <v>891</v>
      </c>
    </row>
    <row r="529" spans="1:13" x14ac:dyDescent="0.3">
      <c r="A529" s="2" t="s">
        <v>6</v>
      </c>
      <c r="B529" s="3">
        <v>819</v>
      </c>
      <c r="C529" s="5">
        <v>439</v>
      </c>
      <c r="D529" s="6">
        <v>353</v>
      </c>
      <c r="E529" s="4">
        <v>26</v>
      </c>
      <c r="F529" s="3">
        <v>1</v>
      </c>
      <c r="H529" s="2" t="s">
        <v>6</v>
      </c>
      <c r="I529" s="3">
        <v>1122</v>
      </c>
      <c r="J529" s="5">
        <v>436</v>
      </c>
      <c r="K529" s="6">
        <v>409</v>
      </c>
      <c r="L529" s="3">
        <v>99</v>
      </c>
      <c r="M529" s="4">
        <v>178</v>
      </c>
    </row>
    <row r="530" spans="1:13" x14ac:dyDescent="0.3">
      <c r="A530" s="2" t="s">
        <v>7</v>
      </c>
      <c r="B530" s="3" t="s">
        <v>1181</v>
      </c>
      <c r="C530" s="6" t="s">
        <v>1182</v>
      </c>
      <c r="D530" s="4" t="s">
        <v>1183</v>
      </c>
      <c r="E530" s="3" t="s">
        <v>1184</v>
      </c>
      <c r="F530" s="5" t="s">
        <v>48</v>
      </c>
      <c r="H530" s="2" t="s">
        <v>7</v>
      </c>
      <c r="I530" s="3" t="s">
        <v>1744</v>
      </c>
      <c r="J530" s="5" t="s">
        <v>1766</v>
      </c>
      <c r="K530" s="6" t="s">
        <v>1767</v>
      </c>
      <c r="L530" s="3" t="s">
        <v>1768</v>
      </c>
      <c r="M530" s="4" t="s">
        <v>1769</v>
      </c>
    </row>
    <row r="531" spans="1:13" x14ac:dyDescent="0.3">
      <c r="A531" s="2" t="s">
        <v>12</v>
      </c>
      <c r="B531" s="3" t="s">
        <v>1185</v>
      </c>
      <c r="C531" s="5" t="s">
        <v>180</v>
      </c>
      <c r="D531" s="6" t="s">
        <v>1186</v>
      </c>
      <c r="E531" s="4" t="s">
        <v>1184</v>
      </c>
      <c r="F531" s="3" t="s">
        <v>25</v>
      </c>
      <c r="H531" s="2" t="s">
        <v>12</v>
      </c>
      <c r="I531" s="3" t="s">
        <v>110</v>
      </c>
      <c r="J531" s="6" t="s">
        <v>1433</v>
      </c>
      <c r="K531" s="4" t="s">
        <v>1770</v>
      </c>
      <c r="L531" s="3" t="s">
        <v>654</v>
      </c>
      <c r="M531" s="5" t="s">
        <v>1771</v>
      </c>
    </row>
    <row r="532" spans="1:13" x14ac:dyDescent="0.3">
      <c r="A532" s="2" t="s">
        <v>17</v>
      </c>
      <c r="B532" s="3" t="s">
        <v>660</v>
      </c>
      <c r="C532" s="4" t="s">
        <v>975</v>
      </c>
      <c r="D532" s="6" t="s">
        <v>1036</v>
      </c>
      <c r="E532" s="3" t="s">
        <v>337</v>
      </c>
      <c r="F532" s="5" t="s">
        <v>48</v>
      </c>
      <c r="H532" s="2" t="s">
        <v>17</v>
      </c>
      <c r="I532" s="3" t="s">
        <v>1251</v>
      </c>
      <c r="J532" s="6" t="s">
        <v>166</v>
      </c>
      <c r="K532" s="5" t="s">
        <v>912</v>
      </c>
      <c r="L532" s="3" t="s">
        <v>920</v>
      </c>
      <c r="M532" s="4" t="s">
        <v>627</v>
      </c>
    </row>
    <row r="533" spans="1:13" x14ac:dyDescent="0.3">
      <c r="A533" s="2" t="s">
        <v>22</v>
      </c>
      <c r="B533" s="3" t="s">
        <v>267</v>
      </c>
      <c r="C533" s="3" t="s">
        <v>25</v>
      </c>
      <c r="D533" s="3" t="s">
        <v>25</v>
      </c>
      <c r="E533" s="3" t="s">
        <v>25</v>
      </c>
      <c r="F533" s="5" t="s">
        <v>48</v>
      </c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  <c r="M533" s="3" t="s">
        <v>25</v>
      </c>
    </row>
    <row r="534" spans="1:13" x14ac:dyDescent="0.3">
      <c r="A534" s="7" t="s">
        <v>26</v>
      </c>
      <c r="B534" s="8">
        <v>455</v>
      </c>
      <c r="C534" s="8">
        <v>266</v>
      </c>
      <c r="D534" s="8">
        <v>163</v>
      </c>
      <c r="E534" s="8">
        <v>26</v>
      </c>
      <c r="F534" s="8">
        <v>0</v>
      </c>
      <c r="H534" s="7" t="s">
        <v>26</v>
      </c>
      <c r="I534" s="8">
        <v>610</v>
      </c>
      <c r="J534" s="8">
        <v>252</v>
      </c>
      <c r="K534" s="8">
        <v>220</v>
      </c>
      <c r="L534" s="8">
        <v>9</v>
      </c>
      <c r="M534" s="8">
        <v>129</v>
      </c>
    </row>
    <row r="535" spans="1:13" x14ac:dyDescent="0.3">
      <c r="A535" s="9" t="s">
        <v>27</v>
      </c>
      <c r="B535" s="10">
        <v>11</v>
      </c>
      <c r="C535" s="10">
        <v>4</v>
      </c>
      <c r="D535" s="10">
        <v>7</v>
      </c>
      <c r="E535" s="10">
        <v>0</v>
      </c>
      <c r="F535" s="10">
        <v>0</v>
      </c>
      <c r="H535" s="9" t="s">
        <v>27</v>
      </c>
      <c r="I535" s="10">
        <v>215</v>
      </c>
      <c r="J535" s="10">
        <v>78</v>
      </c>
      <c r="K535" s="10">
        <v>78</v>
      </c>
      <c r="L535" s="10">
        <v>4</v>
      </c>
      <c r="M535" s="10">
        <v>55</v>
      </c>
    </row>
    <row r="536" spans="1:13" x14ac:dyDescent="0.3">
      <c r="A536" s="9" t="s">
        <v>28</v>
      </c>
      <c r="B536" s="10">
        <v>0</v>
      </c>
      <c r="C536" s="10">
        <v>0</v>
      </c>
      <c r="D536" s="10">
        <v>0</v>
      </c>
      <c r="E536" s="10">
        <v>0</v>
      </c>
      <c r="F536" s="10">
        <v>0</v>
      </c>
      <c r="H536" s="9" t="s">
        <v>28</v>
      </c>
      <c r="I536" s="10">
        <v>27</v>
      </c>
      <c r="J536" s="10">
        <v>13</v>
      </c>
      <c r="K536" s="10">
        <v>6</v>
      </c>
      <c r="L536" s="10">
        <v>1</v>
      </c>
      <c r="M536" s="10">
        <v>7</v>
      </c>
    </row>
    <row r="537" spans="1:13" x14ac:dyDescent="0.3">
      <c r="A537" s="9" t="s">
        <v>29</v>
      </c>
      <c r="B537" s="10">
        <v>438</v>
      </c>
      <c r="C537" s="10">
        <v>259</v>
      </c>
      <c r="D537" s="10">
        <v>154</v>
      </c>
      <c r="E537" s="10">
        <v>25</v>
      </c>
      <c r="F537" s="10">
        <v>0</v>
      </c>
      <c r="H537" s="9" t="s">
        <v>29</v>
      </c>
      <c r="I537" s="10">
        <v>180</v>
      </c>
      <c r="J537" s="10">
        <v>83</v>
      </c>
      <c r="K537" s="10">
        <v>57</v>
      </c>
      <c r="L537" s="10">
        <v>0</v>
      </c>
      <c r="M537" s="10">
        <v>40</v>
      </c>
    </row>
    <row r="538" spans="1:13" x14ac:dyDescent="0.3">
      <c r="A538" s="9" t="s">
        <v>30</v>
      </c>
      <c r="B538" s="10">
        <v>6</v>
      </c>
      <c r="C538" s="10">
        <v>3</v>
      </c>
      <c r="D538" s="10">
        <v>2</v>
      </c>
      <c r="E538" s="10">
        <v>1</v>
      </c>
      <c r="F538" s="10">
        <v>0</v>
      </c>
      <c r="H538" s="9" t="s">
        <v>30</v>
      </c>
      <c r="I538" s="10">
        <v>188</v>
      </c>
      <c r="J538" s="10">
        <v>78</v>
      </c>
      <c r="K538" s="10">
        <v>79</v>
      </c>
      <c r="L538" s="10">
        <v>4</v>
      </c>
      <c r="M538" s="10">
        <v>27</v>
      </c>
    </row>
    <row r="539" spans="1:13" x14ac:dyDescent="0.3">
      <c r="A539" s="9" t="s">
        <v>31</v>
      </c>
      <c r="B539" s="10">
        <v>0</v>
      </c>
      <c r="C539" s="10">
        <v>0</v>
      </c>
      <c r="D539" s="10">
        <v>0</v>
      </c>
      <c r="E539" s="10">
        <v>0</v>
      </c>
      <c r="F539" s="10">
        <v>0</v>
      </c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</row>
    <row r="540" spans="1:13" x14ac:dyDescent="0.3">
      <c r="A540" s="11" t="s">
        <v>32</v>
      </c>
      <c r="B540" s="12">
        <v>237</v>
      </c>
      <c r="C540" s="12">
        <v>97</v>
      </c>
      <c r="D540" s="12">
        <v>128</v>
      </c>
      <c r="E540" s="12">
        <v>11</v>
      </c>
      <c r="F540" s="12">
        <v>1</v>
      </c>
      <c r="H540" s="11" t="s">
        <v>32</v>
      </c>
      <c r="I540" s="12">
        <v>454</v>
      </c>
      <c r="J540" s="12">
        <v>156</v>
      </c>
      <c r="K540" s="12">
        <v>159</v>
      </c>
      <c r="L540" s="12">
        <v>90</v>
      </c>
      <c r="M540" s="12">
        <v>49</v>
      </c>
    </row>
    <row r="541" spans="1:13" x14ac:dyDescent="0.3">
      <c r="A541" s="13" t="s">
        <v>33</v>
      </c>
      <c r="B541" s="14">
        <v>192</v>
      </c>
      <c r="C541" s="14">
        <v>77</v>
      </c>
      <c r="D541" s="14">
        <v>115</v>
      </c>
      <c r="E541" s="14">
        <v>0</v>
      </c>
      <c r="F541" s="14">
        <v>0</v>
      </c>
      <c r="H541" s="13" t="s">
        <v>33</v>
      </c>
      <c r="I541" s="14">
        <v>74</v>
      </c>
      <c r="J541" s="14">
        <v>25</v>
      </c>
      <c r="K541" s="14">
        <v>49</v>
      </c>
      <c r="L541" s="14">
        <v>0</v>
      </c>
      <c r="M541" s="14">
        <v>0</v>
      </c>
    </row>
    <row r="542" spans="1:13" x14ac:dyDescent="0.3">
      <c r="A542" s="13" t="s">
        <v>34</v>
      </c>
      <c r="B542" s="14">
        <v>45</v>
      </c>
      <c r="C542" s="14">
        <v>20</v>
      </c>
      <c r="D542" s="14">
        <v>13</v>
      </c>
      <c r="E542" s="14">
        <v>11</v>
      </c>
      <c r="F542" s="14">
        <v>1</v>
      </c>
      <c r="H542" s="13" t="s">
        <v>34</v>
      </c>
      <c r="I542" s="14">
        <v>380</v>
      </c>
      <c r="J542" s="14">
        <v>131</v>
      </c>
      <c r="K542" s="14">
        <v>110</v>
      </c>
      <c r="L542" s="14">
        <v>90</v>
      </c>
      <c r="M542" s="14">
        <v>49</v>
      </c>
    </row>
    <row r="543" spans="1:13" x14ac:dyDescent="0.3">
      <c r="A543" s="15" t="s">
        <v>35</v>
      </c>
      <c r="B543" s="16">
        <v>1</v>
      </c>
      <c r="C543" s="16">
        <v>0</v>
      </c>
      <c r="D543" s="16">
        <v>0</v>
      </c>
      <c r="E543" s="16">
        <v>0</v>
      </c>
      <c r="F543" s="16">
        <v>1</v>
      </c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</row>
    <row r="544" spans="1:13" x14ac:dyDescent="0.3">
      <c r="A544" s="17" t="s">
        <v>36</v>
      </c>
      <c r="B544" s="56">
        <v>1</v>
      </c>
      <c r="C544" s="56">
        <v>0</v>
      </c>
      <c r="D544" s="56">
        <v>0</v>
      </c>
      <c r="E544" s="56">
        <v>0</v>
      </c>
      <c r="F544" s="56">
        <v>1</v>
      </c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  <c r="M544" s="112">
        <v>0</v>
      </c>
    </row>
    <row r="545" spans="1:13" x14ac:dyDescent="0.3">
      <c r="A545" s="17" t="s">
        <v>37</v>
      </c>
      <c r="B545" s="56">
        <v>1</v>
      </c>
      <c r="C545" s="56">
        <v>0</v>
      </c>
      <c r="D545" s="56">
        <v>0</v>
      </c>
      <c r="E545" s="56">
        <v>0</v>
      </c>
      <c r="F545" s="56">
        <v>1</v>
      </c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  <c r="M545" s="112">
        <v>0</v>
      </c>
    </row>
    <row r="546" spans="1:13" x14ac:dyDescent="0.3">
      <c r="A546" s="17" t="s">
        <v>38</v>
      </c>
      <c r="B546" s="167" t="s">
        <v>1141</v>
      </c>
      <c r="C546" s="168"/>
      <c r="D546" s="168"/>
      <c r="E546" s="168"/>
      <c r="F546" s="168"/>
      <c r="H546" s="17" t="s">
        <v>38</v>
      </c>
      <c r="I546" s="167" t="s">
        <v>1772</v>
      </c>
      <c r="J546" s="168"/>
      <c r="K546" s="168"/>
      <c r="L546" s="168"/>
      <c r="M546" s="168"/>
    </row>
    <row r="547" spans="1:13" ht="19.8" x14ac:dyDescent="0.3">
      <c r="A547" s="169" t="s">
        <v>1180</v>
      </c>
      <c r="B547" s="168"/>
      <c r="C547" s="168"/>
      <c r="D547" s="168"/>
      <c r="E547" s="168"/>
      <c r="F547" s="168"/>
    </row>
    <row r="548" spans="1:13" x14ac:dyDescent="0.3">
      <c r="A548" s="1" t="s">
        <v>0</v>
      </c>
      <c r="B548" s="1" t="s">
        <v>1</v>
      </c>
      <c r="C548" s="1" t="s">
        <v>2</v>
      </c>
      <c r="D548" s="1" t="s">
        <v>3</v>
      </c>
      <c r="E548" s="1" t="s">
        <v>40</v>
      </c>
      <c r="F548" s="1" t="s">
        <v>4</v>
      </c>
    </row>
    <row r="549" spans="1:13" x14ac:dyDescent="0.3">
      <c r="A549" s="2" t="s">
        <v>5</v>
      </c>
      <c r="B549" s="3">
        <v>2327</v>
      </c>
      <c r="C549" s="3">
        <v>743</v>
      </c>
      <c r="D549" s="3">
        <v>701</v>
      </c>
      <c r="E549" s="3">
        <v>572</v>
      </c>
      <c r="F549" s="3">
        <v>311</v>
      </c>
    </row>
    <row r="550" spans="1:13" x14ac:dyDescent="0.3">
      <c r="A550" s="2" t="s">
        <v>6</v>
      </c>
      <c r="B550" s="3">
        <v>225</v>
      </c>
      <c r="C550" s="6">
        <v>78</v>
      </c>
      <c r="D550" s="5">
        <v>118</v>
      </c>
      <c r="E550" s="3">
        <v>4</v>
      </c>
      <c r="F550" s="4">
        <v>25</v>
      </c>
    </row>
    <row r="551" spans="1:13" x14ac:dyDescent="0.3">
      <c r="A551" s="2" t="s">
        <v>7</v>
      </c>
      <c r="B551" s="3" t="s">
        <v>1212</v>
      </c>
      <c r="C551" s="6" t="s">
        <v>829</v>
      </c>
      <c r="D551" s="5" t="s">
        <v>1213</v>
      </c>
      <c r="E551" s="3" t="s">
        <v>484</v>
      </c>
      <c r="F551" s="4" t="s">
        <v>721</v>
      </c>
    </row>
    <row r="552" spans="1:13" x14ac:dyDescent="0.3">
      <c r="A552" s="2" t="s">
        <v>12</v>
      </c>
      <c r="B552" s="3" t="s">
        <v>271</v>
      </c>
      <c r="C552" s="5" t="s">
        <v>734</v>
      </c>
      <c r="D552" s="4" t="s">
        <v>256</v>
      </c>
      <c r="E552" s="3" t="s">
        <v>484</v>
      </c>
      <c r="F552" s="6" t="s">
        <v>324</v>
      </c>
    </row>
    <row r="553" spans="1:13" x14ac:dyDescent="0.3">
      <c r="A553" s="2" t="s">
        <v>17</v>
      </c>
      <c r="B553" s="3" t="s">
        <v>1214</v>
      </c>
      <c r="C553" s="3" t="s">
        <v>491</v>
      </c>
      <c r="D553" s="5" t="s">
        <v>1215</v>
      </c>
      <c r="E553" s="4" t="s">
        <v>484</v>
      </c>
      <c r="F553" s="6" t="s">
        <v>869</v>
      </c>
    </row>
    <row r="554" spans="1:13" x14ac:dyDescent="0.3">
      <c r="A554" s="2" t="s">
        <v>22</v>
      </c>
      <c r="B554" s="3" t="s">
        <v>25</v>
      </c>
      <c r="C554" s="3" t="s">
        <v>25</v>
      </c>
      <c r="D554" s="3" t="s">
        <v>25</v>
      </c>
      <c r="E554" s="3" t="s">
        <v>25</v>
      </c>
      <c r="F554" s="3" t="s">
        <v>25</v>
      </c>
    </row>
    <row r="555" spans="1:13" x14ac:dyDescent="0.3">
      <c r="A555" s="7" t="s">
        <v>26</v>
      </c>
      <c r="B555" s="8">
        <v>137</v>
      </c>
      <c r="C555" s="8">
        <v>75</v>
      </c>
      <c r="D555" s="8">
        <v>35</v>
      </c>
      <c r="E555" s="8">
        <v>4</v>
      </c>
      <c r="F555" s="8">
        <v>23</v>
      </c>
    </row>
    <row r="556" spans="1:13" x14ac:dyDescent="0.3">
      <c r="A556" s="9" t="s">
        <v>27</v>
      </c>
      <c r="B556" s="10">
        <v>4</v>
      </c>
      <c r="C556" s="10">
        <v>1</v>
      </c>
      <c r="D556" s="10">
        <v>1</v>
      </c>
      <c r="E556" s="10">
        <v>0</v>
      </c>
      <c r="F556" s="10">
        <v>2</v>
      </c>
    </row>
    <row r="557" spans="1:13" x14ac:dyDescent="0.3">
      <c r="A557" s="9" t="s">
        <v>28</v>
      </c>
      <c r="B557" s="10">
        <v>0</v>
      </c>
      <c r="C557" s="10">
        <v>0</v>
      </c>
      <c r="D557" s="10">
        <v>0</v>
      </c>
      <c r="E557" s="10">
        <v>0</v>
      </c>
      <c r="F557" s="10">
        <v>0</v>
      </c>
    </row>
    <row r="558" spans="1:13" x14ac:dyDescent="0.3">
      <c r="A558" s="9" t="s">
        <v>29</v>
      </c>
      <c r="B558" s="10">
        <v>131</v>
      </c>
      <c r="C558" s="10">
        <v>73</v>
      </c>
      <c r="D558" s="10">
        <v>34</v>
      </c>
      <c r="E558" s="10">
        <v>4</v>
      </c>
      <c r="F558" s="10">
        <v>20</v>
      </c>
    </row>
    <row r="559" spans="1:13" x14ac:dyDescent="0.3">
      <c r="A559" s="9" t="s">
        <v>30</v>
      </c>
      <c r="B559" s="10">
        <v>2</v>
      </c>
      <c r="C559" s="10">
        <v>1</v>
      </c>
      <c r="D559" s="10">
        <v>0</v>
      </c>
      <c r="E559" s="10">
        <v>0</v>
      </c>
      <c r="F559" s="10">
        <v>1</v>
      </c>
    </row>
    <row r="560" spans="1:13" x14ac:dyDescent="0.3">
      <c r="A560" s="9" t="s">
        <v>31</v>
      </c>
      <c r="B560" s="10">
        <v>0</v>
      </c>
      <c r="C560" s="10">
        <v>0</v>
      </c>
      <c r="D560" s="10">
        <v>0</v>
      </c>
      <c r="E560" s="10">
        <v>0</v>
      </c>
      <c r="F560" s="10">
        <v>0</v>
      </c>
    </row>
    <row r="561" spans="1:6" x14ac:dyDescent="0.3">
      <c r="A561" s="11" t="s">
        <v>32</v>
      </c>
      <c r="B561" s="12">
        <v>57</v>
      </c>
      <c r="C561" s="12">
        <v>3</v>
      </c>
      <c r="D561" s="12">
        <v>47</v>
      </c>
      <c r="E561" s="12">
        <v>4</v>
      </c>
      <c r="F561" s="12">
        <v>3</v>
      </c>
    </row>
    <row r="562" spans="1:6" x14ac:dyDescent="0.3">
      <c r="A562" s="13" t="s">
        <v>33</v>
      </c>
      <c r="B562" s="14">
        <v>46</v>
      </c>
      <c r="C562" s="14">
        <v>1</v>
      </c>
      <c r="D562" s="14">
        <v>44</v>
      </c>
      <c r="E562" s="14">
        <v>0</v>
      </c>
      <c r="F562" s="14">
        <v>1</v>
      </c>
    </row>
    <row r="563" spans="1:6" x14ac:dyDescent="0.3">
      <c r="A563" s="13" t="s">
        <v>34</v>
      </c>
      <c r="B563" s="14">
        <v>11</v>
      </c>
      <c r="C563" s="14">
        <v>2</v>
      </c>
      <c r="D563" s="14">
        <v>3</v>
      </c>
      <c r="E563" s="14">
        <v>4</v>
      </c>
      <c r="F563" s="14">
        <v>2</v>
      </c>
    </row>
    <row r="564" spans="1:6" x14ac:dyDescent="0.3">
      <c r="A564" s="15" t="s">
        <v>35</v>
      </c>
      <c r="B564" s="16">
        <v>0</v>
      </c>
      <c r="C564" s="16">
        <v>0</v>
      </c>
      <c r="D564" s="16">
        <v>0</v>
      </c>
      <c r="E564" s="16">
        <v>0</v>
      </c>
      <c r="F564" s="16">
        <v>0</v>
      </c>
    </row>
    <row r="565" spans="1:6" x14ac:dyDescent="0.3">
      <c r="A565" s="17" t="s">
        <v>36</v>
      </c>
      <c r="B565" s="56">
        <v>0</v>
      </c>
      <c r="C565" s="56">
        <v>0</v>
      </c>
      <c r="D565" s="56">
        <v>0</v>
      </c>
      <c r="E565" s="56">
        <v>0</v>
      </c>
      <c r="F565" s="56">
        <v>0</v>
      </c>
    </row>
    <row r="566" spans="1:6" x14ac:dyDescent="0.3">
      <c r="A566" s="17" t="s">
        <v>37</v>
      </c>
      <c r="B566" s="56">
        <v>0</v>
      </c>
      <c r="C566" s="56">
        <v>0</v>
      </c>
      <c r="D566" s="56">
        <v>0</v>
      </c>
      <c r="E566" s="56">
        <v>0</v>
      </c>
      <c r="F566" s="56">
        <v>0</v>
      </c>
    </row>
    <row r="567" spans="1:6" x14ac:dyDescent="0.3">
      <c r="A567" s="17" t="s">
        <v>38</v>
      </c>
      <c r="B567" s="167" t="s">
        <v>1141</v>
      </c>
      <c r="C567" s="168"/>
      <c r="D567" s="168"/>
      <c r="E567" s="168"/>
      <c r="F567" s="168"/>
    </row>
  </sheetData>
  <mergeCells count="152">
    <mergeCell ref="O442:T442"/>
    <mergeCell ref="P462:T462"/>
    <mergeCell ref="O463:T463"/>
    <mergeCell ref="P483:T483"/>
    <mergeCell ref="O400:T400"/>
    <mergeCell ref="P420:T420"/>
    <mergeCell ref="O379:T379"/>
    <mergeCell ref="P399:T399"/>
    <mergeCell ref="O358:T358"/>
    <mergeCell ref="P378:T378"/>
    <mergeCell ref="O421:T421"/>
    <mergeCell ref="P441:T441"/>
    <mergeCell ref="O316:T316"/>
    <mergeCell ref="P336:T336"/>
    <mergeCell ref="O337:T337"/>
    <mergeCell ref="P357:T357"/>
    <mergeCell ref="H526:M526"/>
    <mergeCell ref="I546:M546"/>
    <mergeCell ref="H505:M505"/>
    <mergeCell ref="I525:M525"/>
    <mergeCell ref="O1:T1"/>
    <mergeCell ref="P21:T21"/>
    <mergeCell ref="O22:T22"/>
    <mergeCell ref="P42:T42"/>
    <mergeCell ref="O43:T43"/>
    <mergeCell ref="P63:T63"/>
    <mergeCell ref="O64:T64"/>
    <mergeCell ref="P84:T84"/>
    <mergeCell ref="O85:T85"/>
    <mergeCell ref="P105:T105"/>
    <mergeCell ref="O106:T106"/>
    <mergeCell ref="P126:T126"/>
    <mergeCell ref="O127:T127"/>
    <mergeCell ref="P147:T147"/>
    <mergeCell ref="O148:T148"/>
    <mergeCell ref="P168:T168"/>
    <mergeCell ref="O169:T169"/>
    <mergeCell ref="P189:T189"/>
    <mergeCell ref="O190:T190"/>
    <mergeCell ref="P210:T210"/>
    <mergeCell ref="H400:M400"/>
    <mergeCell ref="I420:M420"/>
    <mergeCell ref="A190:F190"/>
    <mergeCell ref="B210:F210"/>
    <mergeCell ref="A211:F211"/>
    <mergeCell ref="B231:F231"/>
    <mergeCell ref="A232:F232"/>
    <mergeCell ref="B252:F252"/>
    <mergeCell ref="A253:F253"/>
    <mergeCell ref="B273:F273"/>
    <mergeCell ref="I252:M252"/>
    <mergeCell ref="H253:M253"/>
    <mergeCell ref="I273:M273"/>
    <mergeCell ref="H190:M190"/>
    <mergeCell ref="I210:M210"/>
    <mergeCell ref="H211:M211"/>
    <mergeCell ref="H358:M358"/>
    <mergeCell ref="I378:M378"/>
    <mergeCell ref="B189:F189"/>
    <mergeCell ref="A64:F64"/>
    <mergeCell ref="B84:F84"/>
    <mergeCell ref="A85:F85"/>
    <mergeCell ref="B105:F105"/>
    <mergeCell ref="A106:F106"/>
    <mergeCell ref="B126:F126"/>
    <mergeCell ref="A127:F127"/>
    <mergeCell ref="B147:F147"/>
    <mergeCell ref="A148:F148"/>
    <mergeCell ref="B168:F168"/>
    <mergeCell ref="A169:F169"/>
    <mergeCell ref="H64:M64"/>
    <mergeCell ref="I84:M84"/>
    <mergeCell ref="H85:M85"/>
    <mergeCell ref="H148:M148"/>
    <mergeCell ref="I168:M168"/>
    <mergeCell ref="H169:M169"/>
    <mergeCell ref="B546:F546"/>
    <mergeCell ref="A547:F547"/>
    <mergeCell ref="B567:F567"/>
    <mergeCell ref="B357:F357"/>
    <mergeCell ref="A358:F358"/>
    <mergeCell ref="A442:F442"/>
    <mergeCell ref="B462:F462"/>
    <mergeCell ref="A379:F379"/>
    <mergeCell ref="B399:F399"/>
    <mergeCell ref="A400:F400"/>
    <mergeCell ref="B420:F420"/>
    <mergeCell ref="A421:F421"/>
    <mergeCell ref="B441:F441"/>
    <mergeCell ref="B378:F378"/>
    <mergeCell ref="A505:F505"/>
    <mergeCell ref="B63:F63"/>
    <mergeCell ref="A1:F1"/>
    <mergeCell ref="B21:F21"/>
    <mergeCell ref="A22:F22"/>
    <mergeCell ref="B42:F42"/>
    <mergeCell ref="A43:F43"/>
    <mergeCell ref="H232:M232"/>
    <mergeCell ref="I189:M189"/>
    <mergeCell ref="I105:M105"/>
    <mergeCell ref="H106:M106"/>
    <mergeCell ref="I126:M126"/>
    <mergeCell ref="H127:M127"/>
    <mergeCell ref="I147:M147"/>
    <mergeCell ref="I231:M231"/>
    <mergeCell ref="H43:M43"/>
    <mergeCell ref="I63:M63"/>
    <mergeCell ref="A526:F526"/>
    <mergeCell ref="A274:F274"/>
    <mergeCell ref="B294:F294"/>
    <mergeCell ref="A316:F316"/>
    <mergeCell ref="B336:F336"/>
    <mergeCell ref="A337:F337"/>
    <mergeCell ref="B525:F525"/>
    <mergeCell ref="A463:F463"/>
    <mergeCell ref="B483:F483"/>
    <mergeCell ref="A484:F484"/>
    <mergeCell ref="B504:F504"/>
    <mergeCell ref="A295:F295"/>
    <mergeCell ref="B315:F315"/>
    <mergeCell ref="H337:M337"/>
    <mergeCell ref="I357:M357"/>
    <mergeCell ref="H295:M295"/>
    <mergeCell ref="I315:M315"/>
    <mergeCell ref="I336:M336"/>
    <mergeCell ref="H316:M316"/>
    <mergeCell ref="H22:M22"/>
    <mergeCell ref="I42:M42"/>
    <mergeCell ref="H1:M1"/>
    <mergeCell ref="I21:M21"/>
    <mergeCell ref="I483:M483"/>
    <mergeCell ref="H463:M463"/>
    <mergeCell ref="H484:M484"/>
    <mergeCell ref="I504:M504"/>
    <mergeCell ref="H421:M421"/>
    <mergeCell ref="I441:M441"/>
    <mergeCell ref="H442:M442"/>
    <mergeCell ref="I462:M462"/>
    <mergeCell ref="O211:T211"/>
    <mergeCell ref="P231:T231"/>
    <mergeCell ref="O232:T232"/>
    <mergeCell ref="P252:T252"/>
    <mergeCell ref="O253:T253"/>
    <mergeCell ref="P273:T273"/>
    <mergeCell ref="O274:T274"/>
    <mergeCell ref="P294:T294"/>
    <mergeCell ref="O295:T295"/>
    <mergeCell ref="P315:T315"/>
    <mergeCell ref="H379:M379"/>
    <mergeCell ref="I399:M399"/>
    <mergeCell ref="H274:M274"/>
    <mergeCell ref="I294:M294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CE947-F3E7-4D72-8AB3-C6A4192A8E91}">
  <dimension ref="A1:T546"/>
  <sheetViews>
    <sheetView tabSelected="1" topLeftCell="A462" workbookViewId="0">
      <selection activeCell="S464" sqref="S464:S482"/>
    </sheetView>
  </sheetViews>
  <sheetFormatPr defaultRowHeight="15" x14ac:dyDescent="0.3"/>
  <sheetData>
    <row r="1" spans="1:20" ht="19.8" x14ac:dyDescent="0.3">
      <c r="A1" s="171">
        <v>46083</v>
      </c>
      <c r="B1" s="171"/>
      <c r="C1" s="171"/>
      <c r="D1" s="171"/>
      <c r="E1" s="171"/>
      <c r="F1" s="171"/>
      <c r="H1" s="171">
        <v>46113</v>
      </c>
      <c r="I1" s="171"/>
      <c r="J1" s="171"/>
      <c r="K1" s="171"/>
      <c r="L1" s="171"/>
      <c r="M1" s="171"/>
      <c r="O1" s="171">
        <v>46143</v>
      </c>
      <c r="P1" s="171"/>
      <c r="Q1" s="171"/>
      <c r="R1" s="171"/>
      <c r="S1" s="171"/>
      <c r="T1" s="171"/>
    </row>
    <row r="2" spans="1:20" x14ac:dyDescent="0.3">
      <c r="A2" s="1" t="s">
        <v>0</v>
      </c>
      <c r="B2" s="1" t="s">
        <v>1</v>
      </c>
      <c r="C2" s="1" t="s">
        <v>2</v>
      </c>
      <c r="D2" s="1" t="s">
        <v>760</v>
      </c>
      <c r="E2" s="1" t="s">
        <v>40</v>
      </c>
      <c r="F2" s="1" t="s">
        <v>760</v>
      </c>
      <c r="H2" s="1" t="s">
        <v>0</v>
      </c>
      <c r="I2" s="1" t="s">
        <v>1</v>
      </c>
      <c r="J2" s="1" t="s">
        <v>2</v>
      </c>
      <c r="K2" s="1" t="s">
        <v>760</v>
      </c>
      <c r="L2" s="1" t="s">
        <v>40</v>
      </c>
      <c r="M2" s="1" t="s">
        <v>4</v>
      </c>
      <c r="O2" s="1" t="s">
        <v>0</v>
      </c>
      <c r="P2" s="1" t="s">
        <v>1</v>
      </c>
      <c r="Q2" s="1" t="s">
        <v>2</v>
      </c>
      <c r="R2" s="1" t="s">
        <v>760</v>
      </c>
      <c r="S2" s="1" t="s">
        <v>40</v>
      </c>
      <c r="T2" s="1" t="s">
        <v>4</v>
      </c>
    </row>
    <row r="3" spans="1:20" x14ac:dyDescent="0.3">
      <c r="A3" s="2" t="s">
        <v>5</v>
      </c>
      <c r="B3" s="3">
        <v>2925</v>
      </c>
      <c r="C3" s="3">
        <v>1508</v>
      </c>
      <c r="D3" s="3">
        <v>0</v>
      </c>
      <c r="E3" s="3">
        <v>1417</v>
      </c>
      <c r="F3" s="3">
        <v>0</v>
      </c>
      <c r="H3" s="2" t="s">
        <v>5</v>
      </c>
      <c r="I3" s="3">
        <v>2729</v>
      </c>
      <c r="J3" s="3">
        <v>927</v>
      </c>
      <c r="K3" s="3">
        <v>0</v>
      </c>
      <c r="L3" s="3">
        <v>870</v>
      </c>
      <c r="M3" s="3">
        <v>932</v>
      </c>
      <c r="O3" s="2" t="s">
        <v>5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 x14ac:dyDescent="0.3">
      <c r="A4" s="2" t="s">
        <v>6</v>
      </c>
      <c r="B4" s="3">
        <v>92</v>
      </c>
      <c r="C4" s="5">
        <v>51</v>
      </c>
      <c r="D4" s="3">
        <v>0</v>
      </c>
      <c r="E4" s="6">
        <v>41</v>
      </c>
      <c r="F4" s="3">
        <v>0</v>
      </c>
      <c r="H4" s="2" t="s">
        <v>6</v>
      </c>
      <c r="I4" s="3">
        <v>207</v>
      </c>
      <c r="J4" s="5">
        <v>100</v>
      </c>
      <c r="K4" s="3">
        <v>0</v>
      </c>
      <c r="L4" s="6">
        <v>80</v>
      </c>
      <c r="M4" s="4">
        <v>27</v>
      </c>
      <c r="O4" s="2" t="s">
        <v>6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x14ac:dyDescent="0.3">
      <c r="A5" s="2" t="s">
        <v>7</v>
      </c>
      <c r="B5" s="3" t="s">
        <v>68</v>
      </c>
      <c r="C5" s="5" t="s">
        <v>69</v>
      </c>
      <c r="D5" s="3">
        <v>0</v>
      </c>
      <c r="E5" s="6" t="s">
        <v>70</v>
      </c>
      <c r="F5" s="3">
        <v>0</v>
      </c>
      <c r="H5" s="2" t="s">
        <v>7</v>
      </c>
      <c r="I5" s="3" t="s">
        <v>197</v>
      </c>
      <c r="J5" s="5" t="s">
        <v>827</v>
      </c>
      <c r="K5" s="3">
        <v>0</v>
      </c>
      <c r="L5" s="6" t="s">
        <v>1216</v>
      </c>
      <c r="M5" s="4" t="s">
        <v>145</v>
      </c>
      <c r="O5" s="2" t="s">
        <v>7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3">
      <c r="A6" s="2" t="s">
        <v>12</v>
      </c>
      <c r="B6" s="3" t="s">
        <v>71</v>
      </c>
      <c r="C6" s="5" t="s">
        <v>72</v>
      </c>
      <c r="D6" s="3">
        <v>0</v>
      </c>
      <c r="E6" s="6" t="s">
        <v>73</v>
      </c>
      <c r="F6" s="3">
        <v>0</v>
      </c>
      <c r="H6" s="2" t="s">
        <v>12</v>
      </c>
      <c r="I6" s="3" t="s">
        <v>124</v>
      </c>
      <c r="J6" s="5" t="s">
        <v>512</v>
      </c>
      <c r="K6" s="3">
        <v>0</v>
      </c>
      <c r="L6" s="6" t="s">
        <v>1216</v>
      </c>
      <c r="M6" s="4" t="s">
        <v>145</v>
      </c>
      <c r="O6" s="2" t="s">
        <v>12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x14ac:dyDescent="0.3">
      <c r="A7" s="2" t="s">
        <v>17</v>
      </c>
      <c r="B7" s="3" t="s">
        <v>74</v>
      </c>
      <c r="C7" s="6" t="s">
        <v>75</v>
      </c>
      <c r="D7" s="3" t="s">
        <v>25</v>
      </c>
      <c r="E7" s="5" t="s">
        <v>76</v>
      </c>
      <c r="F7" s="3" t="s">
        <v>25</v>
      </c>
      <c r="H7" s="2" t="s">
        <v>17</v>
      </c>
      <c r="I7" s="3" t="s">
        <v>153</v>
      </c>
      <c r="J7" s="4" t="s">
        <v>122</v>
      </c>
      <c r="K7" s="3" t="s">
        <v>25</v>
      </c>
      <c r="L7" s="6" t="s">
        <v>317</v>
      </c>
      <c r="M7" s="5" t="s">
        <v>44</v>
      </c>
      <c r="O7" s="2" t="s">
        <v>17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 x14ac:dyDescent="0.3">
      <c r="A8" s="2" t="s">
        <v>22</v>
      </c>
      <c r="B8" s="3" t="s">
        <v>77</v>
      </c>
      <c r="C8" s="3" t="s">
        <v>25</v>
      </c>
      <c r="D8" s="3" t="s">
        <v>25</v>
      </c>
      <c r="E8" s="5" t="s">
        <v>78</v>
      </c>
      <c r="F8" s="3" t="s">
        <v>25</v>
      </c>
      <c r="H8" s="2" t="s">
        <v>22</v>
      </c>
      <c r="I8" s="3" t="s">
        <v>138</v>
      </c>
      <c r="J8" s="3" t="s">
        <v>25</v>
      </c>
      <c r="K8" s="3" t="s">
        <v>25</v>
      </c>
      <c r="L8" s="5" t="s">
        <v>266</v>
      </c>
      <c r="M8" s="3" t="s">
        <v>25</v>
      </c>
      <c r="O8" s="2" t="s">
        <v>22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 x14ac:dyDescent="0.3">
      <c r="A9" s="7" t="s">
        <v>26</v>
      </c>
      <c r="B9" s="8">
        <v>85</v>
      </c>
      <c r="C9" s="8">
        <v>49</v>
      </c>
      <c r="D9" s="8">
        <v>0</v>
      </c>
      <c r="E9" s="8">
        <v>36</v>
      </c>
      <c r="F9" s="8">
        <v>0</v>
      </c>
      <c r="H9" s="7" t="s">
        <v>26</v>
      </c>
      <c r="I9" s="8">
        <v>205</v>
      </c>
      <c r="J9" s="8">
        <v>98</v>
      </c>
      <c r="K9" s="8">
        <v>0</v>
      </c>
      <c r="L9" s="8">
        <v>80</v>
      </c>
      <c r="M9" s="8">
        <v>27</v>
      </c>
      <c r="O9" s="7" t="s">
        <v>26</v>
      </c>
      <c r="P9" s="8">
        <v>0</v>
      </c>
      <c r="Q9" s="8">
        <v>0</v>
      </c>
      <c r="R9" s="8">
        <v>0</v>
      </c>
      <c r="S9" s="8">
        <v>0</v>
      </c>
      <c r="T9" s="8">
        <v>0</v>
      </c>
    </row>
    <row r="10" spans="1:20" x14ac:dyDescent="0.3">
      <c r="A10" s="9" t="s">
        <v>27</v>
      </c>
      <c r="B10" s="10">
        <v>80</v>
      </c>
      <c r="C10" s="10">
        <v>45</v>
      </c>
      <c r="D10" s="10">
        <v>0</v>
      </c>
      <c r="E10" s="10">
        <v>35</v>
      </c>
      <c r="F10" s="10">
        <v>0</v>
      </c>
      <c r="H10" s="9" t="s">
        <v>27</v>
      </c>
      <c r="I10" s="10">
        <v>2</v>
      </c>
      <c r="J10" s="10">
        <v>1</v>
      </c>
      <c r="K10" s="10">
        <v>0</v>
      </c>
      <c r="L10" s="10">
        <v>0</v>
      </c>
      <c r="M10" s="10">
        <v>1</v>
      </c>
      <c r="O10" s="9" t="s">
        <v>27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</row>
    <row r="11" spans="1:20" x14ac:dyDescent="0.3">
      <c r="A11" s="9" t="s">
        <v>28</v>
      </c>
      <c r="B11" s="10">
        <v>1</v>
      </c>
      <c r="C11" s="10">
        <v>0</v>
      </c>
      <c r="D11" s="10">
        <v>0</v>
      </c>
      <c r="E11" s="10">
        <v>1</v>
      </c>
      <c r="F11" s="10">
        <v>0</v>
      </c>
      <c r="H11" s="9" t="s">
        <v>28</v>
      </c>
      <c r="I11" s="10">
        <v>10</v>
      </c>
      <c r="J11" s="10">
        <v>3</v>
      </c>
      <c r="K11" s="10">
        <v>0</v>
      </c>
      <c r="L11" s="10">
        <v>6</v>
      </c>
      <c r="M11" s="10">
        <v>1</v>
      </c>
      <c r="O11" s="9" t="s">
        <v>28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3">
      <c r="A12" s="9" t="s">
        <v>29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H12" s="9" t="s">
        <v>29</v>
      </c>
      <c r="I12" s="10">
        <v>28</v>
      </c>
      <c r="J12" s="10">
        <v>9</v>
      </c>
      <c r="K12" s="10">
        <v>0</v>
      </c>
      <c r="L12" s="10">
        <v>5</v>
      </c>
      <c r="M12" s="10">
        <v>14</v>
      </c>
      <c r="O12" s="9" t="s">
        <v>29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3">
      <c r="A13" s="9" t="s">
        <v>30</v>
      </c>
      <c r="B13" s="10">
        <v>4</v>
      </c>
      <c r="C13" s="10">
        <v>4</v>
      </c>
      <c r="D13" s="10">
        <v>0</v>
      </c>
      <c r="E13" s="10">
        <v>0</v>
      </c>
      <c r="F13" s="10">
        <v>0</v>
      </c>
      <c r="H13" s="9" t="s">
        <v>30</v>
      </c>
      <c r="I13" s="10">
        <v>165</v>
      </c>
      <c r="J13" s="10">
        <v>85</v>
      </c>
      <c r="K13" s="10">
        <v>0</v>
      </c>
      <c r="L13" s="10">
        <v>69</v>
      </c>
      <c r="M13" s="10">
        <v>11</v>
      </c>
      <c r="O13" s="9" t="s">
        <v>30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3">
      <c r="A14" s="9" t="s">
        <v>31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H14" s="9" t="s">
        <v>31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O14" s="9" t="s">
        <v>31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</row>
    <row r="15" spans="1:20" x14ac:dyDescent="0.3">
      <c r="A15" s="11" t="s">
        <v>32</v>
      </c>
      <c r="B15" s="12">
        <v>9</v>
      </c>
      <c r="C15" s="12">
        <v>2</v>
      </c>
      <c r="D15" s="12">
        <v>0</v>
      </c>
      <c r="E15" s="12">
        <v>7</v>
      </c>
      <c r="F15" s="12">
        <v>0</v>
      </c>
      <c r="H15" s="11" t="s">
        <v>32</v>
      </c>
      <c r="I15" s="12">
        <v>13</v>
      </c>
      <c r="J15" s="12">
        <v>2</v>
      </c>
      <c r="K15" s="12">
        <v>0</v>
      </c>
      <c r="L15" s="12">
        <v>4</v>
      </c>
      <c r="M15" s="12">
        <v>7</v>
      </c>
      <c r="O15" s="11" t="s">
        <v>32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x14ac:dyDescent="0.3">
      <c r="A16" s="13" t="s">
        <v>33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H16" s="13" t="s">
        <v>33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O16" s="13" t="s">
        <v>33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x14ac:dyDescent="0.3">
      <c r="A17" s="13" t="s">
        <v>34</v>
      </c>
      <c r="B17" s="14">
        <v>9</v>
      </c>
      <c r="C17" s="14">
        <v>2</v>
      </c>
      <c r="D17" s="14">
        <v>0</v>
      </c>
      <c r="E17" s="14">
        <v>7</v>
      </c>
      <c r="F17" s="14">
        <v>0</v>
      </c>
      <c r="H17" s="13" t="s">
        <v>34</v>
      </c>
      <c r="I17" s="14">
        <v>13</v>
      </c>
      <c r="J17" s="14">
        <v>2</v>
      </c>
      <c r="K17" s="14">
        <v>0</v>
      </c>
      <c r="L17" s="14">
        <v>4</v>
      </c>
      <c r="M17" s="14">
        <v>7</v>
      </c>
      <c r="O17" s="13" t="s">
        <v>34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</row>
    <row r="18" spans="1:20" x14ac:dyDescent="0.3">
      <c r="A18" s="15" t="s">
        <v>35</v>
      </c>
      <c r="B18" s="16">
        <v>6</v>
      </c>
      <c r="C18" s="16">
        <v>0</v>
      </c>
      <c r="D18" s="16">
        <v>0</v>
      </c>
      <c r="E18" s="16">
        <v>6</v>
      </c>
      <c r="F18" s="16">
        <v>0</v>
      </c>
      <c r="H18" s="15" t="s">
        <v>35</v>
      </c>
      <c r="I18" s="16">
        <v>2</v>
      </c>
      <c r="J18" s="16">
        <v>0</v>
      </c>
      <c r="K18" s="16">
        <v>0</v>
      </c>
      <c r="L18" s="16">
        <v>2</v>
      </c>
      <c r="M18" s="16">
        <v>0</v>
      </c>
      <c r="O18" s="15" t="s">
        <v>35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</row>
    <row r="19" spans="1:20" x14ac:dyDescent="0.3">
      <c r="A19" s="17" t="s">
        <v>36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H19" s="17" t="s">
        <v>36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O19" s="17" t="s">
        <v>36</v>
      </c>
      <c r="P19" s="112">
        <v>0</v>
      </c>
      <c r="Q19" s="112">
        <v>0</v>
      </c>
      <c r="R19" s="112">
        <v>0</v>
      </c>
      <c r="S19" s="112">
        <v>0</v>
      </c>
      <c r="T19" s="112">
        <v>0</v>
      </c>
    </row>
    <row r="20" spans="1:20" x14ac:dyDescent="0.3">
      <c r="A20" s="17" t="s">
        <v>37</v>
      </c>
      <c r="B20" s="18">
        <v>6</v>
      </c>
      <c r="C20" s="18">
        <v>0</v>
      </c>
      <c r="D20" s="18">
        <v>0</v>
      </c>
      <c r="E20" s="18">
        <v>6</v>
      </c>
      <c r="F20" s="18">
        <v>0</v>
      </c>
      <c r="H20" s="17" t="s">
        <v>37</v>
      </c>
      <c r="I20" s="56">
        <v>2</v>
      </c>
      <c r="J20" s="56">
        <v>0</v>
      </c>
      <c r="K20" s="56">
        <v>0</v>
      </c>
      <c r="L20" s="56">
        <v>2</v>
      </c>
      <c r="M20" s="56">
        <v>0</v>
      </c>
      <c r="O20" s="17" t="s">
        <v>37</v>
      </c>
      <c r="P20" s="112">
        <v>0</v>
      </c>
      <c r="Q20" s="112">
        <v>0</v>
      </c>
      <c r="R20" s="112">
        <v>0</v>
      </c>
      <c r="S20" s="112">
        <v>0</v>
      </c>
      <c r="T20" s="112">
        <v>0</v>
      </c>
    </row>
    <row r="21" spans="1:20" x14ac:dyDescent="0.3">
      <c r="A21" s="17" t="s">
        <v>38</v>
      </c>
      <c r="B21" s="172" t="s">
        <v>79</v>
      </c>
      <c r="C21" s="173"/>
      <c r="D21" s="173"/>
      <c r="E21" s="173"/>
      <c r="F21" s="173"/>
      <c r="H21" s="17" t="s">
        <v>38</v>
      </c>
      <c r="I21" s="172" t="s">
        <v>208</v>
      </c>
      <c r="J21" s="173"/>
      <c r="K21" s="173"/>
      <c r="L21" s="173"/>
      <c r="M21" s="173"/>
      <c r="O21" s="17" t="s">
        <v>38</v>
      </c>
      <c r="P21" s="172"/>
      <c r="Q21" s="173"/>
      <c r="R21" s="173"/>
      <c r="S21" s="173"/>
      <c r="T21" s="173"/>
    </row>
    <row r="22" spans="1:20" ht="19.8" x14ac:dyDescent="0.3">
      <c r="A22" s="171">
        <v>46084</v>
      </c>
      <c r="B22" s="171"/>
      <c r="C22" s="171"/>
      <c r="D22" s="171"/>
      <c r="E22" s="171"/>
      <c r="F22" s="171"/>
      <c r="H22" s="171">
        <v>46114</v>
      </c>
      <c r="I22" s="171"/>
      <c r="J22" s="171"/>
      <c r="K22" s="171"/>
      <c r="L22" s="171"/>
      <c r="M22" s="171"/>
      <c r="O22" s="170">
        <v>46146</v>
      </c>
      <c r="P22" s="170"/>
      <c r="Q22" s="170"/>
      <c r="R22" s="170"/>
      <c r="S22" s="170"/>
      <c r="T22" s="170"/>
    </row>
    <row r="23" spans="1:20" x14ac:dyDescent="0.3">
      <c r="A23" s="1" t="s">
        <v>0</v>
      </c>
      <c r="B23" s="1" t="s">
        <v>1</v>
      </c>
      <c r="C23" s="1" t="s">
        <v>2</v>
      </c>
      <c r="D23" s="1" t="s">
        <v>760</v>
      </c>
      <c r="E23" s="1" t="s">
        <v>40</v>
      </c>
      <c r="F23" s="1" t="s">
        <v>4</v>
      </c>
      <c r="H23" s="1" t="s">
        <v>0</v>
      </c>
      <c r="I23" s="1" t="s">
        <v>1</v>
      </c>
      <c r="J23" s="1" t="s">
        <v>2</v>
      </c>
      <c r="K23" s="1" t="s">
        <v>760</v>
      </c>
      <c r="L23" s="1" t="s">
        <v>40</v>
      </c>
      <c r="M23" s="1" t="s">
        <v>4</v>
      </c>
      <c r="O23" s="1" t="s">
        <v>0</v>
      </c>
      <c r="P23" s="1" t="s">
        <v>1</v>
      </c>
      <c r="Q23" s="1" t="s">
        <v>2</v>
      </c>
      <c r="R23" s="1" t="s">
        <v>760</v>
      </c>
      <c r="S23" s="1" t="s">
        <v>40</v>
      </c>
      <c r="T23" s="1" t="s">
        <v>4</v>
      </c>
    </row>
    <row r="24" spans="1:20" x14ac:dyDescent="0.3">
      <c r="A24" s="2" t="s">
        <v>5</v>
      </c>
      <c r="B24" s="3">
        <v>5943</v>
      </c>
      <c r="C24" s="3">
        <v>2063</v>
      </c>
      <c r="D24" s="3">
        <v>0</v>
      </c>
      <c r="E24" s="3">
        <v>1968</v>
      </c>
      <c r="F24" s="3">
        <v>1912</v>
      </c>
      <c r="H24" s="2" t="s">
        <v>5</v>
      </c>
      <c r="I24" s="3">
        <v>3568</v>
      </c>
      <c r="J24" s="3">
        <v>1215</v>
      </c>
      <c r="K24" s="3">
        <v>0</v>
      </c>
      <c r="L24" s="3">
        <v>1180</v>
      </c>
      <c r="M24" s="3">
        <v>1173</v>
      </c>
      <c r="O24" s="2" t="s">
        <v>5</v>
      </c>
      <c r="P24" s="3">
        <f>Q24+R24+S24+T24</f>
        <v>2337</v>
      </c>
      <c r="Q24" s="3">
        <v>824</v>
      </c>
      <c r="R24" s="3">
        <v>0</v>
      </c>
      <c r="S24" s="3">
        <v>752</v>
      </c>
      <c r="T24" s="3">
        <v>761</v>
      </c>
    </row>
    <row r="25" spans="1:20" x14ac:dyDescent="0.3">
      <c r="A25" s="2" t="s">
        <v>6</v>
      </c>
      <c r="B25" s="3">
        <v>225</v>
      </c>
      <c r="C25" s="5">
        <v>93</v>
      </c>
      <c r="D25" s="3">
        <v>0</v>
      </c>
      <c r="E25" s="4">
        <v>58</v>
      </c>
      <c r="F25" s="6">
        <v>74</v>
      </c>
      <c r="H25" s="2" t="s">
        <v>6</v>
      </c>
      <c r="I25" s="3">
        <v>262</v>
      </c>
      <c r="J25" s="5">
        <v>137</v>
      </c>
      <c r="K25" s="3">
        <v>0</v>
      </c>
      <c r="L25" s="6">
        <v>101</v>
      </c>
      <c r="M25" s="4">
        <v>24</v>
      </c>
      <c r="O25" s="2" t="s">
        <v>6</v>
      </c>
      <c r="P25" s="3">
        <f>Q25+S25+T25</f>
        <v>77</v>
      </c>
      <c r="Q25" s="6">
        <v>20</v>
      </c>
      <c r="R25" s="3">
        <v>0</v>
      </c>
      <c r="S25" s="5">
        <v>25</v>
      </c>
      <c r="T25" s="5">
        <v>32</v>
      </c>
    </row>
    <row r="26" spans="1:20" x14ac:dyDescent="0.3">
      <c r="A26" s="2" t="s">
        <v>7</v>
      </c>
      <c r="B26" s="3" t="s">
        <v>139</v>
      </c>
      <c r="C26" s="5" t="s">
        <v>140</v>
      </c>
      <c r="D26" s="3">
        <v>0</v>
      </c>
      <c r="E26" s="4" t="s">
        <v>141</v>
      </c>
      <c r="F26" s="6" t="s">
        <v>142</v>
      </c>
      <c r="H26" s="2" t="s">
        <v>7</v>
      </c>
      <c r="I26" s="3" t="s">
        <v>1237</v>
      </c>
      <c r="J26" s="5" t="s">
        <v>1238</v>
      </c>
      <c r="K26" s="3">
        <v>0</v>
      </c>
      <c r="L26" s="6" t="s">
        <v>170</v>
      </c>
      <c r="M26" s="4" t="s">
        <v>525</v>
      </c>
      <c r="O26" s="2" t="s">
        <v>7</v>
      </c>
      <c r="P26" s="48">
        <f>P25/P24</f>
        <v>3.2948224219084297E-2</v>
      </c>
      <c r="Q26" s="6" t="s">
        <v>427</v>
      </c>
      <c r="R26" s="3">
        <v>0</v>
      </c>
      <c r="S26" s="5" t="s">
        <v>666</v>
      </c>
      <c r="T26" s="5" t="s">
        <v>1197</v>
      </c>
    </row>
    <row r="27" spans="1:20" x14ac:dyDescent="0.3">
      <c r="A27" s="2" t="s">
        <v>12</v>
      </c>
      <c r="B27" s="3" t="s">
        <v>143</v>
      </c>
      <c r="C27" s="5" t="s">
        <v>144</v>
      </c>
      <c r="D27" s="3">
        <v>0</v>
      </c>
      <c r="E27" s="4" t="s">
        <v>145</v>
      </c>
      <c r="F27" s="6" t="s">
        <v>142</v>
      </c>
      <c r="H27" s="2" t="s">
        <v>12</v>
      </c>
      <c r="I27" s="3" t="s">
        <v>219</v>
      </c>
      <c r="J27" s="5" t="s">
        <v>378</v>
      </c>
      <c r="K27" s="3">
        <v>0</v>
      </c>
      <c r="L27" s="6" t="s">
        <v>170</v>
      </c>
      <c r="M27" s="4" t="s">
        <v>525</v>
      </c>
      <c r="O27" s="2" t="s">
        <v>12</v>
      </c>
      <c r="P27" s="48">
        <f>P30/P24</f>
        <v>3.2092426187419767E-2</v>
      </c>
      <c r="Q27" s="6" t="s">
        <v>427</v>
      </c>
      <c r="R27" s="3">
        <v>0</v>
      </c>
      <c r="S27" s="5" t="s">
        <v>453</v>
      </c>
      <c r="T27" s="5" t="s">
        <v>1536</v>
      </c>
    </row>
    <row r="28" spans="1:20" x14ac:dyDescent="0.3">
      <c r="A28" s="2" t="s">
        <v>17</v>
      </c>
      <c r="B28" s="3" t="s">
        <v>146</v>
      </c>
      <c r="C28" s="4" t="s">
        <v>136</v>
      </c>
      <c r="D28" s="3" t="s">
        <v>25</v>
      </c>
      <c r="E28" s="6" t="s">
        <v>147</v>
      </c>
      <c r="F28" s="5" t="s">
        <v>148</v>
      </c>
      <c r="H28" s="2" t="s">
        <v>17</v>
      </c>
      <c r="I28" s="3" t="s">
        <v>78</v>
      </c>
      <c r="J28" s="5" t="s">
        <v>80</v>
      </c>
      <c r="K28" s="3" t="s">
        <v>25</v>
      </c>
      <c r="L28" s="4" t="s">
        <v>47</v>
      </c>
      <c r="M28" s="6" t="s">
        <v>101</v>
      </c>
      <c r="O28" s="2" t="s">
        <v>17</v>
      </c>
      <c r="P28" s="48">
        <f>P36/P24</f>
        <v>8.5579803166452718E-4</v>
      </c>
      <c r="Q28" s="3" t="s">
        <v>25</v>
      </c>
      <c r="R28" s="3" t="s">
        <v>25</v>
      </c>
      <c r="S28" s="6" t="s">
        <v>75</v>
      </c>
      <c r="T28" s="5" t="s">
        <v>75</v>
      </c>
    </row>
    <row r="29" spans="1:20" x14ac:dyDescent="0.3">
      <c r="A29" s="2" t="s">
        <v>22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H29" s="2" t="s">
        <v>22</v>
      </c>
      <c r="I29" s="3" t="s">
        <v>25</v>
      </c>
      <c r="J29" s="3" t="s">
        <v>25</v>
      </c>
      <c r="K29" s="3" t="s">
        <v>25</v>
      </c>
      <c r="L29" s="3" t="s">
        <v>25</v>
      </c>
      <c r="M29" s="3" t="s">
        <v>25</v>
      </c>
      <c r="O29" s="2" t="s">
        <v>22</v>
      </c>
      <c r="P29" s="3">
        <f>P39/P24</f>
        <v>0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 x14ac:dyDescent="0.3">
      <c r="A30" s="7" t="s">
        <v>26</v>
      </c>
      <c r="B30" s="8">
        <v>220</v>
      </c>
      <c r="C30" s="8">
        <v>89</v>
      </c>
      <c r="D30" s="8">
        <v>0</v>
      </c>
      <c r="E30" s="8">
        <v>57</v>
      </c>
      <c r="F30" s="8">
        <v>74</v>
      </c>
      <c r="H30" s="7" t="s">
        <v>26</v>
      </c>
      <c r="I30" s="8">
        <v>253</v>
      </c>
      <c r="J30" s="8">
        <v>128</v>
      </c>
      <c r="K30" s="8">
        <v>0</v>
      </c>
      <c r="L30" s="8">
        <v>101</v>
      </c>
      <c r="M30" s="8">
        <v>24</v>
      </c>
      <c r="O30" s="7" t="s">
        <v>26</v>
      </c>
      <c r="P30" s="8">
        <f>Q30+R30+S30+T30</f>
        <v>75</v>
      </c>
      <c r="Q30" s="8">
        <v>20</v>
      </c>
      <c r="R30" s="8">
        <v>0</v>
      </c>
      <c r="S30" s="8">
        <v>24</v>
      </c>
      <c r="T30" s="8">
        <v>31</v>
      </c>
    </row>
    <row r="31" spans="1:20" x14ac:dyDescent="0.3">
      <c r="A31" s="9" t="s">
        <v>27</v>
      </c>
      <c r="B31" s="10">
        <v>201</v>
      </c>
      <c r="C31" s="10">
        <v>84</v>
      </c>
      <c r="D31" s="10">
        <v>0</v>
      </c>
      <c r="E31" s="10">
        <v>53</v>
      </c>
      <c r="F31" s="10">
        <v>64</v>
      </c>
      <c r="H31" s="9" t="s">
        <v>27</v>
      </c>
      <c r="I31" s="10">
        <v>8</v>
      </c>
      <c r="J31" s="10">
        <v>3</v>
      </c>
      <c r="K31" s="10">
        <v>0</v>
      </c>
      <c r="L31" s="10">
        <v>5</v>
      </c>
      <c r="M31" s="10">
        <v>0</v>
      </c>
      <c r="O31" s="9" t="s">
        <v>27</v>
      </c>
      <c r="P31" s="10">
        <f>Q31+S31+T31</f>
        <v>10</v>
      </c>
      <c r="Q31" s="10">
        <v>1</v>
      </c>
      <c r="R31" s="10">
        <v>0</v>
      </c>
      <c r="S31" s="10">
        <v>3</v>
      </c>
      <c r="T31" s="10">
        <v>6</v>
      </c>
    </row>
    <row r="32" spans="1:20" x14ac:dyDescent="0.3">
      <c r="A32" s="9" t="s">
        <v>28</v>
      </c>
      <c r="B32" s="10">
        <v>1</v>
      </c>
      <c r="C32" s="10">
        <v>0</v>
      </c>
      <c r="D32" s="10">
        <v>0</v>
      </c>
      <c r="E32" s="10">
        <v>0</v>
      </c>
      <c r="F32" s="10">
        <v>1</v>
      </c>
      <c r="H32" s="9" t="s">
        <v>28</v>
      </c>
      <c r="I32" s="10">
        <v>12</v>
      </c>
      <c r="J32" s="10">
        <v>9</v>
      </c>
      <c r="K32" s="10">
        <v>0</v>
      </c>
      <c r="L32" s="10">
        <v>3</v>
      </c>
      <c r="M32" s="10">
        <v>0</v>
      </c>
      <c r="O32" s="9" t="s">
        <v>28</v>
      </c>
      <c r="P32" s="10">
        <f>Q32+S32+T32</f>
        <v>12</v>
      </c>
      <c r="Q32" s="10">
        <v>4</v>
      </c>
      <c r="R32" s="10">
        <v>0</v>
      </c>
      <c r="S32" s="10">
        <v>3</v>
      </c>
      <c r="T32" s="10">
        <v>5</v>
      </c>
    </row>
    <row r="33" spans="1:20" x14ac:dyDescent="0.3">
      <c r="A33" s="9" t="s">
        <v>29</v>
      </c>
      <c r="B33" s="10">
        <v>1</v>
      </c>
      <c r="C33" s="10">
        <v>0</v>
      </c>
      <c r="D33" s="10">
        <v>0</v>
      </c>
      <c r="E33" s="10">
        <v>0</v>
      </c>
      <c r="F33" s="10">
        <v>1</v>
      </c>
      <c r="H33" s="9" t="s">
        <v>29</v>
      </c>
      <c r="I33" s="10">
        <v>37</v>
      </c>
      <c r="J33" s="10">
        <v>11</v>
      </c>
      <c r="K33" s="10">
        <v>0</v>
      </c>
      <c r="L33" s="10">
        <v>11</v>
      </c>
      <c r="M33" s="10">
        <v>15</v>
      </c>
      <c r="O33" s="9" t="s">
        <v>29</v>
      </c>
      <c r="P33" s="10">
        <f>Q33+S33+T33</f>
        <v>29</v>
      </c>
      <c r="Q33" s="10">
        <v>6</v>
      </c>
      <c r="R33" s="10">
        <v>0</v>
      </c>
      <c r="S33" s="10">
        <v>9</v>
      </c>
      <c r="T33" s="10">
        <v>14</v>
      </c>
    </row>
    <row r="34" spans="1:20" x14ac:dyDescent="0.3">
      <c r="A34" s="9" t="s">
        <v>30</v>
      </c>
      <c r="B34" s="10">
        <v>17</v>
      </c>
      <c r="C34" s="10">
        <v>5</v>
      </c>
      <c r="D34" s="10">
        <v>0</v>
      </c>
      <c r="E34" s="10">
        <v>4</v>
      </c>
      <c r="F34" s="10">
        <v>8</v>
      </c>
      <c r="H34" s="9" t="s">
        <v>30</v>
      </c>
      <c r="I34" s="10">
        <v>196</v>
      </c>
      <c r="J34" s="10">
        <v>105</v>
      </c>
      <c r="K34" s="10">
        <v>0</v>
      </c>
      <c r="L34" s="10">
        <v>82</v>
      </c>
      <c r="M34" s="10">
        <v>9</v>
      </c>
      <c r="O34" s="9" t="s">
        <v>30</v>
      </c>
      <c r="P34" s="10">
        <f>Q34+S34+T34</f>
        <v>24</v>
      </c>
      <c r="Q34" s="10">
        <v>9</v>
      </c>
      <c r="R34" s="10">
        <v>0</v>
      </c>
      <c r="S34" s="10">
        <v>9</v>
      </c>
      <c r="T34" s="10">
        <v>6</v>
      </c>
    </row>
    <row r="35" spans="1:20" x14ac:dyDescent="0.3">
      <c r="A35" s="9" t="s">
        <v>31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H35" s="9" t="s">
        <v>31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O35" s="9" t="s">
        <v>31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3">
      <c r="A36" s="11" t="s">
        <v>32</v>
      </c>
      <c r="B36" s="12">
        <v>19</v>
      </c>
      <c r="C36" s="12">
        <v>4</v>
      </c>
      <c r="D36" s="12">
        <v>0</v>
      </c>
      <c r="E36" s="12">
        <v>6</v>
      </c>
      <c r="F36" s="12">
        <v>9</v>
      </c>
      <c r="H36" s="11" t="s">
        <v>32</v>
      </c>
      <c r="I36" s="12">
        <v>15</v>
      </c>
      <c r="J36" s="12">
        <v>9</v>
      </c>
      <c r="K36" s="12">
        <v>0</v>
      </c>
      <c r="L36" s="12">
        <v>3</v>
      </c>
      <c r="M36" s="12">
        <v>3</v>
      </c>
      <c r="O36" s="11" t="s">
        <v>32</v>
      </c>
      <c r="P36" s="12">
        <f>S36+T36</f>
        <v>2</v>
      </c>
      <c r="Q36" s="12">
        <v>0</v>
      </c>
      <c r="R36" s="12">
        <v>0</v>
      </c>
      <c r="S36" s="12">
        <v>1</v>
      </c>
      <c r="T36" s="12">
        <v>1</v>
      </c>
    </row>
    <row r="37" spans="1:20" x14ac:dyDescent="0.3">
      <c r="A37" s="13" t="s">
        <v>33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H37" s="13" t="s">
        <v>33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O37" s="13" t="s">
        <v>33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spans="1:20" x14ac:dyDescent="0.3">
      <c r="A38" s="13" t="s">
        <v>34</v>
      </c>
      <c r="B38" s="14">
        <v>19</v>
      </c>
      <c r="C38" s="14">
        <v>4</v>
      </c>
      <c r="D38" s="14">
        <v>0</v>
      </c>
      <c r="E38" s="14">
        <v>6</v>
      </c>
      <c r="F38" s="14">
        <v>9</v>
      </c>
      <c r="H38" s="13" t="s">
        <v>34</v>
      </c>
      <c r="I38" s="14">
        <v>15</v>
      </c>
      <c r="J38" s="14">
        <v>9</v>
      </c>
      <c r="K38" s="14">
        <v>0</v>
      </c>
      <c r="L38" s="14">
        <v>3</v>
      </c>
      <c r="M38" s="14">
        <v>3</v>
      </c>
      <c r="O38" s="13" t="s">
        <v>34</v>
      </c>
      <c r="P38" s="14">
        <v>2</v>
      </c>
      <c r="Q38" s="14">
        <v>0</v>
      </c>
      <c r="R38" s="14">
        <v>0</v>
      </c>
      <c r="S38" s="14">
        <v>1</v>
      </c>
      <c r="T38" s="14">
        <v>1</v>
      </c>
    </row>
    <row r="39" spans="1:20" x14ac:dyDescent="0.3">
      <c r="A39" s="15" t="s">
        <v>35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H39" s="15" t="s">
        <v>35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O39" s="15" t="s">
        <v>35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</row>
    <row r="40" spans="1:20" x14ac:dyDescent="0.3">
      <c r="A40" s="17" t="s">
        <v>36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H40" s="17" t="s">
        <v>36</v>
      </c>
      <c r="I40" s="56">
        <v>0</v>
      </c>
      <c r="J40" s="56">
        <v>0</v>
      </c>
      <c r="K40" s="78">
        <v>0</v>
      </c>
      <c r="L40" s="56">
        <v>0</v>
      </c>
      <c r="M40" s="56">
        <v>0</v>
      </c>
      <c r="O40" s="17" t="s">
        <v>36</v>
      </c>
      <c r="P40" s="112">
        <v>0</v>
      </c>
      <c r="Q40" s="112">
        <v>0</v>
      </c>
      <c r="R40" s="112">
        <v>0</v>
      </c>
      <c r="S40" s="112">
        <v>0</v>
      </c>
      <c r="T40" s="112">
        <v>0</v>
      </c>
    </row>
    <row r="41" spans="1:20" x14ac:dyDescent="0.3">
      <c r="A41" s="17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H41" s="17" t="s">
        <v>37</v>
      </c>
      <c r="I41" s="56">
        <v>0</v>
      </c>
      <c r="J41" s="56">
        <v>0</v>
      </c>
      <c r="K41" s="78">
        <v>0</v>
      </c>
      <c r="L41" s="56">
        <v>0</v>
      </c>
      <c r="M41" s="56">
        <v>0</v>
      </c>
      <c r="O41" s="17" t="s">
        <v>37</v>
      </c>
      <c r="P41" s="112">
        <v>0</v>
      </c>
      <c r="Q41" s="112">
        <v>0</v>
      </c>
      <c r="R41" s="112">
        <v>0</v>
      </c>
      <c r="S41" s="112">
        <v>0</v>
      </c>
      <c r="T41" s="112">
        <v>0</v>
      </c>
    </row>
    <row r="42" spans="1:20" x14ac:dyDescent="0.3">
      <c r="A42" s="17" t="s">
        <v>38</v>
      </c>
      <c r="B42" s="172" t="s">
        <v>149</v>
      </c>
      <c r="C42" s="173"/>
      <c r="D42" s="173"/>
      <c r="E42" s="173"/>
      <c r="F42" s="173"/>
      <c r="H42" s="17" t="s">
        <v>38</v>
      </c>
      <c r="I42" s="172" t="s">
        <v>208</v>
      </c>
      <c r="J42" s="173"/>
      <c r="K42" s="173"/>
      <c r="L42" s="173"/>
      <c r="M42" s="173"/>
      <c r="O42" s="17" t="s">
        <v>38</v>
      </c>
      <c r="P42" s="175" t="s">
        <v>1600</v>
      </c>
      <c r="Q42" s="176"/>
      <c r="R42" s="176"/>
      <c r="S42" s="176"/>
      <c r="T42" s="176"/>
    </row>
    <row r="43" spans="1:20" ht="19.8" x14ac:dyDescent="0.3">
      <c r="A43" s="171">
        <v>46085</v>
      </c>
      <c r="B43" s="171"/>
      <c r="C43" s="171"/>
      <c r="D43" s="171"/>
      <c r="E43" s="171"/>
      <c r="F43" s="171"/>
      <c r="H43" s="171">
        <v>46115</v>
      </c>
      <c r="I43" s="174"/>
      <c r="J43" s="174"/>
      <c r="K43" s="174"/>
      <c r="L43" s="174"/>
      <c r="M43" s="174"/>
      <c r="O43" s="170">
        <v>46147</v>
      </c>
      <c r="P43" s="170"/>
      <c r="Q43" s="170"/>
      <c r="R43" s="170"/>
      <c r="S43" s="170"/>
      <c r="T43" s="170"/>
    </row>
    <row r="44" spans="1:20" x14ac:dyDescent="0.3">
      <c r="A44" s="1" t="s">
        <v>0</v>
      </c>
      <c r="B44" s="1" t="s">
        <v>1</v>
      </c>
      <c r="C44" s="1" t="s">
        <v>2</v>
      </c>
      <c r="D44" s="1" t="s">
        <v>760</v>
      </c>
      <c r="E44" s="1" t="s">
        <v>40</v>
      </c>
      <c r="F44" s="1" t="s">
        <v>4</v>
      </c>
      <c r="H44" s="1" t="s">
        <v>0</v>
      </c>
      <c r="I44" s="1" t="s">
        <v>1</v>
      </c>
      <c r="J44" s="1" t="s">
        <v>2</v>
      </c>
      <c r="K44" s="1" t="s">
        <v>760</v>
      </c>
      <c r="L44" s="1" t="s">
        <v>40</v>
      </c>
      <c r="M44" s="1" t="s">
        <v>4</v>
      </c>
      <c r="O44" s="1" t="s">
        <v>0</v>
      </c>
      <c r="P44" s="1" t="s">
        <v>1</v>
      </c>
      <c r="Q44" s="1" t="s">
        <v>2</v>
      </c>
      <c r="R44" s="1" t="s">
        <v>760</v>
      </c>
      <c r="S44" s="1" t="s">
        <v>40</v>
      </c>
      <c r="T44" s="1" t="s">
        <v>4</v>
      </c>
    </row>
    <row r="45" spans="1:20" x14ac:dyDescent="0.3">
      <c r="A45" s="2" t="s">
        <v>5</v>
      </c>
      <c r="B45" s="3">
        <v>4681</v>
      </c>
      <c r="C45" s="3">
        <v>1664</v>
      </c>
      <c r="D45" s="3">
        <v>0</v>
      </c>
      <c r="E45" s="3">
        <v>1526</v>
      </c>
      <c r="F45" s="3">
        <v>1491</v>
      </c>
      <c r="H45" s="2" t="s">
        <v>5</v>
      </c>
      <c r="I45" s="3">
        <v>3392</v>
      </c>
      <c r="J45" s="3">
        <v>1166</v>
      </c>
      <c r="K45" s="3">
        <v>0</v>
      </c>
      <c r="L45" s="3">
        <v>1136</v>
      </c>
      <c r="M45" s="3">
        <v>1090</v>
      </c>
      <c r="O45" s="2" t="s">
        <v>5</v>
      </c>
      <c r="P45" s="3">
        <v>2631</v>
      </c>
      <c r="Q45" s="3">
        <v>918</v>
      </c>
      <c r="R45" s="3">
        <v>0</v>
      </c>
      <c r="S45" s="3">
        <v>867</v>
      </c>
      <c r="T45" s="3">
        <v>846</v>
      </c>
    </row>
    <row r="46" spans="1:20" x14ac:dyDescent="0.3">
      <c r="A46" s="2" t="s">
        <v>6</v>
      </c>
      <c r="B46" s="3">
        <v>173</v>
      </c>
      <c r="C46" s="5">
        <v>72</v>
      </c>
      <c r="D46" s="3">
        <v>0</v>
      </c>
      <c r="E46" s="4">
        <v>46</v>
      </c>
      <c r="F46" s="6">
        <v>55</v>
      </c>
      <c r="H46" s="2" t="s">
        <v>6</v>
      </c>
      <c r="I46" s="3">
        <v>347</v>
      </c>
      <c r="J46" s="6">
        <v>129</v>
      </c>
      <c r="K46" s="3">
        <v>0</v>
      </c>
      <c r="L46" s="5">
        <v>165</v>
      </c>
      <c r="M46" s="4">
        <v>53</v>
      </c>
      <c r="O46" s="2" t="s">
        <v>6</v>
      </c>
      <c r="P46" s="3">
        <v>55</v>
      </c>
      <c r="Q46" s="5">
        <v>23</v>
      </c>
      <c r="R46" s="3">
        <v>0</v>
      </c>
      <c r="S46" s="4">
        <v>13</v>
      </c>
      <c r="T46" s="6">
        <v>19</v>
      </c>
    </row>
    <row r="47" spans="1:20" x14ac:dyDescent="0.3">
      <c r="A47" s="2" t="s">
        <v>7</v>
      </c>
      <c r="B47" s="3" t="s">
        <v>143</v>
      </c>
      <c r="C47" s="5" t="s">
        <v>204</v>
      </c>
      <c r="D47" s="3">
        <v>0</v>
      </c>
      <c r="E47" s="4" t="s">
        <v>205</v>
      </c>
      <c r="F47" s="6" t="s">
        <v>206</v>
      </c>
      <c r="H47" s="2" t="s">
        <v>7</v>
      </c>
      <c r="I47" s="3" t="s">
        <v>1263</v>
      </c>
      <c r="J47" s="6" t="s">
        <v>1264</v>
      </c>
      <c r="K47" s="3">
        <v>0</v>
      </c>
      <c r="L47" s="5" t="s">
        <v>1265</v>
      </c>
      <c r="M47" s="4" t="s">
        <v>1266</v>
      </c>
      <c r="O47" s="2" t="s">
        <v>7</v>
      </c>
      <c r="P47" s="3" t="s">
        <v>511</v>
      </c>
      <c r="Q47" s="5" t="s">
        <v>548</v>
      </c>
      <c r="R47" s="3">
        <v>0</v>
      </c>
      <c r="S47" s="4" t="s">
        <v>281</v>
      </c>
      <c r="T47" s="6" t="s">
        <v>534</v>
      </c>
    </row>
    <row r="48" spans="1:20" x14ac:dyDescent="0.3">
      <c r="A48" s="2" t="s">
        <v>12</v>
      </c>
      <c r="B48" s="3" t="s">
        <v>195</v>
      </c>
      <c r="C48" s="5" t="s">
        <v>207</v>
      </c>
      <c r="D48" s="3">
        <v>0</v>
      </c>
      <c r="E48" s="4" t="s">
        <v>205</v>
      </c>
      <c r="F48" s="6" t="s">
        <v>206</v>
      </c>
      <c r="H48" s="2" t="s">
        <v>12</v>
      </c>
      <c r="I48" s="3" t="s">
        <v>291</v>
      </c>
      <c r="J48" s="6" t="s">
        <v>1267</v>
      </c>
      <c r="K48" s="3">
        <v>0</v>
      </c>
      <c r="L48" s="5" t="s">
        <v>1265</v>
      </c>
      <c r="M48" s="4" t="s">
        <v>1266</v>
      </c>
      <c r="O48" s="2" t="s">
        <v>12</v>
      </c>
      <c r="P48" s="3" t="s">
        <v>525</v>
      </c>
      <c r="Q48" s="5" t="s">
        <v>548</v>
      </c>
      <c r="R48" s="3">
        <v>0</v>
      </c>
      <c r="S48" s="4" t="s">
        <v>281</v>
      </c>
      <c r="T48" s="6" t="s">
        <v>1382</v>
      </c>
    </row>
    <row r="49" spans="1:20" x14ac:dyDescent="0.3">
      <c r="A49" s="2" t="s">
        <v>17</v>
      </c>
      <c r="B49" s="3" t="s">
        <v>49</v>
      </c>
      <c r="C49" s="6" t="s">
        <v>102</v>
      </c>
      <c r="D49" s="3" t="s">
        <v>25</v>
      </c>
      <c r="E49" s="5" t="s">
        <v>75</v>
      </c>
      <c r="F49" s="4" t="s">
        <v>138</v>
      </c>
      <c r="H49" s="2" t="s">
        <v>17</v>
      </c>
      <c r="I49" s="3" t="s">
        <v>135</v>
      </c>
      <c r="J49" s="4" t="s">
        <v>101</v>
      </c>
      <c r="K49" s="3" t="s">
        <v>25</v>
      </c>
      <c r="L49" s="5" t="s">
        <v>119</v>
      </c>
      <c r="M49" s="6" t="s">
        <v>200</v>
      </c>
      <c r="O49" s="2" t="s">
        <v>17</v>
      </c>
      <c r="P49" s="3" t="s">
        <v>257</v>
      </c>
      <c r="Q49" s="3" t="s">
        <v>25</v>
      </c>
      <c r="R49" s="3" t="s">
        <v>25</v>
      </c>
      <c r="S49" s="3" t="s">
        <v>25</v>
      </c>
      <c r="T49" s="5" t="s">
        <v>102</v>
      </c>
    </row>
    <row r="50" spans="1:20" x14ac:dyDescent="0.3">
      <c r="A50" s="2" t="s">
        <v>22</v>
      </c>
      <c r="B50" s="3" t="s">
        <v>25</v>
      </c>
      <c r="C50" s="3" t="s">
        <v>25</v>
      </c>
      <c r="D50" s="3" t="s">
        <v>25</v>
      </c>
      <c r="E50" s="3" t="s">
        <v>25</v>
      </c>
      <c r="F50" s="3" t="s">
        <v>25</v>
      </c>
      <c r="H50" s="2" t="s">
        <v>22</v>
      </c>
      <c r="I50" s="3" t="s">
        <v>552</v>
      </c>
      <c r="J50" s="3" t="s">
        <v>25</v>
      </c>
      <c r="K50" s="3" t="s">
        <v>25</v>
      </c>
      <c r="L50" s="3" t="s">
        <v>25</v>
      </c>
      <c r="M50" s="5" t="s">
        <v>84</v>
      </c>
      <c r="O50" s="2" t="s">
        <v>22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 x14ac:dyDescent="0.3">
      <c r="A51" s="7" t="s">
        <v>26</v>
      </c>
      <c r="B51" s="8">
        <v>171</v>
      </c>
      <c r="C51" s="8">
        <v>70</v>
      </c>
      <c r="D51" s="8">
        <v>0</v>
      </c>
      <c r="E51" s="8">
        <v>46</v>
      </c>
      <c r="F51" s="8">
        <v>55</v>
      </c>
      <c r="H51" s="7" t="s">
        <v>26</v>
      </c>
      <c r="I51" s="8">
        <v>344</v>
      </c>
      <c r="J51" s="8">
        <v>126</v>
      </c>
      <c r="K51" s="8">
        <v>0</v>
      </c>
      <c r="L51" s="8">
        <v>165</v>
      </c>
      <c r="M51" s="8">
        <v>53</v>
      </c>
      <c r="O51" s="7" t="s">
        <v>26</v>
      </c>
      <c r="P51" s="8">
        <v>54</v>
      </c>
      <c r="Q51" s="8">
        <v>23</v>
      </c>
      <c r="R51" s="8">
        <v>0</v>
      </c>
      <c r="S51" s="8">
        <v>13</v>
      </c>
      <c r="T51" s="8">
        <v>18</v>
      </c>
    </row>
    <row r="52" spans="1:20" x14ac:dyDescent="0.3">
      <c r="A52" s="9" t="s">
        <v>27</v>
      </c>
      <c r="B52" s="10">
        <v>162</v>
      </c>
      <c r="C52" s="10">
        <v>66</v>
      </c>
      <c r="D52" s="10">
        <v>0</v>
      </c>
      <c r="E52" s="10">
        <v>43</v>
      </c>
      <c r="F52" s="10">
        <v>53</v>
      </c>
      <c r="H52" s="9" t="s">
        <v>27</v>
      </c>
      <c r="I52" s="10">
        <v>17</v>
      </c>
      <c r="J52" s="10">
        <v>10</v>
      </c>
      <c r="K52" s="10">
        <v>0</v>
      </c>
      <c r="L52" s="10">
        <v>5</v>
      </c>
      <c r="M52" s="10">
        <v>2</v>
      </c>
      <c r="O52" s="9" t="s">
        <v>27</v>
      </c>
      <c r="P52" s="10">
        <v>11</v>
      </c>
      <c r="Q52" s="10">
        <v>7</v>
      </c>
      <c r="R52" s="10">
        <v>0</v>
      </c>
      <c r="S52" s="10">
        <v>1</v>
      </c>
      <c r="T52" s="10">
        <v>3</v>
      </c>
    </row>
    <row r="53" spans="1:20" x14ac:dyDescent="0.3">
      <c r="A53" s="9" t="s">
        <v>28</v>
      </c>
      <c r="B53" s="10">
        <v>1</v>
      </c>
      <c r="C53" s="10">
        <v>1</v>
      </c>
      <c r="D53" s="10">
        <v>0</v>
      </c>
      <c r="E53" s="10">
        <v>0</v>
      </c>
      <c r="F53" s="10">
        <v>0</v>
      </c>
      <c r="H53" s="9" t="s">
        <v>28</v>
      </c>
      <c r="I53" s="10">
        <v>21</v>
      </c>
      <c r="J53" s="10">
        <v>5</v>
      </c>
      <c r="K53" s="10">
        <v>0</v>
      </c>
      <c r="L53" s="10">
        <v>3</v>
      </c>
      <c r="M53" s="10">
        <v>13</v>
      </c>
      <c r="O53" s="9" t="s">
        <v>28</v>
      </c>
      <c r="P53" s="10">
        <v>9</v>
      </c>
      <c r="Q53" s="10">
        <v>2</v>
      </c>
      <c r="R53" s="10">
        <v>0</v>
      </c>
      <c r="S53" s="10">
        <v>1</v>
      </c>
      <c r="T53" s="10">
        <v>6</v>
      </c>
    </row>
    <row r="54" spans="1:20" x14ac:dyDescent="0.3">
      <c r="A54" s="9" t="s">
        <v>29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H54" s="9" t="s">
        <v>29</v>
      </c>
      <c r="I54" s="10">
        <v>54</v>
      </c>
      <c r="J54" s="10">
        <v>21</v>
      </c>
      <c r="K54" s="10">
        <v>0</v>
      </c>
      <c r="L54" s="10">
        <v>9</v>
      </c>
      <c r="M54" s="10">
        <v>24</v>
      </c>
      <c r="O54" s="9" t="s">
        <v>29</v>
      </c>
      <c r="P54" s="10">
        <v>21</v>
      </c>
      <c r="Q54" s="10">
        <v>10</v>
      </c>
      <c r="R54" s="10">
        <v>0</v>
      </c>
      <c r="S54" s="10">
        <v>8</v>
      </c>
      <c r="T54" s="10">
        <v>3</v>
      </c>
    </row>
    <row r="55" spans="1:20" x14ac:dyDescent="0.3">
      <c r="A55" s="9" t="s">
        <v>30</v>
      </c>
      <c r="B55" s="10">
        <v>8</v>
      </c>
      <c r="C55" s="10">
        <v>3</v>
      </c>
      <c r="D55" s="10">
        <v>0</v>
      </c>
      <c r="E55" s="10">
        <v>3</v>
      </c>
      <c r="F55" s="10">
        <v>2</v>
      </c>
      <c r="H55" s="9" t="s">
        <v>30</v>
      </c>
      <c r="I55" s="10">
        <v>252</v>
      </c>
      <c r="J55" s="10">
        <v>90</v>
      </c>
      <c r="K55" s="10">
        <v>0</v>
      </c>
      <c r="L55" s="10">
        <v>148</v>
      </c>
      <c r="M55" s="10">
        <v>14</v>
      </c>
      <c r="O55" s="9" t="s">
        <v>30</v>
      </c>
      <c r="P55" s="10">
        <v>13</v>
      </c>
      <c r="Q55" s="10">
        <v>4</v>
      </c>
      <c r="R55" s="10">
        <v>0</v>
      </c>
      <c r="S55" s="10">
        <v>3</v>
      </c>
      <c r="T55" s="10">
        <v>6</v>
      </c>
    </row>
    <row r="56" spans="1:20" x14ac:dyDescent="0.3">
      <c r="A56" s="9" t="s">
        <v>31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H56" s="9" t="s">
        <v>31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O56" s="9" t="s">
        <v>31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3">
      <c r="A57" s="11" t="s">
        <v>32</v>
      </c>
      <c r="B57" s="12">
        <v>5</v>
      </c>
      <c r="C57" s="12">
        <v>2</v>
      </c>
      <c r="D57" s="12">
        <v>0</v>
      </c>
      <c r="E57" s="12">
        <v>2</v>
      </c>
      <c r="F57" s="12">
        <v>1</v>
      </c>
      <c r="H57" s="11" t="s">
        <v>32</v>
      </c>
      <c r="I57" s="12">
        <v>12</v>
      </c>
      <c r="J57" s="12">
        <v>3</v>
      </c>
      <c r="K57" s="12">
        <v>0</v>
      </c>
      <c r="L57" s="12">
        <v>5</v>
      </c>
      <c r="M57" s="12">
        <v>4</v>
      </c>
      <c r="O57" s="11" t="s">
        <v>32</v>
      </c>
      <c r="P57" s="12">
        <v>1</v>
      </c>
      <c r="Q57" s="12">
        <v>0</v>
      </c>
      <c r="R57" s="12">
        <v>0</v>
      </c>
      <c r="S57" s="12">
        <v>0</v>
      </c>
      <c r="T57" s="12">
        <v>1</v>
      </c>
    </row>
    <row r="58" spans="1:20" x14ac:dyDescent="0.3">
      <c r="A58" s="13" t="s">
        <v>33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H58" s="13" t="s">
        <v>33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O58" s="13" t="s">
        <v>33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</row>
    <row r="59" spans="1:20" x14ac:dyDescent="0.3">
      <c r="A59" s="13" t="s">
        <v>34</v>
      </c>
      <c r="B59" s="14">
        <v>5</v>
      </c>
      <c r="C59" s="14">
        <v>2</v>
      </c>
      <c r="D59" s="14">
        <v>0</v>
      </c>
      <c r="E59" s="14">
        <v>2</v>
      </c>
      <c r="F59" s="14">
        <v>1</v>
      </c>
      <c r="H59" s="13" t="s">
        <v>34</v>
      </c>
      <c r="I59" s="14">
        <v>12</v>
      </c>
      <c r="J59" s="14">
        <v>3</v>
      </c>
      <c r="K59" s="14">
        <v>0</v>
      </c>
      <c r="L59" s="14">
        <v>5</v>
      </c>
      <c r="M59" s="14">
        <v>4</v>
      </c>
      <c r="O59" s="13" t="s">
        <v>34</v>
      </c>
      <c r="P59" s="14">
        <v>1</v>
      </c>
      <c r="Q59" s="14">
        <v>0</v>
      </c>
      <c r="R59" s="14">
        <v>0</v>
      </c>
      <c r="S59" s="14">
        <v>0</v>
      </c>
      <c r="T59" s="14">
        <v>1</v>
      </c>
    </row>
    <row r="60" spans="1:20" x14ac:dyDescent="0.3">
      <c r="A60" s="15" t="s">
        <v>35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H60" s="15" t="s">
        <v>35</v>
      </c>
      <c r="I60" s="16">
        <v>1</v>
      </c>
      <c r="J60" s="16">
        <v>0</v>
      </c>
      <c r="K60" s="16">
        <v>0</v>
      </c>
      <c r="L60" s="16">
        <v>0</v>
      </c>
      <c r="M60" s="16">
        <v>1</v>
      </c>
      <c r="O60" s="15" t="s">
        <v>35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</row>
    <row r="61" spans="1:20" x14ac:dyDescent="0.3">
      <c r="A61" s="17" t="s">
        <v>36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H61" s="17" t="s">
        <v>36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O61" s="17" t="s">
        <v>36</v>
      </c>
      <c r="P61" s="112">
        <v>0</v>
      </c>
      <c r="Q61" s="112">
        <v>0</v>
      </c>
      <c r="R61" s="112">
        <v>0</v>
      </c>
      <c r="S61" s="112">
        <v>0</v>
      </c>
      <c r="T61" s="112">
        <v>0</v>
      </c>
    </row>
    <row r="62" spans="1:20" x14ac:dyDescent="0.3">
      <c r="A62" s="17" t="s">
        <v>37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H62" s="17" t="s">
        <v>37</v>
      </c>
      <c r="I62" s="78">
        <v>1</v>
      </c>
      <c r="J62" s="78">
        <v>0</v>
      </c>
      <c r="K62" s="78">
        <v>0</v>
      </c>
      <c r="L62" s="78">
        <v>0</v>
      </c>
      <c r="M62" s="78">
        <v>1</v>
      </c>
      <c r="O62" s="17" t="s">
        <v>37</v>
      </c>
      <c r="P62" s="112">
        <v>0</v>
      </c>
      <c r="Q62" s="112">
        <v>0</v>
      </c>
      <c r="R62" s="112">
        <v>0</v>
      </c>
      <c r="S62" s="112">
        <v>0</v>
      </c>
      <c r="T62" s="112">
        <v>0</v>
      </c>
    </row>
    <row r="63" spans="1:20" x14ac:dyDescent="0.3">
      <c r="A63" s="17" t="s">
        <v>38</v>
      </c>
      <c r="B63" s="172" t="s">
        <v>208</v>
      </c>
      <c r="C63" s="173"/>
      <c r="D63" s="173"/>
      <c r="E63" s="173"/>
      <c r="F63" s="173"/>
      <c r="H63" s="17" t="s">
        <v>38</v>
      </c>
      <c r="I63" s="172" t="s">
        <v>208</v>
      </c>
      <c r="J63" s="173"/>
      <c r="K63" s="173"/>
      <c r="L63" s="173"/>
      <c r="M63" s="173"/>
      <c r="O63" s="17" t="s">
        <v>38</v>
      </c>
      <c r="P63" s="175" t="s">
        <v>1600</v>
      </c>
      <c r="Q63" s="176"/>
      <c r="R63" s="176"/>
      <c r="S63" s="176"/>
      <c r="T63" s="176"/>
    </row>
    <row r="64" spans="1:20" ht="19.8" x14ac:dyDescent="0.3">
      <c r="A64" s="171">
        <v>46086</v>
      </c>
      <c r="B64" s="171"/>
      <c r="C64" s="171"/>
      <c r="D64" s="171"/>
      <c r="E64" s="171"/>
      <c r="F64" s="171"/>
      <c r="H64" s="171">
        <v>46116</v>
      </c>
      <c r="I64" s="171"/>
      <c r="J64" s="171"/>
      <c r="K64" s="171"/>
      <c r="L64" s="171"/>
      <c r="M64" s="171"/>
      <c r="O64" s="170">
        <v>46148</v>
      </c>
      <c r="P64" s="170"/>
      <c r="Q64" s="170"/>
      <c r="R64" s="170"/>
      <c r="S64" s="170"/>
      <c r="T64" s="170"/>
    </row>
    <row r="65" spans="1:20" x14ac:dyDescent="0.3">
      <c r="A65" s="1" t="s">
        <v>0</v>
      </c>
      <c r="B65" s="1" t="s">
        <v>1</v>
      </c>
      <c r="C65" s="1" t="s">
        <v>2</v>
      </c>
      <c r="D65" s="1" t="s">
        <v>760</v>
      </c>
      <c r="E65" s="1" t="s">
        <v>40</v>
      </c>
      <c r="F65" s="1" t="s">
        <v>4</v>
      </c>
      <c r="H65" s="1" t="s">
        <v>0</v>
      </c>
      <c r="I65" s="1" t="s">
        <v>1</v>
      </c>
      <c r="J65" s="1" t="s">
        <v>2</v>
      </c>
      <c r="K65" s="1" t="s">
        <v>760</v>
      </c>
      <c r="L65" s="1" t="s">
        <v>40</v>
      </c>
      <c r="M65" s="1" t="s">
        <v>4</v>
      </c>
      <c r="O65" s="1" t="s">
        <v>0</v>
      </c>
      <c r="P65" s="1" t="s">
        <v>1</v>
      </c>
      <c r="Q65" s="1" t="s">
        <v>2</v>
      </c>
      <c r="R65" s="1" t="s">
        <v>760</v>
      </c>
      <c r="S65" s="1" t="s">
        <v>40</v>
      </c>
      <c r="T65" s="1" t="s">
        <v>4</v>
      </c>
    </row>
    <row r="66" spans="1:20" x14ac:dyDescent="0.3">
      <c r="A66" s="2" t="s">
        <v>5</v>
      </c>
      <c r="B66" s="3">
        <v>6877</v>
      </c>
      <c r="C66" s="3">
        <v>2457</v>
      </c>
      <c r="D66" s="3">
        <v>0</v>
      </c>
      <c r="E66" s="3">
        <v>2255</v>
      </c>
      <c r="F66" s="3">
        <v>2165</v>
      </c>
      <c r="H66" s="2" t="s">
        <v>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O66" s="2" t="s">
        <v>5</v>
      </c>
      <c r="P66" s="3">
        <v>3150</v>
      </c>
      <c r="Q66" s="3">
        <v>1131</v>
      </c>
      <c r="R66" s="3">
        <v>0</v>
      </c>
      <c r="S66" s="3">
        <v>1025</v>
      </c>
      <c r="T66" s="3">
        <v>994</v>
      </c>
    </row>
    <row r="67" spans="1:20" x14ac:dyDescent="0.3">
      <c r="A67" s="2" t="s">
        <v>6</v>
      </c>
      <c r="B67" s="3">
        <v>341</v>
      </c>
      <c r="C67" s="5">
        <v>133</v>
      </c>
      <c r="D67" s="3">
        <v>0</v>
      </c>
      <c r="E67" s="4">
        <v>100</v>
      </c>
      <c r="F67" s="6">
        <v>108</v>
      </c>
      <c r="H67" s="2" t="s">
        <v>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O67" s="2" t="s">
        <v>6</v>
      </c>
      <c r="P67" s="3">
        <v>98</v>
      </c>
      <c r="Q67" s="5">
        <v>44</v>
      </c>
      <c r="R67" s="3">
        <v>0</v>
      </c>
      <c r="S67" s="6">
        <v>27</v>
      </c>
      <c r="T67" s="6">
        <v>27</v>
      </c>
    </row>
    <row r="68" spans="1:20" x14ac:dyDescent="0.3">
      <c r="A68" s="2" t="s">
        <v>7</v>
      </c>
      <c r="B68" s="3" t="s">
        <v>254</v>
      </c>
      <c r="C68" s="5" t="s">
        <v>255</v>
      </c>
      <c r="D68" s="3">
        <v>0</v>
      </c>
      <c r="E68" s="4" t="s">
        <v>191</v>
      </c>
      <c r="F68" s="6" t="s">
        <v>256</v>
      </c>
      <c r="H68" s="2" t="s">
        <v>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O68" s="2" t="s">
        <v>7</v>
      </c>
      <c r="P68" s="3" t="s">
        <v>1467</v>
      </c>
      <c r="Q68" s="5" t="s">
        <v>343</v>
      </c>
      <c r="R68" s="3">
        <v>0</v>
      </c>
      <c r="S68" s="4" t="s">
        <v>557</v>
      </c>
      <c r="T68" s="6" t="s">
        <v>440</v>
      </c>
    </row>
    <row r="69" spans="1:20" x14ac:dyDescent="0.3">
      <c r="A69" s="2" t="s">
        <v>12</v>
      </c>
      <c r="B69" s="3" t="s">
        <v>254</v>
      </c>
      <c r="C69" s="5" t="s">
        <v>255</v>
      </c>
      <c r="D69" s="3">
        <v>0</v>
      </c>
      <c r="E69" s="4" t="s">
        <v>191</v>
      </c>
      <c r="F69" s="6" t="s">
        <v>256</v>
      </c>
      <c r="H69" s="2" t="s">
        <v>12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O69" s="2" t="s">
        <v>12</v>
      </c>
      <c r="P69" s="3" t="s">
        <v>1346</v>
      </c>
      <c r="Q69" s="5" t="s">
        <v>252</v>
      </c>
      <c r="R69" s="3">
        <v>0</v>
      </c>
      <c r="S69" s="4" t="s">
        <v>557</v>
      </c>
      <c r="T69" s="6" t="s">
        <v>440</v>
      </c>
    </row>
    <row r="70" spans="1:20" x14ac:dyDescent="0.3">
      <c r="A70" s="2" t="s">
        <v>17</v>
      </c>
      <c r="B70" s="3" t="s">
        <v>257</v>
      </c>
      <c r="C70" s="3" t="s">
        <v>25</v>
      </c>
      <c r="D70" s="3" t="s">
        <v>25</v>
      </c>
      <c r="E70" s="6" t="s">
        <v>257</v>
      </c>
      <c r="F70" s="5" t="s">
        <v>84</v>
      </c>
      <c r="H70" s="2" t="s">
        <v>17</v>
      </c>
      <c r="I70" s="3" t="s">
        <v>25</v>
      </c>
      <c r="J70" s="3" t="s">
        <v>25</v>
      </c>
      <c r="K70" s="3" t="s">
        <v>25</v>
      </c>
      <c r="L70" s="3" t="s">
        <v>25</v>
      </c>
      <c r="M70" s="3" t="s">
        <v>25</v>
      </c>
      <c r="O70" s="2" t="s">
        <v>17</v>
      </c>
      <c r="P70" s="3" t="s">
        <v>268</v>
      </c>
      <c r="Q70" s="5" t="s">
        <v>109</v>
      </c>
      <c r="R70" s="3" t="s">
        <v>25</v>
      </c>
      <c r="S70" s="3" t="s">
        <v>25</v>
      </c>
      <c r="T70" s="3" t="s">
        <v>25</v>
      </c>
    </row>
    <row r="71" spans="1:20" x14ac:dyDescent="0.3">
      <c r="A71" s="2" t="s">
        <v>22</v>
      </c>
      <c r="B71" s="3" t="s">
        <v>258</v>
      </c>
      <c r="C71" s="5" t="s">
        <v>257</v>
      </c>
      <c r="D71" s="3" t="s">
        <v>25</v>
      </c>
      <c r="E71" s="3" t="s">
        <v>25</v>
      </c>
      <c r="F71" s="3" t="s">
        <v>25</v>
      </c>
      <c r="H71" s="2" t="s">
        <v>22</v>
      </c>
      <c r="I71" s="3" t="s">
        <v>25</v>
      </c>
      <c r="J71" s="3" t="s">
        <v>25</v>
      </c>
      <c r="K71" s="3" t="s">
        <v>25</v>
      </c>
      <c r="L71" s="3" t="s">
        <v>25</v>
      </c>
      <c r="M71" s="3" t="s">
        <v>25</v>
      </c>
      <c r="O71" s="2" t="s">
        <v>22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 x14ac:dyDescent="0.3">
      <c r="A72" s="7" t="s">
        <v>26</v>
      </c>
      <c r="B72" s="8">
        <v>341</v>
      </c>
      <c r="C72" s="8">
        <v>133</v>
      </c>
      <c r="D72" s="8">
        <v>0</v>
      </c>
      <c r="E72" s="8">
        <v>100</v>
      </c>
      <c r="F72" s="8">
        <v>108</v>
      </c>
      <c r="H72" s="7" t="s">
        <v>26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O72" s="7" t="s">
        <v>26</v>
      </c>
      <c r="P72" s="8">
        <v>96</v>
      </c>
      <c r="Q72" s="8">
        <v>42</v>
      </c>
      <c r="R72" s="8">
        <v>0</v>
      </c>
      <c r="S72" s="8">
        <v>27</v>
      </c>
      <c r="T72" s="8">
        <v>27</v>
      </c>
    </row>
    <row r="73" spans="1:20" x14ac:dyDescent="0.3">
      <c r="A73" s="9" t="s">
        <v>27</v>
      </c>
      <c r="B73" s="10">
        <v>193</v>
      </c>
      <c r="C73" s="10">
        <v>85</v>
      </c>
      <c r="D73" s="10">
        <v>0</v>
      </c>
      <c r="E73" s="10">
        <v>55</v>
      </c>
      <c r="F73" s="10">
        <v>53</v>
      </c>
      <c r="H73" s="9" t="s">
        <v>27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O73" s="9" t="s">
        <v>27</v>
      </c>
      <c r="P73" s="10">
        <v>13</v>
      </c>
      <c r="Q73" s="10">
        <v>6</v>
      </c>
      <c r="R73" s="10">
        <v>0</v>
      </c>
      <c r="S73" s="10">
        <v>4</v>
      </c>
      <c r="T73" s="10">
        <v>3</v>
      </c>
    </row>
    <row r="74" spans="1:20" x14ac:dyDescent="0.3">
      <c r="A74" s="9" t="s">
        <v>28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H74" s="9" t="s">
        <v>28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O74" s="9" t="s">
        <v>28</v>
      </c>
      <c r="P74" s="10">
        <v>5</v>
      </c>
      <c r="Q74" s="10">
        <v>0</v>
      </c>
      <c r="R74" s="10">
        <v>0</v>
      </c>
      <c r="S74" s="10">
        <v>2</v>
      </c>
      <c r="T74" s="10">
        <v>3</v>
      </c>
    </row>
    <row r="75" spans="1:20" x14ac:dyDescent="0.3">
      <c r="A75" s="9" t="s">
        <v>29</v>
      </c>
      <c r="B75" s="10">
        <v>103</v>
      </c>
      <c r="C75" s="10">
        <v>28</v>
      </c>
      <c r="D75" s="10">
        <v>0</v>
      </c>
      <c r="E75" s="10">
        <v>32</v>
      </c>
      <c r="F75" s="10">
        <v>43</v>
      </c>
      <c r="H75" s="9" t="s">
        <v>29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O75" s="9" t="s">
        <v>29</v>
      </c>
      <c r="P75" s="10">
        <v>48</v>
      </c>
      <c r="Q75" s="10">
        <v>27</v>
      </c>
      <c r="R75" s="10">
        <v>0</v>
      </c>
      <c r="S75" s="10">
        <v>11</v>
      </c>
      <c r="T75" s="10">
        <v>10</v>
      </c>
    </row>
    <row r="76" spans="1:20" x14ac:dyDescent="0.3">
      <c r="A76" s="9" t="s">
        <v>30</v>
      </c>
      <c r="B76" s="10">
        <v>45</v>
      </c>
      <c r="C76" s="10">
        <v>20</v>
      </c>
      <c r="D76" s="10">
        <v>0</v>
      </c>
      <c r="E76" s="10">
        <v>13</v>
      </c>
      <c r="F76" s="10">
        <v>12</v>
      </c>
      <c r="H76" s="9" t="s">
        <v>30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O76" s="9" t="s">
        <v>30</v>
      </c>
      <c r="P76" s="10">
        <v>30</v>
      </c>
      <c r="Q76" s="10">
        <v>9</v>
      </c>
      <c r="R76" s="10">
        <v>0</v>
      </c>
      <c r="S76" s="10">
        <v>10</v>
      </c>
      <c r="T76" s="10">
        <v>11</v>
      </c>
    </row>
    <row r="77" spans="1:20" x14ac:dyDescent="0.3">
      <c r="A77" s="9" t="s">
        <v>31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H77" s="9" t="s">
        <v>31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O77" s="9" t="s">
        <v>31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</row>
    <row r="78" spans="1:20" x14ac:dyDescent="0.3">
      <c r="A78" s="11" t="s">
        <v>32</v>
      </c>
      <c r="B78" s="12">
        <v>3</v>
      </c>
      <c r="C78" s="12">
        <v>0</v>
      </c>
      <c r="D78" s="12">
        <v>0</v>
      </c>
      <c r="E78" s="12">
        <v>1</v>
      </c>
      <c r="F78" s="12">
        <v>2</v>
      </c>
      <c r="H78" s="11" t="s">
        <v>32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O78" s="11" t="s">
        <v>32</v>
      </c>
      <c r="P78" s="12">
        <v>2</v>
      </c>
      <c r="Q78" s="12">
        <v>2</v>
      </c>
      <c r="R78" s="12">
        <v>0</v>
      </c>
      <c r="S78" s="12">
        <v>0</v>
      </c>
      <c r="T78" s="12">
        <v>0</v>
      </c>
    </row>
    <row r="79" spans="1:20" x14ac:dyDescent="0.3">
      <c r="A79" s="13" t="s">
        <v>33</v>
      </c>
      <c r="B79" s="14">
        <v>0</v>
      </c>
      <c r="C79" s="14">
        <v>0</v>
      </c>
      <c r="D79" s="14">
        <v>0</v>
      </c>
      <c r="E79" s="14">
        <v>0</v>
      </c>
      <c r="F79" s="14">
        <v>0</v>
      </c>
      <c r="H79" s="13" t="s">
        <v>33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O79" s="13" t="s">
        <v>33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</row>
    <row r="80" spans="1:20" x14ac:dyDescent="0.3">
      <c r="A80" s="13" t="s">
        <v>34</v>
      </c>
      <c r="B80" s="14">
        <v>3</v>
      </c>
      <c r="C80" s="14">
        <v>0</v>
      </c>
      <c r="D80" s="14">
        <v>0</v>
      </c>
      <c r="E80" s="14">
        <v>1</v>
      </c>
      <c r="F80" s="14">
        <v>2</v>
      </c>
      <c r="H80" s="13" t="s">
        <v>34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O80" s="13" t="s">
        <v>34</v>
      </c>
      <c r="P80" s="14">
        <v>2</v>
      </c>
      <c r="Q80" s="14">
        <v>2</v>
      </c>
      <c r="R80" s="14">
        <v>0</v>
      </c>
      <c r="S80" s="14">
        <v>0</v>
      </c>
      <c r="T80" s="14">
        <v>0</v>
      </c>
    </row>
    <row r="81" spans="1:20" x14ac:dyDescent="0.3">
      <c r="A81" s="15" t="s">
        <v>35</v>
      </c>
      <c r="B81" s="16">
        <v>1</v>
      </c>
      <c r="C81" s="16">
        <v>1</v>
      </c>
      <c r="D81" s="16">
        <v>0</v>
      </c>
      <c r="E81" s="16">
        <v>0</v>
      </c>
      <c r="F81" s="16">
        <v>0</v>
      </c>
      <c r="H81" s="15" t="s">
        <v>35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O81" s="15" t="s">
        <v>35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</row>
    <row r="82" spans="1:20" x14ac:dyDescent="0.3">
      <c r="A82" s="17" t="s">
        <v>36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H82" s="17" t="s">
        <v>36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O82" s="17" t="s">
        <v>36</v>
      </c>
      <c r="P82" s="112">
        <v>0</v>
      </c>
      <c r="Q82" s="112">
        <v>0</v>
      </c>
      <c r="R82" s="112">
        <v>0</v>
      </c>
      <c r="S82" s="112">
        <v>0</v>
      </c>
      <c r="T82" s="112">
        <v>0</v>
      </c>
    </row>
    <row r="83" spans="1:20" x14ac:dyDescent="0.3">
      <c r="A83" s="17" t="s">
        <v>37</v>
      </c>
      <c r="B83" s="18">
        <v>1</v>
      </c>
      <c r="C83" s="18">
        <v>1</v>
      </c>
      <c r="D83" s="18">
        <v>0</v>
      </c>
      <c r="E83" s="18">
        <v>0</v>
      </c>
      <c r="F83" s="18">
        <v>0</v>
      </c>
      <c r="H83" s="17" t="s">
        <v>37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O83" s="17" t="s">
        <v>37</v>
      </c>
      <c r="P83" s="112">
        <v>0</v>
      </c>
      <c r="Q83" s="112">
        <v>0</v>
      </c>
      <c r="R83" s="112">
        <v>0</v>
      </c>
      <c r="S83" s="112">
        <v>0</v>
      </c>
      <c r="T83" s="112">
        <v>0</v>
      </c>
    </row>
    <row r="84" spans="1:20" x14ac:dyDescent="0.3">
      <c r="A84" s="17" t="s">
        <v>38</v>
      </c>
      <c r="B84" s="172" t="s">
        <v>208</v>
      </c>
      <c r="C84" s="173"/>
      <c r="D84" s="173"/>
      <c r="E84" s="173"/>
      <c r="F84" s="173"/>
      <c r="H84" s="17" t="s">
        <v>38</v>
      </c>
      <c r="I84" s="172"/>
      <c r="J84" s="173"/>
      <c r="K84" s="173"/>
      <c r="L84" s="173"/>
      <c r="M84" s="173"/>
      <c r="O84" s="17" t="s">
        <v>38</v>
      </c>
      <c r="P84" s="175" t="s">
        <v>1600</v>
      </c>
      <c r="Q84" s="176"/>
      <c r="R84" s="176"/>
      <c r="S84" s="176"/>
      <c r="T84" s="176"/>
    </row>
    <row r="85" spans="1:20" ht="19.8" x14ac:dyDescent="0.3">
      <c r="A85" s="171">
        <v>46087</v>
      </c>
      <c r="B85" s="171"/>
      <c r="C85" s="171"/>
      <c r="D85" s="171"/>
      <c r="E85" s="171"/>
      <c r="F85" s="171"/>
      <c r="H85" s="171">
        <v>46118</v>
      </c>
      <c r="I85" s="171"/>
      <c r="J85" s="171"/>
      <c r="K85" s="171"/>
      <c r="L85" s="171"/>
      <c r="M85" s="171"/>
      <c r="O85" s="170">
        <v>46149</v>
      </c>
      <c r="P85" s="170"/>
      <c r="Q85" s="170"/>
      <c r="R85" s="170"/>
      <c r="S85" s="170"/>
      <c r="T85" s="170"/>
    </row>
    <row r="86" spans="1:20" x14ac:dyDescent="0.3">
      <c r="A86" s="1" t="s">
        <v>0</v>
      </c>
      <c r="B86" s="1" t="s">
        <v>1</v>
      </c>
      <c r="C86" s="1" t="s">
        <v>2</v>
      </c>
      <c r="D86" s="1" t="s">
        <v>760</v>
      </c>
      <c r="E86" s="1" t="s">
        <v>40</v>
      </c>
      <c r="F86" s="1" t="s">
        <v>4</v>
      </c>
      <c r="H86" s="1" t="s">
        <v>0</v>
      </c>
      <c r="I86" s="1" t="s">
        <v>1</v>
      </c>
      <c r="J86" s="1" t="s">
        <v>2</v>
      </c>
      <c r="K86" s="1" t="s">
        <v>760</v>
      </c>
      <c r="L86" s="1" t="s">
        <v>40</v>
      </c>
      <c r="M86" s="1" t="s">
        <v>4</v>
      </c>
      <c r="O86" s="1" t="s">
        <v>0</v>
      </c>
      <c r="P86" s="1" t="s">
        <v>1</v>
      </c>
      <c r="Q86" s="1" t="s">
        <v>2</v>
      </c>
      <c r="R86" s="1" t="s">
        <v>760</v>
      </c>
      <c r="S86" s="1" t="s">
        <v>40</v>
      </c>
      <c r="T86" s="1" t="s">
        <v>4</v>
      </c>
    </row>
    <row r="87" spans="1:20" x14ac:dyDescent="0.3">
      <c r="A87" s="2" t="s">
        <v>5</v>
      </c>
      <c r="B87" s="3">
        <v>6663</v>
      </c>
      <c r="C87" s="3">
        <v>2334</v>
      </c>
      <c r="D87" s="3">
        <v>0</v>
      </c>
      <c r="E87" s="3">
        <v>2205</v>
      </c>
      <c r="F87" s="3">
        <v>2124</v>
      </c>
      <c r="H87" s="2" t="s">
        <v>5</v>
      </c>
      <c r="I87" s="3">
        <v>2736</v>
      </c>
      <c r="J87" s="3">
        <v>881</v>
      </c>
      <c r="K87" s="3">
        <v>0</v>
      </c>
      <c r="L87" s="3">
        <v>920</v>
      </c>
      <c r="M87" s="3">
        <v>935</v>
      </c>
      <c r="O87" s="2" t="s">
        <v>5</v>
      </c>
      <c r="P87" s="3">
        <v>3113</v>
      </c>
      <c r="Q87" s="3">
        <v>1189</v>
      </c>
      <c r="R87" s="3">
        <v>0</v>
      </c>
      <c r="S87" s="3">
        <v>877</v>
      </c>
      <c r="T87" s="3">
        <v>1047</v>
      </c>
    </row>
    <row r="88" spans="1:20" x14ac:dyDescent="0.3">
      <c r="A88" s="2" t="s">
        <v>6</v>
      </c>
      <c r="B88" s="3">
        <v>490</v>
      </c>
      <c r="C88" s="6">
        <v>165</v>
      </c>
      <c r="D88" s="3">
        <v>0</v>
      </c>
      <c r="E88" s="4">
        <v>155</v>
      </c>
      <c r="F88" s="5">
        <v>170</v>
      </c>
      <c r="H88" s="2" t="s">
        <v>6</v>
      </c>
      <c r="I88" s="3">
        <v>188</v>
      </c>
      <c r="J88" s="6">
        <v>59</v>
      </c>
      <c r="K88" s="3">
        <v>0</v>
      </c>
      <c r="L88" s="5">
        <v>99</v>
      </c>
      <c r="M88" s="4">
        <v>30</v>
      </c>
      <c r="O88" s="2" t="s">
        <v>6</v>
      </c>
      <c r="P88" s="3">
        <v>70</v>
      </c>
      <c r="Q88" s="5">
        <v>30</v>
      </c>
      <c r="R88" s="3">
        <v>0</v>
      </c>
      <c r="S88" s="4">
        <v>15</v>
      </c>
      <c r="T88" s="6">
        <v>25</v>
      </c>
    </row>
    <row r="89" spans="1:20" x14ac:dyDescent="0.3">
      <c r="A89" s="2" t="s">
        <v>7</v>
      </c>
      <c r="B89" s="3" t="s">
        <v>294</v>
      </c>
      <c r="C89" s="6" t="s">
        <v>295</v>
      </c>
      <c r="D89" s="3">
        <v>0</v>
      </c>
      <c r="E89" s="4" t="s">
        <v>296</v>
      </c>
      <c r="F89" s="5" t="s">
        <v>297</v>
      </c>
      <c r="H89" s="2" t="s">
        <v>7</v>
      </c>
      <c r="I89" s="3" t="s">
        <v>1313</v>
      </c>
      <c r="J89" s="6" t="s">
        <v>1215</v>
      </c>
      <c r="K89" s="3">
        <v>0</v>
      </c>
      <c r="L89" s="5" t="s">
        <v>113</v>
      </c>
      <c r="M89" s="4" t="s">
        <v>225</v>
      </c>
      <c r="O89" s="2" t="s">
        <v>7</v>
      </c>
      <c r="P89" s="3" t="s">
        <v>534</v>
      </c>
      <c r="Q89" s="5" t="s">
        <v>573</v>
      </c>
      <c r="R89" s="3">
        <v>0</v>
      </c>
      <c r="S89" s="4" t="s">
        <v>1018</v>
      </c>
      <c r="T89" s="6" t="s">
        <v>1239</v>
      </c>
    </row>
    <row r="90" spans="1:20" x14ac:dyDescent="0.3">
      <c r="A90" s="2" t="s">
        <v>12</v>
      </c>
      <c r="B90" s="3" t="s">
        <v>298</v>
      </c>
      <c r="C90" s="4" t="s">
        <v>299</v>
      </c>
      <c r="D90" s="3">
        <v>0</v>
      </c>
      <c r="E90" s="6" t="s">
        <v>296</v>
      </c>
      <c r="F90" s="5" t="s">
        <v>297</v>
      </c>
      <c r="H90" s="2" t="s">
        <v>12</v>
      </c>
      <c r="I90" s="3" t="s">
        <v>318</v>
      </c>
      <c r="J90" s="6" t="s">
        <v>249</v>
      </c>
      <c r="K90" s="3">
        <v>0</v>
      </c>
      <c r="L90" s="5" t="s">
        <v>113</v>
      </c>
      <c r="M90" s="4" t="s">
        <v>1314</v>
      </c>
      <c r="O90" s="2" t="s">
        <v>12</v>
      </c>
      <c r="P90" s="3" t="s">
        <v>59</v>
      </c>
      <c r="Q90" s="5" t="s">
        <v>202</v>
      </c>
      <c r="R90" s="3">
        <v>0</v>
      </c>
      <c r="S90" s="4" t="s">
        <v>1018</v>
      </c>
      <c r="T90" s="6" t="s">
        <v>540</v>
      </c>
    </row>
    <row r="91" spans="1:20" x14ac:dyDescent="0.3">
      <c r="A91" s="2" t="s">
        <v>17</v>
      </c>
      <c r="B91" s="3" t="s">
        <v>158</v>
      </c>
      <c r="C91" s="5" t="s">
        <v>84</v>
      </c>
      <c r="D91" s="3" t="s">
        <v>25</v>
      </c>
      <c r="E91" s="6" t="s">
        <v>158</v>
      </c>
      <c r="F91" s="3" t="s">
        <v>25</v>
      </c>
      <c r="H91" s="2" t="s">
        <v>17</v>
      </c>
      <c r="I91" s="3" t="s">
        <v>119</v>
      </c>
      <c r="J91" s="4" t="s">
        <v>49</v>
      </c>
      <c r="K91" s="3" t="s">
        <v>25</v>
      </c>
      <c r="L91" s="6" t="s">
        <v>418</v>
      </c>
      <c r="M91" s="5" t="s">
        <v>467</v>
      </c>
      <c r="O91" s="2" t="s">
        <v>17</v>
      </c>
      <c r="P91" s="3" t="s">
        <v>268</v>
      </c>
      <c r="Q91" s="6" t="s">
        <v>309</v>
      </c>
      <c r="R91" s="3" t="s">
        <v>25</v>
      </c>
      <c r="S91" s="3" t="s">
        <v>25</v>
      </c>
      <c r="T91" s="5" t="s">
        <v>81</v>
      </c>
    </row>
    <row r="92" spans="1:20" x14ac:dyDescent="0.3">
      <c r="A92" s="2" t="s">
        <v>22</v>
      </c>
      <c r="B92" s="3" t="s">
        <v>25</v>
      </c>
      <c r="C92" s="3" t="s">
        <v>25</v>
      </c>
      <c r="D92" s="3" t="s">
        <v>25</v>
      </c>
      <c r="E92" s="3" t="s">
        <v>25</v>
      </c>
      <c r="F92" s="3" t="s">
        <v>25</v>
      </c>
      <c r="H92" s="2" t="s">
        <v>22</v>
      </c>
      <c r="I92" s="3" t="s">
        <v>257</v>
      </c>
      <c r="J92" s="3" t="s">
        <v>25</v>
      </c>
      <c r="K92" s="3" t="s">
        <v>25</v>
      </c>
      <c r="L92" s="3" t="s">
        <v>25</v>
      </c>
      <c r="M92" s="5" t="s">
        <v>49</v>
      </c>
      <c r="O92" s="2" t="s">
        <v>22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 x14ac:dyDescent="0.3">
      <c r="A93" s="7" t="s">
        <v>26</v>
      </c>
      <c r="B93" s="8">
        <v>488</v>
      </c>
      <c r="C93" s="8">
        <v>163</v>
      </c>
      <c r="D93" s="8">
        <v>0</v>
      </c>
      <c r="E93" s="8">
        <v>155</v>
      </c>
      <c r="F93" s="8">
        <v>170</v>
      </c>
      <c r="H93" s="7" t="s">
        <v>26</v>
      </c>
      <c r="I93" s="8">
        <v>186</v>
      </c>
      <c r="J93" s="8">
        <v>58</v>
      </c>
      <c r="K93" s="8">
        <v>0</v>
      </c>
      <c r="L93" s="8">
        <v>99</v>
      </c>
      <c r="M93" s="8">
        <v>29</v>
      </c>
      <c r="O93" s="7" t="s">
        <v>26</v>
      </c>
      <c r="P93" s="8">
        <v>68</v>
      </c>
      <c r="Q93" s="8">
        <v>29</v>
      </c>
      <c r="R93" s="8">
        <v>0</v>
      </c>
      <c r="S93" s="8">
        <v>15</v>
      </c>
      <c r="T93" s="8">
        <v>24</v>
      </c>
    </row>
    <row r="94" spans="1:20" x14ac:dyDescent="0.3">
      <c r="A94" s="9" t="s">
        <v>27</v>
      </c>
      <c r="B94" s="10">
        <v>273</v>
      </c>
      <c r="C94" s="10">
        <v>86</v>
      </c>
      <c r="D94" s="10">
        <v>0</v>
      </c>
      <c r="E94" s="10">
        <v>92</v>
      </c>
      <c r="F94" s="10">
        <v>95</v>
      </c>
      <c r="H94" s="9" t="s">
        <v>27</v>
      </c>
      <c r="I94" s="10">
        <v>6</v>
      </c>
      <c r="J94" s="10">
        <v>4</v>
      </c>
      <c r="K94" s="10">
        <v>0</v>
      </c>
      <c r="L94" s="10">
        <v>1</v>
      </c>
      <c r="M94" s="10">
        <v>1</v>
      </c>
      <c r="O94" s="9" t="s">
        <v>27</v>
      </c>
      <c r="P94" s="10">
        <v>11</v>
      </c>
      <c r="Q94" s="10">
        <v>3</v>
      </c>
      <c r="R94" s="10">
        <v>0</v>
      </c>
      <c r="S94" s="10">
        <v>4</v>
      </c>
      <c r="T94" s="10">
        <v>4</v>
      </c>
    </row>
    <row r="95" spans="1:20" x14ac:dyDescent="0.3">
      <c r="A95" s="9" t="s">
        <v>28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H95" s="9" t="s">
        <v>28</v>
      </c>
      <c r="I95" s="10">
        <v>5</v>
      </c>
      <c r="J95" s="10">
        <v>0</v>
      </c>
      <c r="K95" s="10">
        <v>0</v>
      </c>
      <c r="L95" s="10">
        <v>0</v>
      </c>
      <c r="M95" s="10">
        <v>5</v>
      </c>
      <c r="O95" s="9" t="s">
        <v>28</v>
      </c>
      <c r="P95" s="10">
        <v>4</v>
      </c>
      <c r="Q95" s="10">
        <v>0</v>
      </c>
      <c r="R95" s="10">
        <v>0</v>
      </c>
      <c r="S95" s="10">
        <v>2</v>
      </c>
      <c r="T95" s="10">
        <v>2</v>
      </c>
    </row>
    <row r="96" spans="1:20" x14ac:dyDescent="0.3">
      <c r="A96" s="9" t="s">
        <v>29</v>
      </c>
      <c r="B96" s="10">
        <v>142</v>
      </c>
      <c r="C96" s="10">
        <v>45</v>
      </c>
      <c r="D96" s="10">
        <v>0</v>
      </c>
      <c r="E96" s="10">
        <v>41</v>
      </c>
      <c r="F96" s="10">
        <v>56</v>
      </c>
      <c r="H96" s="9" t="s">
        <v>29</v>
      </c>
      <c r="I96" s="10">
        <v>42</v>
      </c>
      <c r="J96" s="10">
        <v>10</v>
      </c>
      <c r="K96" s="10">
        <v>0</v>
      </c>
      <c r="L96" s="10">
        <v>10</v>
      </c>
      <c r="M96" s="10">
        <v>22</v>
      </c>
      <c r="O96" s="9" t="s">
        <v>29</v>
      </c>
      <c r="P96" s="10">
        <v>32</v>
      </c>
      <c r="Q96" s="10">
        <v>16</v>
      </c>
      <c r="R96" s="10">
        <v>0</v>
      </c>
      <c r="S96" s="10">
        <v>4</v>
      </c>
      <c r="T96" s="10">
        <v>12</v>
      </c>
    </row>
    <row r="97" spans="1:20" x14ac:dyDescent="0.3">
      <c r="A97" s="9" t="s">
        <v>30</v>
      </c>
      <c r="B97" s="10">
        <v>73</v>
      </c>
      <c r="C97" s="10">
        <v>32</v>
      </c>
      <c r="D97" s="10">
        <v>0</v>
      </c>
      <c r="E97" s="10">
        <v>22</v>
      </c>
      <c r="F97" s="10">
        <v>19</v>
      </c>
      <c r="H97" s="9" t="s">
        <v>30</v>
      </c>
      <c r="I97" s="10">
        <v>133</v>
      </c>
      <c r="J97" s="10">
        <v>44</v>
      </c>
      <c r="K97" s="10">
        <v>0</v>
      </c>
      <c r="L97" s="10">
        <v>88</v>
      </c>
      <c r="M97" s="10">
        <v>1</v>
      </c>
      <c r="O97" s="9" t="s">
        <v>30</v>
      </c>
      <c r="P97" s="10">
        <v>21</v>
      </c>
      <c r="Q97" s="10">
        <v>10</v>
      </c>
      <c r="R97" s="10">
        <v>0</v>
      </c>
      <c r="S97" s="10">
        <v>5</v>
      </c>
      <c r="T97" s="10">
        <v>6</v>
      </c>
    </row>
    <row r="98" spans="1:20" x14ac:dyDescent="0.3">
      <c r="A98" s="9" t="s">
        <v>31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H98" s="9" t="s">
        <v>31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O98" s="9" t="s">
        <v>31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3">
      <c r="A99" s="11" t="s">
        <v>32</v>
      </c>
      <c r="B99" s="12">
        <v>3</v>
      </c>
      <c r="C99" s="12">
        <v>2</v>
      </c>
      <c r="D99" s="12">
        <v>0</v>
      </c>
      <c r="E99" s="12">
        <v>1</v>
      </c>
      <c r="F99" s="12">
        <v>0</v>
      </c>
      <c r="H99" s="11" t="s">
        <v>32</v>
      </c>
      <c r="I99" s="12">
        <v>12</v>
      </c>
      <c r="J99" s="12">
        <v>1</v>
      </c>
      <c r="K99" s="12">
        <v>0</v>
      </c>
      <c r="L99" s="12">
        <v>3</v>
      </c>
      <c r="M99" s="12">
        <v>8</v>
      </c>
      <c r="O99" s="11" t="s">
        <v>32</v>
      </c>
      <c r="P99" s="12">
        <v>2</v>
      </c>
      <c r="Q99" s="12">
        <v>1</v>
      </c>
      <c r="R99" s="12">
        <v>0</v>
      </c>
      <c r="S99" s="12">
        <v>0</v>
      </c>
      <c r="T99" s="12">
        <v>1</v>
      </c>
    </row>
    <row r="100" spans="1:20" x14ac:dyDescent="0.3">
      <c r="A100" s="13" t="s">
        <v>33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H100" s="13" t="s">
        <v>33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O100" s="13" t="s">
        <v>33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x14ac:dyDescent="0.3">
      <c r="A101" s="13" t="s">
        <v>34</v>
      </c>
      <c r="B101" s="14">
        <v>3</v>
      </c>
      <c r="C101" s="14">
        <v>2</v>
      </c>
      <c r="D101" s="14">
        <v>0</v>
      </c>
      <c r="E101" s="14">
        <v>1</v>
      </c>
      <c r="F101" s="14">
        <v>0</v>
      </c>
      <c r="H101" s="13" t="s">
        <v>34</v>
      </c>
      <c r="I101" s="14">
        <v>12</v>
      </c>
      <c r="J101" s="14">
        <v>1</v>
      </c>
      <c r="K101" s="14">
        <v>0</v>
      </c>
      <c r="L101" s="14">
        <v>3</v>
      </c>
      <c r="M101" s="14">
        <v>8</v>
      </c>
      <c r="O101" s="13" t="s">
        <v>34</v>
      </c>
      <c r="P101" s="14">
        <v>2</v>
      </c>
      <c r="Q101" s="14">
        <v>1</v>
      </c>
      <c r="R101" s="14">
        <v>0</v>
      </c>
      <c r="S101" s="14">
        <v>0</v>
      </c>
      <c r="T101" s="14">
        <v>1</v>
      </c>
    </row>
    <row r="102" spans="1:20" x14ac:dyDescent="0.3">
      <c r="A102" s="15" t="s">
        <v>35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H102" s="15" t="s">
        <v>35</v>
      </c>
      <c r="I102" s="16">
        <v>1</v>
      </c>
      <c r="J102" s="16">
        <v>0</v>
      </c>
      <c r="K102" s="16">
        <v>0</v>
      </c>
      <c r="L102" s="16">
        <v>0</v>
      </c>
      <c r="M102" s="16">
        <v>1</v>
      </c>
      <c r="O102" s="15" t="s">
        <v>35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</row>
    <row r="103" spans="1:20" x14ac:dyDescent="0.3">
      <c r="A103" s="17" t="s">
        <v>36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H103" s="17" t="s">
        <v>36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O103" s="17" t="s">
        <v>36</v>
      </c>
      <c r="P103" s="112">
        <v>0</v>
      </c>
      <c r="Q103" s="112">
        <v>0</v>
      </c>
      <c r="R103" s="112">
        <v>0</v>
      </c>
      <c r="S103" s="112">
        <v>0</v>
      </c>
      <c r="T103" s="112">
        <v>0</v>
      </c>
    </row>
    <row r="104" spans="1:20" x14ac:dyDescent="0.3">
      <c r="A104" s="17" t="s">
        <v>37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H104" s="17" t="s">
        <v>37</v>
      </c>
      <c r="I104" s="78">
        <v>1</v>
      </c>
      <c r="J104" s="78">
        <v>0</v>
      </c>
      <c r="K104" s="78">
        <v>0</v>
      </c>
      <c r="L104" s="78">
        <v>0</v>
      </c>
      <c r="M104" s="78">
        <v>1</v>
      </c>
      <c r="O104" s="17" t="s">
        <v>37</v>
      </c>
      <c r="P104" s="112">
        <v>0</v>
      </c>
      <c r="Q104" s="112">
        <v>0</v>
      </c>
      <c r="R104" s="112">
        <v>0</v>
      </c>
      <c r="S104" s="112">
        <v>0</v>
      </c>
      <c r="T104" s="112">
        <v>0</v>
      </c>
    </row>
    <row r="105" spans="1:20" x14ac:dyDescent="0.3">
      <c r="A105" s="17" t="s">
        <v>38</v>
      </c>
      <c r="B105" s="172" t="s">
        <v>208</v>
      </c>
      <c r="C105" s="173"/>
      <c r="D105" s="173"/>
      <c r="E105" s="173"/>
      <c r="F105" s="173"/>
      <c r="H105" s="17" t="s">
        <v>38</v>
      </c>
      <c r="I105" s="172" t="s">
        <v>208</v>
      </c>
      <c r="J105" s="173"/>
      <c r="K105" s="173"/>
      <c r="L105" s="173"/>
      <c r="M105" s="173"/>
      <c r="O105" s="17" t="s">
        <v>38</v>
      </c>
      <c r="P105" s="175" t="s">
        <v>1600</v>
      </c>
      <c r="Q105" s="176"/>
      <c r="R105" s="176"/>
      <c r="S105" s="176"/>
      <c r="T105" s="176"/>
    </row>
    <row r="106" spans="1:20" ht="19.8" x14ac:dyDescent="0.3">
      <c r="A106" s="171">
        <v>46088</v>
      </c>
      <c r="B106" s="171"/>
      <c r="C106" s="171"/>
      <c r="D106" s="171"/>
      <c r="E106" s="171"/>
      <c r="F106" s="171"/>
      <c r="H106" s="170">
        <v>46119</v>
      </c>
      <c r="I106" s="170"/>
      <c r="J106" s="170"/>
      <c r="K106" s="170"/>
      <c r="L106" s="170"/>
      <c r="M106" s="170"/>
      <c r="O106" s="170">
        <v>46150</v>
      </c>
      <c r="P106" s="170"/>
      <c r="Q106" s="170"/>
      <c r="R106" s="170"/>
      <c r="S106" s="170"/>
      <c r="T106" s="170"/>
    </row>
    <row r="107" spans="1:20" x14ac:dyDescent="0.3">
      <c r="A107" s="1" t="s">
        <v>0</v>
      </c>
      <c r="B107" s="1" t="s">
        <v>1</v>
      </c>
      <c r="C107" s="1" t="s">
        <v>2</v>
      </c>
      <c r="D107" s="1" t="s">
        <v>760</v>
      </c>
      <c r="E107" s="1" t="s">
        <v>40</v>
      </c>
      <c r="F107" s="1" t="s">
        <v>4</v>
      </c>
      <c r="H107" s="1" t="s">
        <v>0</v>
      </c>
      <c r="I107" s="1" t="s">
        <v>1</v>
      </c>
      <c r="J107" s="1" t="s">
        <v>2</v>
      </c>
      <c r="K107" s="1" t="s">
        <v>760</v>
      </c>
      <c r="L107" s="1" t="s">
        <v>40</v>
      </c>
      <c r="M107" s="1" t="s">
        <v>4</v>
      </c>
      <c r="O107" s="1" t="s">
        <v>0</v>
      </c>
      <c r="P107" s="1" t="s">
        <v>1</v>
      </c>
      <c r="Q107" s="1" t="s">
        <v>2</v>
      </c>
      <c r="R107" s="1" t="s">
        <v>760</v>
      </c>
      <c r="S107" s="1" t="s">
        <v>40</v>
      </c>
      <c r="T107" s="1" t="s">
        <v>4</v>
      </c>
    </row>
    <row r="108" spans="1:20" x14ac:dyDescent="0.3">
      <c r="A108" s="2" t="s">
        <v>5</v>
      </c>
      <c r="B108" s="3">
        <v>5746</v>
      </c>
      <c r="C108" s="3">
        <v>1955</v>
      </c>
      <c r="D108" s="3">
        <v>0</v>
      </c>
      <c r="E108" s="3">
        <v>1873</v>
      </c>
      <c r="F108" s="3">
        <v>1918</v>
      </c>
      <c r="H108" s="2" t="s">
        <v>5</v>
      </c>
      <c r="I108" s="3">
        <v>3204</v>
      </c>
      <c r="J108" s="3">
        <v>1150</v>
      </c>
      <c r="K108" s="3">
        <v>0</v>
      </c>
      <c r="L108" s="3">
        <v>1071</v>
      </c>
      <c r="M108" s="3">
        <v>983</v>
      </c>
      <c r="O108" s="2" t="s">
        <v>5</v>
      </c>
      <c r="P108" s="3">
        <v>3000</v>
      </c>
      <c r="Q108" s="3">
        <v>1094</v>
      </c>
      <c r="R108" s="3">
        <v>0</v>
      </c>
      <c r="S108" s="3">
        <v>988</v>
      </c>
      <c r="T108" s="3">
        <v>918</v>
      </c>
    </row>
    <row r="109" spans="1:20" x14ac:dyDescent="0.3">
      <c r="A109" s="2" t="s">
        <v>6</v>
      </c>
      <c r="B109" s="3">
        <v>391</v>
      </c>
      <c r="C109" s="6">
        <v>139</v>
      </c>
      <c r="D109" s="3">
        <v>0</v>
      </c>
      <c r="E109" s="4">
        <v>107</v>
      </c>
      <c r="F109" s="5">
        <v>145</v>
      </c>
      <c r="H109" s="2" t="s">
        <v>6</v>
      </c>
      <c r="I109" s="3">
        <v>227</v>
      </c>
      <c r="J109" s="6">
        <v>78</v>
      </c>
      <c r="K109" s="3">
        <v>0</v>
      </c>
      <c r="L109" s="5">
        <v>108</v>
      </c>
      <c r="M109" s="4">
        <v>41</v>
      </c>
      <c r="O109" s="2" t="s">
        <v>6</v>
      </c>
      <c r="P109" s="3">
        <v>76</v>
      </c>
      <c r="Q109" s="5">
        <v>28</v>
      </c>
      <c r="R109" s="3">
        <v>0</v>
      </c>
      <c r="S109" s="4">
        <v>23</v>
      </c>
      <c r="T109" s="6">
        <v>25</v>
      </c>
    </row>
    <row r="110" spans="1:20" x14ac:dyDescent="0.3">
      <c r="A110" s="2" t="s">
        <v>7</v>
      </c>
      <c r="B110" s="3" t="s">
        <v>318</v>
      </c>
      <c r="C110" s="6" t="s">
        <v>319</v>
      </c>
      <c r="D110" s="3">
        <v>0</v>
      </c>
      <c r="E110" s="4" t="s">
        <v>316</v>
      </c>
      <c r="F110" s="5" t="s">
        <v>320</v>
      </c>
      <c r="H110" s="2" t="s">
        <v>7</v>
      </c>
      <c r="I110" s="3" t="s">
        <v>643</v>
      </c>
      <c r="J110" s="6" t="s">
        <v>315</v>
      </c>
      <c r="K110" s="3">
        <v>0</v>
      </c>
      <c r="L110" s="5" t="s">
        <v>1300</v>
      </c>
      <c r="M110" s="4" t="s">
        <v>489</v>
      </c>
      <c r="O110" s="2" t="s">
        <v>7</v>
      </c>
      <c r="P110" s="3" t="s">
        <v>1137</v>
      </c>
      <c r="Q110" s="6" t="s">
        <v>402</v>
      </c>
      <c r="R110" s="3">
        <v>0</v>
      </c>
      <c r="S110" s="4" t="s">
        <v>1017</v>
      </c>
      <c r="T110" s="5" t="s">
        <v>440</v>
      </c>
    </row>
    <row r="111" spans="1:20" x14ac:dyDescent="0.3">
      <c r="A111" s="2" t="s">
        <v>12</v>
      </c>
      <c r="B111" s="3" t="s">
        <v>321</v>
      </c>
      <c r="C111" s="6" t="s">
        <v>322</v>
      </c>
      <c r="D111" s="3">
        <v>0</v>
      </c>
      <c r="E111" s="4" t="s">
        <v>316</v>
      </c>
      <c r="F111" s="5" t="s">
        <v>320</v>
      </c>
      <c r="H111" s="2" t="s">
        <v>12</v>
      </c>
      <c r="I111" s="3" t="s">
        <v>97</v>
      </c>
      <c r="J111" s="6" t="s">
        <v>765</v>
      </c>
      <c r="K111" s="3">
        <v>0</v>
      </c>
      <c r="L111" s="5" t="s">
        <v>1300</v>
      </c>
      <c r="M111" s="4" t="s">
        <v>489</v>
      </c>
      <c r="O111" s="2" t="s">
        <v>12</v>
      </c>
      <c r="P111" s="3" t="s">
        <v>1017</v>
      </c>
      <c r="Q111" s="6" t="s">
        <v>540</v>
      </c>
      <c r="R111" s="3">
        <v>0</v>
      </c>
      <c r="S111" s="4" t="s">
        <v>974</v>
      </c>
      <c r="T111" s="5" t="s">
        <v>548</v>
      </c>
    </row>
    <row r="112" spans="1:20" x14ac:dyDescent="0.3">
      <c r="A112" s="2" t="s">
        <v>17</v>
      </c>
      <c r="B112" s="3" t="s">
        <v>77</v>
      </c>
      <c r="C112" s="6" t="s">
        <v>99</v>
      </c>
      <c r="D112" s="3" t="s">
        <v>25</v>
      </c>
      <c r="E112" s="4" t="s">
        <v>49</v>
      </c>
      <c r="F112" s="5" t="s">
        <v>74</v>
      </c>
      <c r="H112" s="2" t="s">
        <v>17</v>
      </c>
      <c r="I112" s="3" t="s">
        <v>507</v>
      </c>
      <c r="J112" s="4" t="s">
        <v>135</v>
      </c>
      <c r="K112" s="3" t="s">
        <v>25</v>
      </c>
      <c r="L112" s="6" t="s">
        <v>200</v>
      </c>
      <c r="M112" s="5" t="s">
        <v>654</v>
      </c>
      <c r="O112" s="2" t="s">
        <v>17</v>
      </c>
      <c r="P112" s="3" t="s">
        <v>99</v>
      </c>
      <c r="Q112" s="5" t="s">
        <v>88</v>
      </c>
      <c r="R112" s="3" t="s">
        <v>25</v>
      </c>
      <c r="S112" s="4" t="s">
        <v>81</v>
      </c>
      <c r="T112" s="6" t="s">
        <v>122</v>
      </c>
    </row>
    <row r="113" spans="1:20" x14ac:dyDescent="0.3">
      <c r="A113" s="2" t="s">
        <v>22</v>
      </c>
      <c r="B113" s="3" t="s">
        <v>25</v>
      </c>
      <c r="C113" s="3" t="s">
        <v>25</v>
      </c>
      <c r="D113" s="3" t="s">
        <v>25</v>
      </c>
      <c r="E113" s="3" t="s">
        <v>25</v>
      </c>
      <c r="F113" s="3" t="s">
        <v>25</v>
      </c>
      <c r="H113" s="2" t="s">
        <v>22</v>
      </c>
      <c r="I113" s="3" t="s">
        <v>25</v>
      </c>
      <c r="J113" s="3" t="s">
        <v>25</v>
      </c>
      <c r="K113" s="3" t="s">
        <v>25</v>
      </c>
      <c r="L113" s="3" t="s">
        <v>25</v>
      </c>
      <c r="M113" s="3" t="s">
        <v>25</v>
      </c>
      <c r="O113" s="2" t="s">
        <v>22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 x14ac:dyDescent="0.3">
      <c r="A114" s="7" t="s">
        <v>26</v>
      </c>
      <c r="B114" s="8">
        <v>387</v>
      </c>
      <c r="C114" s="8">
        <v>135</v>
      </c>
      <c r="D114" s="8">
        <v>0</v>
      </c>
      <c r="E114" s="8">
        <v>107</v>
      </c>
      <c r="F114" s="8">
        <v>145</v>
      </c>
      <c r="H114" s="7" t="s">
        <v>26</v>
      </c>
      <c r="I114" s="8">
        <v>223</v>
      </c>
      <c r="J114" s="8">
        <v>74</v>
      </c>
      <c r="K114" s="8">
        <v>0</v>
      </c>
      <c r="L114" s="8">
        <v>108</v>
      </c>
      <c r="M114" s="8">
        <v>41</v>
      </c>
      <c r="O114" s="7" t="s">
        <v>26</v>
      </c>
      <c r="P114" s="8">
        <v>70</v>
      </c>
      <c r="Q114" s="8">
        <v>25</v>
      </c>
      <c r="R114" s="8">
        <v>0</v>
      </c>
      <c r="S114" s="8">
        <v>22</v>
      </c>
      <c r="T114" s="8">
        <v>23</v>
      </c>
    </row>
    <row r="115" spans="1:20" x14ac:dyDescent="0.3">
      <c r="A115" s="9" t="s">
        <v>27</v>
      </c>
      <c r="B115" s="10">
        <v>169</v>
      </c>
      <c r="C115" s="10">
        <v>72</v>
      </c>
      <c r="D115" s="10">
        <v>0</v>
      </c>
      <c r="E115" s="10">
        <v>46</v>
      </c>
      <c r="F115" s="10">
        <v>51</v>
      </c>
      <c r="H115" s="9" t="s">
        <v>27</v>
      </c>
      <c r="I115" s="10">
        <v>6</v>
      </c>
      <c r="J115" s="10">
        <v>1</v>
      </c>
      <c r="K115" s="10">
        <v>0</v>
      </c>
      <c r="L115" s="10">
        <v>2</v>
      </c>
      <c r="M115" s="10">
        <v>3</v>
      </c>
      <c r="O115" s="9" t="s">
        <v>27</v>
      </c>
      <c r="P115" s="10">
        <v>7</v>
      </c>
      <c r="Q115" s="10">
        <v>1</v>
      </c>
      <c r="R115" s="10">
        <v>0</v>
      </c>
      <c r="S115" s="10">
        <v>3</v>
      </c>
      <c r="T115" s="10">
        <v>3</v>
      </c>
    </row>
    <row r="116" spans="1:20" x14ac:dyDescent="0.3">
      <c r="A116" s="9" t="s">
        <v>28</v>
      </c>
      <c r="B116" s="10">
        <v>21</v>
      </c>
      <c r="C116" s="10">
        <v>4</v>
      </c>
      <c r="D116" s="10">
        <v>0</v>
      </c>
      <c r="E116" s="10">
        <v>5</v>
      </c>
      <c r="F116" s="10">
        <v>12</v>
      </c>
      <c r="H116" s="9" t="s">
        <v>28</v>
      </c>
      <c r="I116" s="10">
        <v>15</v>
      </c>
      <c r="J116" s="10">
        <v>10</v>
      </c>
      <c r="K116" s="10">
        <v>0</v>
      </c>
      <c r="L116" s="10">
        <v>2</v>
      </c>
      <c r="M116" s="10">
        <v>3</v>
      </c>
      <c r="O116" s="9" t="s">
        <v>28</v>
      </c>
      <c r="P116" s="10">
        <v>8</v>
      </c>
      <c r="Q116" s="10">
        <v>2</v>
      </c>
      <c r="R116" s="10">
        <v>0</v>
      </c>
      <c r="S116" s="10">
        <v>2</v>
      </c>
      <c r="T116" s="10">
        <v>4</v>
      </c>
    </row>
    <row r="117" spans="1:20" x14ac:dyDescent="0.3">
      <c r="A117" s="9" t="s">
        <v>29</v>
      </c>
      <c r="B117" s="10">
        <v>96</v>
      </c>
      <c r="C117" s="10">
        <v>21</v>
      </c>
      <c r="D117" s="10">
        <v>0</v>
      </c>
      <c r="E117" s="10">
        <v>27</v>
      </c>
      <c r="F117" s="10">
        <v>48</v>
      </c>
      <c r="H117" s="9" t="s">
        <v>29</v>
      </c>
      <c r="I117" s="10">
        <v>61</v>
      </c>
      <c r="J117" s="10">
        <v>21</v>
      </c>
      <c r="K117" s="10">
        <v>0</v>
      </c>
      <c r="L117" s="10">
        <v>14</v>
      </c>
      <c r="M117" s="10">
        <v>26</v>
      </c>
      <c r="O117" s="9" t="s">
        <v>29</v>
      </c>
      <c r="P117" s="10">
        <v>24</v>
      </c>
      <c r="Q117" s="10">
        <v>7</v>
      </c>
      <c r="R117" s="10">
        <v>0</v>
      </c>
      <c r="S117" s="10">
        <v>11</v>
      </c>
      <c r="T117" s="10">
        <v>6</v>
      </c>
    </row>
    <row r="118" spans="1:20" x14ac:dyDescent="0.3">
      <c r="A118" s="9" t="s">
        <v>30</v>
      </c>
      <c r="B118" s="10">
        <v>101</v>
      </c>
      <c r="C118" s="10">
        <v>38</v>
      </c>
      <c r="D118" s="10">
        <v>0</v>
      </c>
      <c r="E118" s="10">
        <v>29</v>
      </c>
      <c r="F118" s="10">
        <v>34</v>
      </c>
      <c r="H118" s="9" t="s">
        <v>30</v>
      </c>
      <c r="I118" s="10">
        <v>141</v>
      </c>
      <c r="J118" s="10">
        <v>42</v>
      </c>
      <c r="K118" s="10">
        <v>0</v>
      </c>
      <c r="L118" s="10">
        <v>90</v>
      </c>
      <c r="M118" s="10">
        <v>9</v>
      </c>
      <c r="O118" s="9" t="s">
        <v>30</v>
      </c>
      <c r="P118" s="10">
        <v>31</v>
      </c>
      <c r="Q118" s="10">
        <v>15</v>
      </c>
      <c r="R118" s="10">
        <v>0</v>
      </c>
      <c r="S118" s="10">
        <v>6</v>
      </c>
      <c r="T118" s="10">
        <v>10</v>
      </c>
    </row>
    <row r="119" spans="1:20" x14ac:dyDescent="0.3">
      <c r="A119" s="9" t="s">
        <v>31</v>
      </c>
      <c r="B119" s="10">
        <v>0</v>
      </c>
      <c r="C119" s="10">
        <v>0</v>
      </c>
      <c r="D119" s="10">
        <v>0</v>
      </c>
      <c r="E119" s="10">
        <v>0</v>
      </c>
      <c r="F119" s="10">
        <v>0</v>
      </c>
      <c r="H119" s="9" t="s">
        <v>31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O119" s="9" t="s">
        <v>31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3">
      <c r="A120" s="11" t="s">
        <v>32</v>
      </c>
      <c r="B120" s="12">
        <v>12</v>
      </c>
      <c r="C120" s="12">
        <v>4</v>
      </c>
      <c r="D120" s="12">
        <v>0</v>
      </c>
      <c r="E120" s="12">
        <v>2</v>
      </c>
      <c r="F120" s="12">
        <v>6</v>
      </c>
      <c r="H120" s="11" t="s">
        <v>32</v>
      </c>
      <c r="I120" s="12">
        <v>13</v>
      </c>
      <c r="J120" s="12">
        <v>4</v>
      </c>
      <c r="K120" s="12">
        <v>0</v>
      </c>
      <c r="L120" s="12">
        <v>4</v>
      </c>
      <c r="M120" s="12">
        <v>5</v>
      </c>
      <c r="O120" s="11" t="s">
        <v>32</v>
      </c>
      <c r="P120" s="12">
        <v>6</v>
      </c>
      <c r="Q120" s="12">
        <v>3</v>
      </c>
      <c r="R120" s="12">
        <v>0</v>
      </c>
      <c r="S120" s="12">
        <v>1</v>
      </c>
      <c r="T120" s="12">
        <v>2</v>
      </c>
    </row>
    <row r="121" spans="1:20" x14ac:dyDescent="0.3">
      <c r="A121" s="13" t="s">
        <v>33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H121" s="13" t="s">
        <v>33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O121" s="13" t="s">
        <v>33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x14ac:dyDescent="0.3">
      <c r="A122" s="13" t="s">
        <v>34</v>
      </c>
      <c r="B122" s="14">
        <v>12</v>
      </c>
      <c r="C122" s="14">
        <v>4</v>
      </c>
      <c r="D122" s="14">
        <v>0</v>
      </c>
      <c r="E122" s="14">
        <v>2</v>
      </c>
      <c r="F122" s="14">
        <v>6</v>
      </c>
      <c r="H122" s="13" t="s">
        <v>34</v>
      </c>
      <c r="I122" s="14">
        <v>13</v>
      </c>
      <c r="J122" s="14">
        <v>4</v>
      </c>
      <c r="K122" s="14">
        <v>0</v>
      </c>
      <c r="L122" s="14">
        <v>4</v>
      </c>
      <c r="M122" s="14">
        <v>5</v>
      </c>
      <c r="O122" s="13" t="s">
        <v>34</v>
      </c>
      <c r="P122" s="14">
        <v>6</v>
      </c>
      <c r="Q122" s="14">
        <v>3</v>
      </c>
      <c r="R122" s="14">
        <v>0</v>
      </c>
      <c r="S122" s="14">
        <v>1</v>
      </c>
      <c r="T122" s="14">
        <v>2</v>
      </c>
    </row>
    <row r="123" spans="1:20" x14ac:dyDescent="0.3">
      <c r="A123" s="15" t="s">
        <v>35</v>
      </c>
      <c r="B123" s="16">
        <v>0</v>
      </c>
      <c r="C123" s="16">
        <v>0</v>
      </c>
      <c r="D123" s="16">
        <v>0</v>
      </c>
      <c r="E123" s="16">
        <v>0</v>
      </c>
      <c r="F123" s="16">
        <v>0</v>
      </c>
      <c r="H123" s="15" t="s">
        <v>35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O123" s="15" t="s">
        <v>35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</row>
    <row r="124" spans="1:20" x14ac:dyDescent="0.3">
      <c r="A124" s="17" t="s">
        <v>36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H124" s="17" t="s">
        <v>36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O124" s="17" t="s">
        <v>36</v>
      </c>
      <c r="P124" s="112">
        <v>0</v>
      </c>
      <c r="Q124" s="112">
        <v>0</v>
      </c>
      <c r="R124" s="112">
        <v>0</v>
      </c>
      <c r="S124" s="112">
        <v>0</v>
      </c>
      <c r="T124" s="112">
        <v>0</v>
      </c>
    </row>
    <row r="125" spans="1:20" x14ac:dyDescent="0.3">
      <c r="A125" s="17" t="s">
        <v>37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H125" s="17" t="s">
        <v>37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O125" s="17" t="s">
        <v>37</v>
      </c>
      <c r="P125" s="112">
        <v>0</v>
      </c>
      <c r="Q125" s="112">
        <v>0</v>
      </c>
      <c r="R125" s="112">
        <v>0</v>
      </c>
      <c r="S125" s="112">
        <v>0</v>
      </c>
      <c r="T125" s="112">
        <v>0</v>
      </c>
    </row>
    <row r="126" spans="1:20" x14ac:dyDescent="0.3">
      <c r="A126" s="17" t="s">
        <v>38</v>
      </c>
      <c r="B126" s="172" t="s">
        <v>208</v>
      </c>
      <c r="C126" s="173"/>
      <c r="D126" s="173"/>
      <c r="E126" s="173"/>
      <c r="F126" s="173"/>
      <c r="H126" s="17" t="s">
        <v>38</v>
      </c>
      <c r="I126" s="172" t="s">
        <v>208</v>
      </c>
      <c r="J126" s="173"/>
      <c r="K126" s="173"/>
      <c r="L126" s="173"/>
      <c r="M126" s="173"/>
      <c r="O126" s="17" t="s">
        <v>38</v>
      </c>
      <c r="P126" s="175" t="s">
        <v>1845</v>
      </c>
      <c r="Q126" s="176"/>
      <c r="R126" s="176"/>
      <c r="S126" s="176"/>
      <c r="T126" s="176"/>
    </row>
    <row r="127" spans="1:20" ht="19.8" x14ac:dyDescent="0.3">
      <c r="A127" s="171">
        <v>46090</v>
      </c>
      <c r="B127" s="171"/>
      <c r="C127" s="171"/>
      <c r="D127" s="171"/>
      <c r="E127" s="171"/>
      <c r="F127" s="171"/>
      <c r="H127" s="171">
        <v>46120</v>
      </c>
      <c r="I127" s="171"/>
      <c r="J127" s="171"/>
      <c r="K127" s="171"/>
      <c r="L127" s="171"/>
      <c r="M127" s="171"/>
      <c r="O127" s="171">
        <v>46151</v>
      </c>
      <c r="P127" s="171"/>
      <c r="Q127" s="171"/>
      <c r="R127" s="171"/>
      <c r="S127" s="171"/>
      <c r="T127" s="171"/>
    </row>
    <row r="128" spans="1:20" x14ac:dyDescent="0.3">
      <c r="A128" s="1" t="s">
        <v>0</v>
      </c>
      <c r="B128" s="1" t="s">
        <v>1</v>
      </c>
      <c r="C128" s="1" t="s">
        <v>2</v>
      </c>
      <c r="D128" s="1" t="s">
        <v>760</v>
      </c>
      <c r="E128" s="1" t="s">
        <v>40</v>
      </c>
      <c r="F128" s="1" t="s">
        <v>4</v>
      </c>
      <c r="H128" s="1" t="s">
        <v>0</v>
      </c>
      <c r="I128" s="1" t="s">
        <v>1</v>
      </c>
      <c r="J128" s="1" t="s">
        <v>2</v>
      </c>
      <c r="K128" s="1" t="s">
        <v>760</v>
      </c>
      <c r="L128" s="1" t="s">
        <v>40</v>
      </c>
      <c r="M128" s="1" t="s">
        <v>4</v>
      </c>
      <c r="O128" s="1" t="s">
        <v>0</v>
      </c>
      <c r="P128" s="1" t="s">
        <v>1</v>
      </c>
      <c r="Q128" s="1" t="s">
        <v>2</v>
      </c>
      <c r="R128" s="1" t="s">
        <v>760</v>
      </c>
      <c r="S128" s="1" t="s">
        <v>40</v>
      </c>
      <c r="T128" s="1" t="s">
        <v>4</v>
      </c>
    </row>
    <row r="129" spans="1:20" x14ac:dyDescent="0.3">
      <c r="A129" s="2" t="s">
        <v>5</v>
      </c>
      <c r="B129" s="3">
        <v>1776</v>
      </c>
      <c r="C129" s="3">
        <v>207</v>
      </c>
      <c r="D129" s="3">
        <v>0</v>
      </c>
      <c r="E129" s="3">
        <v>828</v>
      </c>
      <c r="F129" s="3">
        <v>741</v>
      </c>
      <c r="H129" s="2" t="s">
        <v>5</v>
      </c>
      <c r="I129" s="3">
        <v>3428</v>
      </c>
      <c r="J129" s="3">
        <v>1150</v>
      </c>
      <c r="K129" s="3">
        <v>0</v>
      </c>
      <c r="L129" s="3">
        <v>1142</v>
      </c>
      <c r="M129" s="3">
        <v>1136</v>
      </c>
      <c r="O129" s="2" t="s">
        <v>5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1:20" x14ac:dyDescent="0.3">
      <c r="A130" s="2" t="s">
        <v>6</v>
      </c>
      <c r="B130" s="3">
        <v>143</v>
      </c>
      <c r="C130" s="4">
        <v>6</v>
      </c>
      <c r="D130" s="3">
        <v>0</v>
      </c>
      <c r="E130" s="6">
        <v>37</v>
      </c>
      <c r="F130" s="5">
        <v>100</v>
      </c>
      <c r="H130" s="2" t="s">
        <v>6</v>
      </c>
      <c r="I130" s="3">
        <v>213</v>
      </c>
      <c r="J130" s="6">
        <v>73</v>
      </c>
      <c r="K130" s="3">
        <v>0</v>
      </c>
      <c r="L130" s="5">
        <v>111</v>
      </c>
      <c r="M130" s="4">
        <v>29</v>
      </c>
      <c r="O130" s="2" t="s">
        <v>6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</row>
    <row r="131" spans="1:20" x14ac:dyDescent="0.3">
      <c r="A131" s="2" t="s">
        <v>7</v>
      </c>
      <c r="B131" s="3" t="s">
        <v>367</v>
      </c>
      <c r="C131" s="4" t="s">
        <v>145</v>
      </c>
      <c r="D131" s="3">
        <v>0</v>
      </c>
      <c r="E131" s="6" t="s">
        <v>368</v>
      </c>
      <c r="F131" s="5" t="s">
        <v>369</v>
      </c>
      <c r="H131" s="2" t="s">
        <v>7</v>
      </c>
      <c r="I131" s="3" t="s">
        <v>604</v>
      </c>
      <c r="J131" s="6" t="s">
        <v>600</v>
      </c>
      <c r="K131" s="3">
        <v>0</v>
      </c>
      <c r="L131" s="5" t="s">
        <v>82</v>
      </c>
      <c r="M131" s="4" t="s">
        <v>184</v>
      </c>
      <c r="O131" s="2" t="s">
        <v>7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</row>
    <row r="132" spans="1:20" x14ac:dyDescent="0.3">
      <c r="A132" s="2" t="s">
        <v>12</v>
      </c>
      <c r="B132" s="3" t="s">
        <v>264</v>
      </c>
      <c r="C132" s="4" t="s">
        <v>120</v>
      </c>
      <c r="D132" s="3">
        <v>0</v>
      </c>
      <c r="E132" s="6" t="s">
        <v>370</v>
      </c>
      <c r="F132" s="5" t="s">
        <v>369</v>
      </c>
      <c r="H132" s="2" t="s">
        <v>12</v>
      </c>
      <c r="I132" s="3" t="s">
        <v>1358</v>
      </c>
      <c r="J132" s="6" t="s">
        <v>340</v>
      </c>
      <c r="K132" s="3">
        <v>0</v>
      </c>
      <c r="L132" s="5" t="s">
        <v>82</v>
      </c>
      <c r="M132" s="4" t="s">
        <v>184</v>
      </c>
      <c r="O132" s="2" t="s">
        <v>12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</row>
    <row r="133" spans="1:20" x14ac:dyDescent="0.3">
      <c r="A133" s="2" t="s">
        <v>17</v>
      </c>
      <c r="B133" s="3" t="s">
        <v>349</v>
      </c>
      <c r="C133" s="4" t="s">
        <v>153</v>
      </c>
      <c r="D133" s="3" t="s">
        <v>25</v>
      </c>
      <c r="E133" s="5" t="s">
        <v>73</v>
      </c>
      <c r="F133" s="6" t="s">
        <v>117</v>
      </c>
      <c r="H133" s="2" t="s">
        <v>17</v>
      </c>
      <c r="I133" s="3" t="s">
        <v>337</v>
      </c>
      <c r="J133" s="5" t="s">
        <v>1087</v>
      </c>
      <c r="K133" s="3" t="s">
        <v>25</v>
      </c>
      <c r="L133" s="6" t="s">
        <v>484</v>
      </c>
      <c r="M133" s="4" t="s">
        <v>466</v>
      </c>
      <c r="O133" s="2" t="s">
        <v>17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 x14ac:dyDescent="0.3">
      <c r="A134" s="2" t="s">
        <v>22</v>
      </c>
      <c r="B134" s="3" t="s">
        <v>268</v>
      </c>
      <c r="C134" s="3" t="s">
        <v>25</v>
      </c>
      <c r="D134" s="3" t="s">
        <v>25</v>
      </c>
      <c r="E134" s="5" t="s">
        <v>102</v>
      </c>
      <c r="F134" s="3" t="s">
        <v>25</v>
      </c>
      <c r="H134" s="2" t="s">
        <v>22</v>
      </c>
      <c r="I134" s="3" t="s">
        <v>25</v>
      </c>
      <c r="J134" s="3" t="s">
        <v>25</v>
      </c>
      <c r="K134" s="3" t="s">
        <v>25</v>
      </c>
      <c r="L134" s="3" t="s">
        <v>25</v>
      </c>
      <c r="M134" s="3" t="s">
        <v>25</v>
      </c>
      <c r="O134" s="2" t="s">
        <v>22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 x14ac:dyDescent="0.3">
      <c r="A135" s="7" t="s">
        <v>26</v>
      </c>
      <c r="B135" s="8">
        <v>139</v>
      </c>
      <c r="C135" s="8">
        <v>5</v>
      </c>
      <c r="D135" s="8">
        <v>0</v>
      </c>
      <c r="E135" s="8">
        <v>34</v>
      </c>
      <c r="F135" s="8">
        <v>100</v>
      </c>
      <c r="H135" s="7" t="s">
        <v>26</v>
      </c>
      <c r="I135" s="8">
        <v>204</v>
      </c>
      <c r="J135" s="8">
        <v>64</v>
      </c>
      <c r="K135" s="8">
        <v>0</v>
      </c>
      <c r="L135" s="8">
        <v>111</v>
      </c>
      <c r="M135" s="8">
        <v>29</v>
      </c>
      <c r="O135" s="7" t="s">
        <v>26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</row>
    <row r="136" spans="1:20" x14ac:dyDescent="0.3">
      <c r="A136" s="9" t="s">
        <v>27</v>
      </c>
      <c r="B136" s="10">
        <v>2</v>
      </c>
      <c r="C136" s="10">
        <v>1</v>
      </c>
      <c r="D136" s="10">
        <v>0</v>
      </c>
      <c r="E136" s="10">
        <v>0</v>
      </c>
      <c r="F136" s="10">
        <v>1</v>
      </c>
      <c r="H136" s="9" t="s">
        <v>27</v>
      </c>
      <c r="I136" s="10">
        <v>5</v>
      </c>
      <c r="J136" s="10">
        <v>1</v>
      </c>
      <c r="K136" s="10">
        <v>0</v>
      </c>
      <c r="L136" s="10">
        <v>1</v>
      </c>
      <c r="M136" s="10">
        <v>3</v>
      </c>
      <c r="O136" s="9" t="s">
        <v>27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</row>
    <row r="137" spans="1:20" x14ac:dyDescent="0.3">
      <c r="A137" s="9" t="s">
        <v>28</v>
      </c>
      <c r="B137" s="10">
        <v>6</v>
      </c>
      <c r="C137" s="10">
        <v>0</v>
      </c>
      <c r="D137" s="10">
        <v>0</v>
      </c>
      <c r="E137" s="10">
        <v>2</v>
      </c>
      <c r="F137" s="10">
        <v>4</v>
      </c>
      <c r="H137" s="9" t="s">
        <v>28</v>
      </c>
      <c r="I137" s="10">
        <v>10</v>
      </c>
      <c r="J137" s="10">
        <v>1</v>
      </c>
      <c r="K137" s="10">
        <v>0</v>
      </c>
      <c r="L137" s="10">
        <v>2</v>
      </c>
      <c r="M137" s="10">
        <v>7</v>
      </c>
      <c r="O137" s="9" t="s">
        <v>28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3">
      <c r="A138" s="9" t="s">
        <v>29</v>
      </c>
      <c r="B138" s="10">
        <v>29</v>
      </c>
      <c r="C138" s="10">
        <v>3</v>
      </c>
      <c r="D138" s="10">
        <v>0</v>
      </c>
      <c r="E138" s="10">
        <v>10</v>
      </c>
      <c r="F138" s="10">
        <v>16</v>
      </c>
      <c r="H138" s="9" t="s">
        <v>29</v>
      </c>
      <c r="I138" s="10">
        <v>41</v>
      </c>
      <c r="J138" s="10">
        <v>13</v>
      </c>
      <c r="K138" s="10">
        <v>0</v>
      </c>
      <c r="L138" s="10">
        <v>18</v>
      </c>
      <c r="M138" s="10">
        <v>10</v>
      </c>
      <c r="O138" s="9" t="s">
        <v>29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3">
      <c r="A139" s="9" t="s">
        <v>30</v>
      </c>
      <c r="B139" s="10">
        <v>102</v>
      </c>
      <c r="C139" s="10">
        <v>1</v>
      </c>
      <c r="D139" s="10">
        <v>0</v>
      </c>
      <c r="E139" s="10">
        <v>22</v>
      </c>
      <c r="F139" s="10">
        <v>79</v>
      </c>
      <c r="H139" s="9" t="s">
        <v>30</v>
      </c>
      <c r="I139" s="10">
        <v>148</v>
      </c>
      <c r="J139" s="10">
        <v>49</v>
      </c>
      <c r="K139" s="10">
        <v>0</v>
      </c>
      <c r="L139" s="10">
        <v>90</v>
      </c>
      <c r="M139" s="10">
        <v>9</v>
      </c>
      <c r="O139" s="9" t="s">
        <v>30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3">
      <c r="A140" s="9" t="s">
        <v>31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H140" s="9" t="s">
        <v>31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O140" s="9" t="s">
        <v>31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3">
      <c r="A141" s="11" t="s">
        <v>32</v>
      </c>
      <c r="B141" s="12">
        <v>35</v>
      </c>
      <c r="C141" s="12">
        <v>1</v>
      </c>
      <c r="D141" s="12">
        <v>0</v>
      </c>
      <c r="E141" s="12">
        <v>21</v>
      </c>
      <c r="F141" s="12">
        <v>13</v>
      </c>
      <c r="H141" s="11" t="s">
        <v>32</v>
      </c>
      <c r="I141" s="12">
        <v>23</v>
      </c>
      <c r="J141" s="12">
        <v>9</v>
      </c>
      <c r="K141" s="12">
        <v>0</v>
      </c>
      <c r="L141" s="12">
        <v>8</v>
      </c>
      <c r="M141" s="12">
        <v>6</v>
      </c>
      <c r="O141" s="11" t="s">
        <v>32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</row>
    <row r="142" spans="1:20" x14ac:dyDescent="0.3">
      <c r="A142" s="13" t="s">
        <v>33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H142" s="13" t="s">
        <v>33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O142" s="13" t="s">
        <v>33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spans="1:20" x14ac:dyDescent="0.3">
      <c r="A143" s="13" t="s">
        <v>34</v>
      </c>
      <c r="B143" s="14">
        <v>35</v>
      </c>
      <c r="C143" s="14">
        <v>1</v>
      </c>
      <c r="D143" s="14">
        <v>0</v>
      </c>
      <c r="E143" s="14">
        <v>21</v>
      </c>
      <c r="F143" s="14">
        <v>13</v>
      </c>
      <c r="H143" s="13" t="s">
        <v>34</v>
      </c>
      <c r="I143" s="14">
        <v>23</v>
      </c>
      <c r="J143" s="14">
        <v>9</v>
      </c>
      <c r="K143" s="14">
        <v>0</v>
      </c>
      <c r="L143" s="14">
        <v>8</v>
      </c>
      <c r="M143" s="14">
        <v>6</v>
      </c>
      <c r="O143" s="13" t="s">
        <v>34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</row>
    <row r="144" spans="1:20" x14ac:dyDescent="0.3">
      <c r="A144" s="15" t="s">
        <v>35</v>
      </c>
      <c r="B144" s="16">
        <v>1</v>
      </c>
      <c r="C144" s="16">
        <v>0</v>
      </c>
      <c r="D144" s="16">
        <v>0</v>
      </c>
      <c r="E144" s="16">
        <v>1</v>
      </c>
      <c r="F144" s="16">
        <v>0</v>
      </c>
      <c r="H144" s="15" t="s">
        <v>35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O144" s="15" t="s">
        <v>35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</row>
    <row r="145" spans="1:20" x14ac:dyDescent="0.3">
      <c r="A145" s="17" t="s">
        <v>36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H145" s="17" t="s">
        <v>36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O145" s="17" t="s">
        <v>36</v>
      </c>
      <c r="P145" s="112">
        <v>0</v>
      </c>
      <c r="Q145" s="112">
        <v>0</v>
      </c>
      <c r="R145" s="112">
        <v>0</v>
      </c>
      <c r="S145" s="112">
        <v>0</v>
      </c>
      <c r="T145" s="112">
        <v>0</v>
      </c>
    </row>
    <row r="146" spans="1:20" x14ac:dyDescent="0.3">
      <c r="A146" s="17" t="s">
        <v>37</v>
      </c>
      <c r="B146" s="18">
        <v>1</v>
      </c>
      <c r="C146" s="18">
        <v>0</v>
      </c>
      <c r="D146" s="18">
        <v>0</v>
      </c>
      <c r="E146" s="18">
        <v>1</v>
      </c>
      <c r="F146" s="18">
        <v>0</v>
      </c>
      <c r="H146" s="17" t="s">
        <v>37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O146" s="17" t="s">
        <v>37</v>
      </c>
      <c r="P146" s="112">
        <v>0</v>
      </c>
      <c r="Q146" s="112">
        <v>0</v>
      </c>
      <c r="R146" s="112">
        <v>0</v>
      </c>
      <c r="S146" s="112">
        <v>0</v>
      </c>
      <c r="T146" s="112">
        <v>0</v>
      </c>
    </row>
    <row r="147" spans="1:20" x14ac:dyDescent="0.3">
      <c r="A147" s="17" t="s">
        <v>38</v>
      </c>
      <c r="B147" s="172" t="s">
        <v>208</v>
      </c>
      <c r="C147" s="173"/>
      <c r="D147" s="173"/>
      <c r="E147" s="173"/>
      <c r="F147" s="173"/>
      <c r="H147" s="17" t="s">
        <v>38</v>
      </c>
      <c r="I147" s="172" t="s">
        <v>208</v>
      </c>
      <c r="J147" s="173"/>
      <c r="K147" s="173"/>
      <c r="L147" s="173"/>
      <c r="M147" s="173"/>
      <c r="O147" s="17" t="s">
        <v>38</v>
      </c>
      <c r="P147" s="172"/>
      <c r="Q147" s="173"/>
      <c r="R147" s="173"/>
      <c r="S147" s="173"/>
      <c r="T147" s="173"/>
    </row>
    <row r="148" spans="1:20" ht="19.8" x14ac:dyDescent="0.3">
      <c r="A148" s="171">
        <v>46091</v>
      </c>
      <c r="B148" s="171"/>
      <c r="C148" s="171"/>
      <c r="D148" s="171"/>
      <c r="E148" s="171"/>
      <c r="F148" s="171"/>
      <c r="H148" s="171">
        <v>46121</v>
      </c>
      <c r="I148" s="171"/>
      <c r="J148" s="171"/>
      <c r="K148" s="171"/>
      <c r="L148" s="171"/>
      <c r="M148" s="171"/>
      <c r="O148" s="171">
        <v>46153</v>
      </c>
      <c r="P148" s="174"/>
      <c r="Q148" s="174"/>
      <c r="R148" s="174"/>
      <c r="S148" s="174"/>
      <c r="T148" s="174"/>
    </row>
    <row r="149" spans="1:20" x14ac:dyDescent="0.3">
      <c r="A149" s="1" t="s">
        <v>0</v>
      </c>
      <c r="B149" s="1" t="s">
        <v>1</v>
      </c>
      <c r="C149" s="1" t="s">
        <v>2</v>
      </c>
      <c r="D149" s="1" t="s">
        <v>760</v>
      </c>
      <c r="E149" s="1" t="s">
        <v>40</v>
      </c>
      <c r="F149" s="1" t="s">
        <v>4</v>
      </c>
      <c r="H149" s="1" t="s">
        <v>0</v>
      </c>
      <c r="I149" s="1" t="s">
        <v>1</v>
      </c>
      <c r="J149" s="1" t="s">
        <v>2</v>
      </c>
      <c r="K149" s="1" t="s">
        <v>760</v>
      </c>
      <c r="L149" s="1" t="s">
        <v>40</v>
      </c>
      <c r="M149" s="1" t="s">
        <v>4</v>
      </c>
      <c r="O149" s="1" t="s">
        <v>0</v>
      </c>
      <c r="P149" s="1" t="s">
        <v>1</v>
      </c>
      <c r="Q149" s="1" t="s">
        <v>2</v>
      </c>
      <c r="R149" s="1" t="s">
        <v>760</v>
      </c>
      <c r="S149" s="1" t="s">
        <v>40</v>
      </c>
      <c r="T149" s="1" t="s">
        <v>4</v>
      </c>
    </row>
    <row r="150" spans="1:20" x14ac:dyDescent="0.3">
      <c r="A150" s="2" t="s">
        <v>5</v>
      </c>
      <c r="B150" s="3">
        <v>2881</v>
      </c>
      <c r="C150" s="3">
        <v>1054</v>
      </c>
      <c r="D150" s="3">
        <v>0</v>
      </c>
      <c r="E150" s="3">
        <v>956</v>
      </c>
      <c r="F150" s="3">
        <v>871</v>
      </c>
      <c r="H150" s="2" t="s">
        <v>5</v>
      </c>
      <c r="I150" s="3">
        <v>3596</v>
      </c>
      <c r="J150" s="3">
        <v>1299</v>
      </c>
      <c r="K150" s="3">
        <v>0</v>
      </c>
      <c r="L150" s="3">
        <v>1228</v>
      </c>
      <c r="M150" s="3">
        <v>1069</v>
      </c>
      <c r="O150" s="2" t="s">
        <v>5</v>
      </c>
      <c r="P150" s="3">
        <v>2462</v>
      </c>
      <c r="Q150" s="3">
        <v>906</v>
      </c>
      <c r="R150" s="3">
        <v>0</v>
      </c>
      <c r="S150" s="3">
        <v>799</v>
      </c>
      <c r="T150" s="3">
        <v>757</v>
      </c>
    </row>
    <row r="151" spans="1:20" x14ac:dyDescent="0.3">
      <c r="A151" s="2" t="s">
        <v>6</v>
      </c>
      <c r="B151" s="3">
        <v>155</v>
      </c>
      <c r="C151" s="6">
        <v>43</v>
      </c>
      <c r="D151" s="3">
        <v>0</v>
      </c>
      <c r="E151" s="4">
        <v>33</v>
      </c>
      <c r="F151" s="5">
        <v>79</v>
      </c>
      <c r="H151" s="2" t="s">
        <v>6</v>
      </c>
      <c r="I151" s="3">
        <v>202</v>
      </c>
      <c r="J151" s="6">
        <v>68</v>
      </c>
      <c r="K151" s="3">
        <v>0</v>
      </c>
      <c r="L151" s="5">
        <v>107</v>
      </c>
      <c r="M151" s="4">
        <v>27</v>
      </c>
      <c r="O151" s="2" t="s">
        <v>6</v>
      </c>
      <c r="P151" s="3">
        <v>54</v>
      </c>
      <c r="Q151" s="5">
        <v>20</v>
      </c>
      <c r="R151" s="3">
        <v>0</v>
      </c>
      <c r="S151" s="6">
        <v>18</v>
      </c>
      <c r="T151" s="4">
        <v>16</v>
      </c>
    </row>
    <row r="152" spans="1:20" x14ac:dyDescent="0.3">
      <c r="A152" s="2" t="s">
        <v>7</v>
      </c>
      <c r="B152" s="3" t="s">
        <v>409</v>
      </c>
      <c r="C152" s="6" t="s">
        <v>410</v>
      </c>
      <c r="D152" s="3">
        <v>0</v>
      </c>
      <c r="E152" s="4" t="s">
        <v>411</v>
      </c>
      <c r="F152" s="5" t="s">
        <v>412</v>
      </c>
      <c r="H152" s="2" t="s">
        <v>7</v>
      </c>
      <c r="I152" s="3" t="s">
        <v>1262</v>
      </c>
      <c r="J152" s="6" t="s">
        <v>1052</v>
      </c>
      <c r="K152" s="3">
        <v>0</v>
      </c>
      <c r="L152" s="5" t="s">
        <v>1371</v>
      </c>
      <c r="M152" s="4" t="s">
        <v>1137</v>
      </c>
      <c r="O152" s="2" t="s">
        <v>7</v>
      </c>
      <c r="P152" s="3" t="s">
        <v>802</v>
      </c>
      <c r="Q152" s="6" t="s">
        <v>1045</v>
      </c>
      <c r="R152" s="3">
        <v>0</v>
      </c>
      <c r="S152" s="5" t="s">
        <v>534</v>
      </c>
      <c r="T152" s="4" t="s">
        <v>278</v>
      </c>
    </row>
    <row r="153" spans="1:20" x14ac:dyDescent="0.3">
      <c r="A153" s="2" t="s">
        <v>12</v>
      </c>
      <c r="B153" s="3" t="s">
        <v>413</v>
      </c>
      <c r="C153" s="6" t="s">
        <v>414</v>
      </c>
      <c r="D153" s="3">
        <v>0</v>
      </c>
      <c r="E153" s="4" t="s">
        <v>415</v>
      </c>
      <c r="F153" s="5" t="s">
        <v>412</v>
      </c>
      <c r="H153" s="2" t="s">
        <v>12</v>
      </c>
      <c r="I153" s="3" t="s">
        <v>1372</v>
      </c>
      <c r="J153" s="6" t="s">
        <v>1015</v>
      </c>
      <c r="K153" s="3">
        <v>0</v>
      </c>
      <c r="L153" s="5" t="s">
        <v>1371</v>
      </c>
      <c r="M153" s="4" t="s">
        <v>1137</v>
      </c>
      <c r="O153" s="2" t="s">
        <v>12</v>
      </c>
      <c r="P153" s="3" t="s">
        <v>748</v>
      </c>
      <c r="Q153" s="6" t="s">
        <v>472</v>
      </c>
      <c r="R153" s="3">
        <v>0</v>
      </c>
      <c r="S153" s="5" t="s">
        <v>117</v>
      </c>
      <c r="T153" s="4" t="s">
        <v>364</v>
      </c>
    </row>
    <row r="154" spans="1:20" x14ac:dyDescent="0.3">
      <c r="A154" s="2" t="s">
        <v>17</v>
      </c>
      <c r="B154" s="3" t="s">
        <v>186</v>
      </c>
      <c r="C154" s="4" t="s">
        <v>416</v>
      </c>
      <c r="D154" s="3" t="s">
        <v>25</v>
      </c>
      <c r="E154" s="5" t="s">
        <v>417</v>
      </c>
      <c r="F154" s="6" t="s">
        <v>417</v>
      </c>
      <c r="H154" s="2" t="s">
        <v>17</v>
      </c>
      <c r="I154" s="3" t="s">
        <v>47</v>
      </c>
      <c r="J154" s="5" t="s">
        <v>150</v>
      </c>
      <c r="K154" s="3" t="s">
        <v>25</v>
      </c>
      <c r="L154" s="4" t="s">
        <v>309</v>
      </c>
      <c r="M154" s="6" t="s">
        <v>595</v>
      </c>
      <c r="O154" s="2" t="s">
        <v>17</v>
      </c>
      <c r="P154" s="3" t="s">
        <v>76</v>
      </c>
      <c r="Q154" s="5" t="s">
        <v>416</v>
      </c>
      <c r="R154" s="3" t="s">
        <v>25</v>
      </c>
      <c r="S154" s="4" t="s">
        <v>47</v>
      </c>
      <c r="T154" s="6" t="s">
        <v>466</v>
      </c>
    </row>
    <row r="155" spans="1:20" x14ac:dyDescent="0.3">
      <c r="A155" s="2" t="s">
        <v>22</v>
      </c>
      <c r="B155" s="3" t="s">
        <v>25</v>
      </c>
      <c r="C155" s="3" t="s">
        <v>25</v>
      </c>
      <c r="D155" s="3" t="s">
        <v>25</v>
      </c>
      <c r="E155" s="3" t="s">
        <v>25</v>
      </c>
      <c r="F155" s="3" t="s">
        <v>25</v>
      </c>
      <c r="H155" s="2" t="s">
        <v>22</v>
      </c>
      <c r="I155" s="3" t="s">
        <v>25</v>
      </c>
      <c r="J155" s="3" t="s">
        <v>25</v>
      </c>
      <c r="K155" s="3" t="s">
        <v>25</v>
      </c>
      <c r="L155" s="3" t="s">
        <v>25</v>
      </c>
      <c r="M155" s="3" t="s">
        <v>25</v>
      </c>
      <c r="O155" s="2" t="s">
        <v>22</v>
      </c>
      <c r="P155" s="3" t="s">
        <v>257</v>
      </c>
      <c r="Q155" s="3" t="s">
        <v>25</v>
      </c>
      <c r="R155" s="3" t="s">
        <v>25</v>
      </c>
      <c r="S155" s="5" t="s">
        <v>75</v>
      </c>
      <c r="T155" s="3" t="s">
        <v>25</v>
      </c>
    </row>
    <row r="156" spans="1:20" x14ac:dyDescent="0.3">
      <c r="A156" s="7" t="s">
        <v>26</v>
      </c>
      <c r="B156" s="8">
        <v>147</v>
      </c>
      <c r="C156" s="8">
        <v>36</v>
      </c>
      <c r="D156" s="8">
        <v>0</v>
      </c>
      <c r="E156" s="8">
        <v>32</v>
      </c>
      <c r="F156" s="8">
        <v>79</v>
      </c>
      <c r="H156" s="7" t="s">
        <v>26</v>
      </c>
      <c r="I156" s="8">
        <v>197</v>
      </c>
      <c r="J156" s="8">
        <v>63</v>
      </c>
      <c r="K156" s="8">
        <v>0</v>
      </c>
      <c r="L156" s="8">
        <v>107</v>
      </c>
      <c r="M156" s="8">
        <v>27</v>
      </c>
      <c r="O156" s="7" t="s">
        <v>26</v>
      </c>
      <c r="P156" s="8">
        <v>41</v>
      </c>
      <c r="Q156" s="8">
        <v>15</v>
      </c>
      <c r="R156" s="8">
        <v>0</v>
      </c>
      <c r="S156" s="8">
        <v>14</v>
      </c>
      <c r="T156" s="8">
        <v>12</v>
      </c>
    </row>
    <row r="157" spans="1:20" x14ac:dyDescent="0.3">
      <c r="A157" s="9" t="s">
        <v>27</v>
      </c>
      <c r="B157" s="10">
        <v>19</v>
      </c>
      <c r="C157" s="10">
        <v>14</v>
      </c>
      <c r="D157" s="10">
        <v>0</v>
      </c>
      <c r="E157" s="10">
        <v>5</v>
      </c>
      <c r="F157" s="10">
        <v>0</v>
      </c>
      <c r="H157" s="9" t="s">
        <v>27</v>
      </c>
      <c r="I157" s="10">
        <v>10</v>
      </c>
      <c r="J157" s="10">
        <v>1</v>
      </c>
      <c r="K157" s="10">
        <v>0</v>
      </c>
      <c r="L157" s="10">
        <v>7</v>
      </c>
      <c r="M157" s="10">
        <v>2</v>
      </c>
      <c r="O157" s="9" t="s">
        <v>27</v>
      </c>
      <c r="P157" s="10">
        <v>27</v>
      </c>
      <c r="Q157" s="10">
        <v>8</v>
      </c>
      <c r="R157" s="10">
        <v>0</v>
      </c>
      <c r="S157" s="10">
        <v>11</v>
      </c>
      <c r="T157" s="10">
        <v>8</v>
      </c>
    </row>
    <row r="158" spans="1:20" x14ac:dyDescent="0.3">
      <c r="A158" s="9" t="s">
        <v>28</v>
      </c>
      <c r="B158" s="10">
        <v>11</v>
      </c>
      <c r="C158" s="10">
        <v>0</v>
      </c>
      <c r="D158" s="10">
        <v>0</v>
      </c>
      <c r="E158" s="10">
        <v>6</v>
      </c>
      <c r="F158" s="10">
        <v>5</v>
      </c>
      <c r="H158" s="9" t="s">
        <v>28</v>
      </c>
      <c r="I158" s="10">
        <v>5</v>
      </c>
      <c r="J158" s="10">
        <v>1</v>
      </c>
      <c r="K158" s="10">
        <v>0</v>
      </c>
      <c r="L158" s="10">
        <v>3</v>
      </c>
      <c r="M158" s="10">
        <v>1</v>
      </c>
      <c r="O158" s="9" t="s">
        <v>28</v>
      </c>
      <c r="P158" s="10">
        <v>3</v>
      </c>
      <c r="Q158" s="10">
        <v>0</v>
      </c>
      <c r="R158" s="10">
        <v>0</v>
      </c>
      <c r="S158" s="10">
        <v>1</v>
      </c>
      <c r="T158" s="10">
        <v>2</v>
      </c>
    </row>
    <row r="159" spans="1:20" x14ac:dyDescent="0.3">
      <c r="A159" s="9" t="s">
        <v>29</v>
      </c>
      <c r="B159" s="10">
        <v>61</v>
      </c>
      <c r="C159" s="10">
        <v>20</v>
      </c>
      <c r="D159" s="10">
        <v>0</v>
      </c>
      <c r="E159" s="10">
        <v>9</v>
      </c>
      <c r="F159" s="10">
        <v>32</v>
      </c>
      <c r="H159" s="9" t="s">
        <v>29</v>
      </c>
      <c r="I159" s="10">
        <v>42</v>
      </c>
      <c r="J159" s="10">
        <v>16</v>
      </c>
      <c r="K159" s="10">
        <v>0</v>
      </c>
      <c r="L159" s="10">
        <v>10</v>
      </c>
      <c r="M159" s="10">
        <v>16</v>
      </c>
      <c r="O159" s="9" t="s">
        <v>29</v>
      </c>
      <c r="P159" s="10">
        <v>3</v>
      </c>
      <c r="Q159" s="10">
        <v>2</v>
      </c>
      <c r="R159" s="10">
        <v>0</v>
      </c>
      <c r="S159" s="10">
        <v>1</v>
      </c>
      <c r="T159" s="10">
        <v>0</v>
      </c>
    </row>
    <row r="160" spans="1:20" x14ac:dyDescent="0.3">
      <c r="A160" s="9" t="s">
        <v>30</v>
      </c>
      <c r="B160" s="10">
        <v>56</v>
      </c>
      <c r="C160" s="10">
        <v>2</v>
      </c>
      <c r="D160" s="10">
        <v>0</v>
      </c>
      <c r="E160" s="10">
        <v>12</v>
      </c>
      <c r="F160" s="10">
        <v>42</v>
      </c>
      <c r="H160" s="9" t="s">
        <v>30</v>
      </c>
      <c r="I160" s="10">
        <v>140</v>
      </c>
      <c r="J160" s="10">
        <v>45</v>
      </c>
      <c r="K160" s="10">
        <v>0</v>
      </c>
      <c r="L160" s="10">
        <v>87</v>
      </c>
      <c r="M160" s="10">
        <v>8</v>
      </c>
      <c r="O160" s="9" t="s">
        <v>30</v>
      </c>
      <c r="P160" s="10">
        <v>8</v>
      </c>
      <c r="Q160" s="10">
        <v>5</v>
      </c>
      <c r="R160" s="10">
        <v>0</v>
      </c>
      <c r="S160" s="10">
        <v>1</v>
      </c>
      <c r="T160" s="10">
        <v>2</v>
      </c>
    </row>
    <row r="161" spans="1:20" x14ac:dyDescent="0.3">
      <c r="A161" s="9" t="s">
        <v>31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H161" s="9" t="s">
        <v>31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O161" s="9" t="s">
        <v>31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3">
      <c r="A162" s="11" t="s">
        <v>32</v>
      </c>
      <c r="B162" s="12">
        <v>28</v>
      </c>
      <c r="C162" s="12">
        <v>7</v>
      </c>
      <c r="D162" s="12">
        <v>0</v>
      </c>
      <c r="E162" s="12">
        <v>11</v>
      </c>
      <c r="F162" s="12">
        <v>10</v>
      </c>
      <c r="H162" s="11" t="s">
        <v>32</v>
      </c>
      <c r="I162" s="12">
        <v>9</v>
      </c>
      <c r="J162" s="12">
        <v>5</v>
      </c>
      <c r="K162" s="12">
        <v>0</v>
      </c>
      <c r="L162" s="12">
        <v>1</v>
      </c>
      <c r="M162" s="12">
        <v>3</v>
      </c>
      <c r="O162" s="11" t="s">
        <v>32</v>
      </c>
      <c r="P162" s="12">
        <v>12</v>
      </c>
      <c r="Q162" s="12">
        <v>6</v>
      </c>
      <c r="R162" s="12">
        <v>0</v>
      </c>
      <c r="S162" s="12">
        <v>2</v>
      </c>
      <c r="T162" s="12">
        <v>4</v>
      </c>
    </row>
    <row r="163" spans="1:20" x14ac:dyDescent="0.3">
      <c r="A163" s="13" t="s">
        <v>33</v>
      </c>
      <c r="B163" s="14">
        <v>0</v>
      </c>
      <c r="C163" s="14">
        <v>0</v>
      </c>
      <c r="D163" s="14">
        <v>0</v>
      </c>
      <c r="E163" s="14">
        <v>0</v>
      </c>
      <c r="F163" s="14">
        <v>0</v>
      </c>
      <c r="H163" s="13" t="s">
        <v>33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O163" s="13" t="s">
        <v>33</v>
      </c>
      <c r="P163" s="14">
        <v>1</v>
      </c>
      <c r="Q163" s="14">
        <v>1</v>
      </c>
      <c r="R163" s="14">
        <v>0</v>
      </c>
      <c r="S163" s="14">
        <v>0</v>
      </c>
      <c r="T163" s="14">
        <v>0</v>
      </c>
    </row>
    <row r="164" spans="1:20" x14ac:dyDescent="0.3">
      <c r="A164" s="13" t="s">
        <v>34</v>
      </c>
      <c r="B164" s="14">
        <v>28</v>
      </c>
      <c r="C164" s="14">
        <v>7</v>
      </c>
      <c r="D164" s="14">
        <v>0</v>
      </c>
      <c r="E164" s="14">
        <v>11</v>
      </c>
      <c r="F164" s="14">
        <v>10</v>
      </c>
      <c r="H164" s="13" t="s">
        <v>34</v>
      </c>
      <c r="I164" s="14">
        <v>9</v>
      </c>
      <c r="J164" s="14">
        <v>5</v>
      </c>
      <c r="K164" s="14">
        <v>0</v>
      </c>
      <c r="L164" s="14">
        <v>1</v>
      </c>
      <c r="M164" s="14">
        <v>3</v>
      </c>
      <c r="O164" s="13" t="s">
        <v>34</v>
      </c>
      <c r="P164" s="14">
        <v>11</v>
      </c>
      <c r="Q164" s="14">
        <v>5</v>
      </c>
      <c r="R164" s="14">
        <v>0</v>
      </c>
      <c r="S164" s="14">
        <v>2</v>
      </c>
      <c r="T164" s="14">
        <v>4</v>
      </c>
    </row>
    <row r="165" spans="1:20" x14ac:dyDescent="0.3">
      <c r="A165" s="15" t="s">
        <v>35</v>
      </c>
      <c r="B165" s="16">
        <v>0</v>
      </c>
      <c r="C165" s="16">
        <v>0</v>
      </c>
      <c r="D165" s="16">
        <v>0</v>
      </c>
      <c r="E165" s="16">
        <v>0</v>
      </c>
      <c r="F165" s="16">
        <v>0</v>
      </c>
      <c r="H165" s="15" t="s">
        <v>35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O165" s="15" t="s">
        <v>35</v>
      </c>
      <c r="P165" s="16">
        <v>1</v>
      </c>
      <c r="Q165" s="16">
        <v>0</v>
      </c>
      <c r="R165" s="16">
        <v>0</v>
      </c>
      <c r="S165" s="16">
        <v>1</v>
      </c>
      <c r="T165" s="16">
        <v>0</v>
      </c>
    </row>
    <row r="166" spans="1:20" x14ac:dyDescent="0.3">
      <c r="A166" s="17" t="s">
        <v>36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H166" s="17" t="s">
        <v>36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O166" s="17" t="s">
        <v>36</v>
      </c>
      <c r="P166" s="112">
        <v>1</v>
      </c>
      <c r="Q166" s="112">
        <v>0</v>
      </c>
      <c r="R166" s="112">
        <v>0</v>
      </c>
      <c r="S166" s="112">
        <v>1</v>
      </c>
      <c r="T166" s="112">
        <v>0</v>
      </c>
    </row>
    <row r="167" spans="1:20" x14ac:dyDescent="0.3">
      <c r="A167" s="17" t="s">
        <v>37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H167" s="17" t="s">
        <v>37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O167" s="17" t="s">
        <v>37</v>
      </c>
      <c r="P167" s="112">
        <v>0</v>
      </c>
      <c r="Q167" s="112">
        <v>0</v>
      </c>
      <c r="R167" s="112">
        <v>0</v>
      </c>
      <c r="S167" s="112">
        <v>0</v>
      </c>
      <c r="T167" s="112">
        <v>0</v>
      </c>
    </row>
    <row r="168" spans="1:20" x14ac:dyDescent="0.3">
      <c r="A168" s="17" t="s">
        <v>38</v>
      </c>
      <c r="B168" s="172" t="s">
        <v>208</v>
      </c>
      <c r="C168" s="173"/>
      <c r="D168" s="173"/>
      <c r="E168" s="173"/>
      <c r="F168" s="173"/>
      <c r="H168" s="17" t="s">
        <v>38</v>
      </c>
      <c r="I168" s="172" t="s">
        <v>208</v>
      </c>
      <c r="J168" s="173"/>
      <c r="K168" s="173"/>
      <c r="L168" s="173"/>
      <c r="M168" s="173"/>
      <c r="O168" s="17" t="s">
        <v>38</v>
      </c>
      <c r="P168" s="172" t="s">
        <v>1864</v>
      </c>
      <c r="Q168" s="173"/>
      <c r="R168" s="173"/>
      <c r="S168" s="173"/>
      <c r="T168" s="173"/>
    </row>
    <row r="169" spans="1:20" ht="19.8" x14ac:dyDescent="0.3">
      <c r="A169" s="171">
        <v>46092</v>
      </c>
      <c r="B169" s="171"/>
      <c r="C169" s="171"/>
      <c r="D169" s="171"/>
      <c r="E169" s="171"/>
      <c r="F169" s="171"/>
      <c r="H169" s="171">
        <v>46122</v>
      </c>
      <c r="I169" s="171"/>
      <c r="J169" s="171"/>
      <c r="K169" s="171"/>
      <c r="L169" s="171"/>
      <c r="M169" s="171"/>
      <c r="O169" s="171">
        <v>46154</v>
      </c>
      <c r="P169" s="171"/>
      <c r="Q169" s="171"/>
      <c r="R169" s="171"/>
      <c r="S169" s="171"/>
      <c r="T169" s="171"/>
    </row>
    <row r="170" spans="1:20" x14ac:dyDescent="0.3">
      <c r="A170" s="1" t="s">
        <v>0</v>
      </c>
      <c r="B170" s="1" t="s">
        <v>1</v>
      </c>
      <c r="C170" s="1" t="s">
        <v>2</v>
      </c>
      <c r="D170" s="1" t="s">
        <v>760</v>
      </c>
      <c r="E170" s="1" t="s">
        <v>40</v>
      </c>
      <c r="F170" s="1" t="s">
        <v>4</v>
      </c>
      <c r="H170" s="1" t="s">
        <v>0</v>
      </c>
      <c r="I170" s="1" t="s">
        <v>1</v>
      </c>
      <c r="J170" s="1" t="s">
        <v>2</v>
      </c>
      <c r="K170" s="1" t="s">
        <v>760</v>
      </c>
      <c r="L170" s="1" t="s">
        <v>40</v>
      </c>
      <c r="M170" s="1" t="s">
        <v>4</v>
      </c>
      <c r="O170" s="1" t="s">
        <v>0</v>
      </c>
      <c r="P170" s="1" t="s">
        <v>1</v>
      </c>
      <c r="Q170" s="1" t="s">
        <v>2</v>
      </c>
      <c r="R170" s="1" t="s">
        <v>760</v>
      </c>
      <c r="S170" s="1" t="s">
        <v>40</v>
      </c>
      <c r="T170" s="1" t="s">
        <v>4</v>
      </c>
    </row>
    <row r="171" spans="1:20" x14ac:dyDescent="0.3">
      <c r="A171" s="2" t="s">
        <v>5</v>
      </c>
      <c r="B171" s="3">
        <v>2460</v>
      </c>
      <c r="C171" s="3">
        <v>862</v>
      </c>
      <c r="D171" s="3">
        <v>0</v>
      </c>
      <c r="E171" s="3">
        <v>815</v>
      </c>
      <c r="F171" s="3">
        <v>783</v>
      </c>
      <c r="H171" s="2" t="s">
        <v>5</v>
      </c>
      <c r="I171" s="3">
        <v>3651</v>
      </c>
      <c r="J171" s="3">
        <v>1247</v>
      </c>
      <c r="K171" s="3">
        <v>0</v>
      </c>
      <c r="L171" s="3">
        <v>1219</v>
      </c>
      <c r="M171" s="3">
        <v>1185</v>
      </c>
      <c r="O171" s="2" t="s">
        <v>5</v>
      </c>
      <c r="P171" s="3">
        <v>151</v>
      </c>
      <c r="Q171" s="3">
        <v>81</v>
      </c>
      <c r="R171" s="3">
        <v>0</v>
      </c>
      <c r="S171" s="3">
        <v>34</v>
      </c>
      <c r="T171" s="3">
        <v>36</v>
      </c>
    </row>
    <row r="172" spans="1:20" x14ac:dyDescent="0.3">
      <c r="A172" s="2" t="s">
        <v>6</v>
      </c>
      <c r="B172" s="3">
        <v>45</v>
      </c>
      <c r="C172" s="6">
        <v>12</v>
      </c>
      <c r="D172" s="3">
        <v>0</v>
      </c>
      <c r="E172" s="4">
        <v>8</v>
      </c>
      <c r="F172" s="5">
        <v>25</v>
      </c>
      <c r="H172" s="2" t="s">
        <v>6</v>
      </c>
      <c r="I172" s="3">
        <v>218</v>
      </c>
      <c r="J172" s="6">
        <v>53</v>
      </c>
      <c r="K172" s="3">
        <v>0</v>
      </c>
      <c r="L172" s="5">
        <v>125</v>
      </c>
      <c r="M172" s="4">
        <v>40</v>
      </c>
      <c r="O172" s="2" t="s">
        <v>6</v>
      </c>
      <c r="P172" s="3">
        <v>78</v>
      </c>
      <c r="Q172" s="6">
        <v>28</v>
      </c>
      <c r="R172" s="3">
        <v>0</v>
      </c>
      <c r="S172" s="4">
        <v>14</v>
      </c>
      <c r="T172" s="5">
        <v>36</v>
      </c>
    </row>
    <row r="173" spans="1:20" x14ac:dyDescent="0.3">
      <c r="A173" s="2" t="s">
        <v>7</v>
      </c>
      <c r="B173" s="3" t="s">
        <v>450</v>
      </c>
      <c r="C173" s="6" t="s">
        <v>451</v>
      </c>
      <c r="D173" s="3">
        <v>0</v>
      </c>
      <c r="E173" s="4" t="s">
        <v>452</v>
      </c>
      <c r="F173" s="5" t="s">
        <v>453</v>
      </c>
      <c r="H173" s="2" t="s">
        <v>7</v>
      </c>
      <c r="I173" s="3" t="s">
        <v>1113</v>
      </c>
      <c r="J173" s="6" t="s">
        <v>1388</v>
      </c>
      <c r="K173" s="3">
        <v>0</v>
      </c>
      <c r="L173" s="5" t="s">
        <v>755</v>
      </c>
      <c r="M173" s="4" t="s">
        <v>69</v>
      </c>
      <c r="O173" s="2" t="s">
        <v>7</v>
      </c>
      <c r="P173" s="3" t="s">
        <v>1878</v>
      </c>
      <c r="Q173" s="4" t="s">
        <v>1879</v>
      </c>
      <c r="R173" s="3">
        <v>0</v>
      </c>
      <c r="S173" s="6" t="s">
        <v>1880</v>
      </c>
      <c r="T173" s="5" t="s">
        <v>48</v>
      </c>
    </row>
    <row r="174" spans="1:20" x14ac:dyDescent="0.3">
      <c r="A174" s="2" t="s">
        <v>12</v>
      </c>
      <c r="B174" s="3" t="s">
        <v>450</v>
      </c>
      <c r="C174" s="6" t="s">
        <v>451</v>
      </c>
      <c r="D174" s="3">
        <v>0</v>
      </c>
      <c r="E174" s="4" t="s">
        <v>452</v>
      </c>
      <c r="F174" s="5" t="s">
        <v>453</v>
      </c>
      <c r="H174" s="2" t="s">
        <v>12</v>
      </c>
      <c r="I174" s="3" t="s">
        <v>817</v>
      </c>
      <c r="J174" s="6" t="s">
        <v>1389</v>
      </c>
      <c r="K174" s="3">
        <v>0</v>
      </c>
      <c r="L174" s="5" t="s">
        <v>167</v>
      </c>
      <c r="M174" s="4" t="s">
        <v>692</v>
      </c>
      <c r="O174" s="2" t="s">
        <v>12</v>
      </c>
      <c r="P174" s="3" t="s">
        <v>1881</v>
      </c>
      <c r="Q174" s="6" t="s">
        <v>1882</v>
      </c>
      <c r="R174" s="3">
        <v>0</v>
      </c>
      <c r="S174" s="5" t="s">
        <v>1883</v>
      </c>
      <c r="T174" s="3" t="s">
        <v>25</v>
      </c>
    </row>
    <row r="175" spans="1:20" x14ac:dyDescent="0.3">
      <c r="A175" s="2" t="s">
        <v>17</v>
      </c>
      <c r="B175" s="3" t="s">
        <v>309</v>
      </c>
      <c r="C175" s="3" t="s">
        <v>25</v>
      </c>
      <c r="D175" s="3" t="s">
        <v>25</v>
      </c>
      <c r="E175" s="3" t="s">
        <v>25</v>
      </c>
      <c r="F175" s="5" t="s">
        <v>101</v>
      </c>
      <c r="H175" s="2" t="s">
        <v>17</v>
      </c>
      <c r="I175" s="3" t="s">
        <v>88</v>
      </c>
      <c r="J175" s="4" t="s">
        <v>154</v>
      </c>
      <c r="K175" s="3" t="s">
        <v>25</v>
      </c>
      <c r="L175" s="5" t="s">
        <v>507</v>
      </c>
      <c r="M175" s="6" t="s">
        <v>47</v>
      </c>
      <c r="O175" s="2" t="s">
        <v>17</v>
      </c>
      <c r="P175" s="3" t="s">
        <v>1884</v>
      </c>
      <c r="Q175" s="6" t="s">
        <v>220</v>
      </c>
      <c r="R175" s="3" t="s">
        <v>25</v>
      </c>
      <c r="S175" s="4" t="s">
        <v>1408</v>
      </c>
      <c r="T175" s="5" t="s">
        <v>48</v>
      </c>
    </row>
    <row r="176" spans="1:20" x14ac:dyDescent="0.3">
      <c r="A176" s="2" t="s">
        <v>22</v>
      </c>
      <c r="B176" s="3" t="s">
        <v>25</v>
      </c>
      <c r="C176" s="3" t="s">
        <v>25</v>
      </c>
      <c r="D176" s="3" t="s">
        <v>25</v>
      </c>
      <c r="E176" s="3" t="s">
        <v>25</v>
      </c>
      <c r="F176" s="3" t="s">
        <v>25</v>
      </c>
      <c r="H176" s="2" t="s">
        <v>22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O176" s="2" t="s">
        <v>22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 x14ac:dyDescent="0.3">
      <c r="A177" s="7" t="s">
        <v>26</v>
      </c>
      <c r="B177" s="8">
        <v>45</v>
      </c>
      <c r="C177" s="8">
        <v>12</v>
      </c>
      <c r="D177" s="8">
        <v>0</v>
      </c>
      <c r="E177" s="8">
        <v>8</v>
      </c>
      <c r="F177" s="8">
        <v>25</v>
      </c>
      <c r="H177" s="7" t="s">
        <v>26</v>
      </c>
      <c r="I177" s="8">
        <v>214</v>
      </c>
      <c r="J177" s="8">
        <v>51</v>
      </c>
      <c r="K177" s="8">
        <v>0</v>
      </c>
      <c r="L177" s="8">
        <v>124</v>
      </c>
      <c r="M177" s="8">
        <v>39</v>
      </c>
      <c r="O177" s="7" t="s">
        <v>26</v>
      </c>
      <c r="P177" s="8">
        <v>22</v>
      </c>
      <c r="Q177" s="8">
        <v>9</v>
      </c>
      <c r="R177" s="8">
        <v>0</v>
      </c>
      <c r="S177" s="8">
        <v>13</v>
      </c>
      <c r="T177" s="8">
        <v>0</v>
      </c>
    </row>
    <row r="178" spans="1:20" x14ac:dyDescent="0.3">
      <c r="A178" s="9" t="s">
        <v>27</v>
      </c>
      <c r="B178" s="10">
        <v>3</v>
      </c>
      <c r="C178" s="10">
        <v>1</v>
      </c>
      <c r="D178" s="10">
        <v>0</v>
      </c>
      <c r="E178" s="10">
        <v>0</v>
      </c>
      <c r="F178" s="10">
        <v>2</v>
      </c>
      <c r="H178" s="9" t="s">
        <v>27</v>
      </c>
      <c r="I178" s="10">
        <v>9</v>
      </c>
      <c r="J178" s="10">
        <v>4</v>
      </c>
      <c r="K178" s="10">
        <v>0</v>
      </c>
      <c r="L178" s="10">
        <v>4</v>
      </c>
      <c r="M178" s="10">
        <v>1</v>
      </c>
      <c r="O178" s="9" t="s">
        <v>27</v>
      </c>
      <c r="P178" s="10">
        <v>11</v>
      </c>
      <c r="Q178" s="10">
        <v>0</v>
      </c>
      <c r="R178" s="10">
        <v>0</v>
      </c>
      <c r="S178" s="10">
        <v>11</v>
      </c>
      <c r="T178" s="10">
        <v>0</v>
      </c>
    </row>
    <row r="179" spans="1:20" x14ac:dyDescent="0.3">
      <c r="A179" s="9" t="s">
        <v>28</v>
      </c>
      <c r="B179" s="10">
        <v>3</v>
      </c>
      <c r="C179" s="10">
        <v>0</v>
      </c>
      <c r="D179" s="10">
        <v>0</v>
      </c>
      <c r="E179" s="10">
        <v>2</v>
      </c>
      <c r="F179" s="10">
        <v>1</v>
      </c>
      <c r="H179" s="9" t="s">
        <v>28</v>
      </c>
      <c r="I179" s="10">
        <v>13</v>
      </c>
      <c r="J179" s="10">
        <v>8</v>
      </c>
      <c r="K179" s="10">
        <v>0</v>
      </c>
      <c r="L179" s="10">
        <v>2</v>
      </c>
      <c r="M179" s="10">
        <v>3</v>
      </c>
      <c r="O179" s="9" t="s">
        <v>28</v>
      </c>
      <c r="P179" s="10">
        <v>2</v>
      </c>
      <c r="Q179" s="10">
        <v>2</v>
      </c>
      <c r="R179" s="10">
        <v>0</v>
      </c>
      <c r="S179" s="10">
        <v>0</v>
      </c>
      <c r="T179" s="10">
        <v>0</v>
      </c>
    </row>
    <row r="180" spans="1:20" x14ac:dyDescent="0.3">
      <c r="A180" s="9" t="s">
        <v>29</v>
      </c>
      <c r="B180" s="10">
        <v>30</v>
      </c>
      <c r="C180" s="10">
        <v>11</v>
      </c>
      <c r="D180" s="10">
        <v>0</v>
      </c>
      <c r="E180" s="10">
        <v>3</v>
      </c>
      <c r="F180" s="10">
        <v>16</v>
      </c>
      <c r="H180" s="9" t="s">
        <v>29</v>
      </c>
      <c r="I180" s="10">
        <v>42</v>
      </c>
      <c r="J180" s="10">
        <v>15</v>
      </c>
      <c r="K180" s="10">
        <v>0</v>
      </c>
      <c r="L180" s="10">
        <v>8</v>
      </c>
      <c r="M180" s="10">
        <v>19</v>
      </c>
      <c r="O180" s="9" t="s">
        <v>29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3">
      <c r="A181" s="9" t="s">
        <v>30</v>
      </c>
      <c r="B181" s="10">
        <v>9</v>
      </c>
      <c r="C181" s="10">
        <v>0</v>
      </c>
      <c r="D181" s="10">
        <v>0</v>
      </c>
      <c r="E181" s="10">
        <v>3</v>
      </c>
      <c r="F181" s="10">
        <v>6</v>
      </c>
      <c r="H181" s="9" t="s">
        <v>30</v>
      </c>
      <c r="I181" s="10">
        <v>150</v>
      </c>
      <c r="J181" s="10">
        <v>24</v>
      </c>
      <c r="K181" s="10">
        <v>0</v>
      </c>
      <c r="L181" s="10">
        <v>110</v>
      </c>
      <c r="M181" s="10">
        <v>16</v>
      </c>
      <c r="O181" s="9" t="s">
        <v>30</v>
      </c>
      <c r="P181" s="10">
        <v>9</v>
      </c>
      <c r="Q181" s="10">
        <v>7</v>
      </c>
      <c r="R181" s="10">
        <v>0</v>
      </c>
      <c r="S181" s="10">
        <v>2</v>
      </c>
      <c r="T181" s="10">
        <v>0</v>
      </c>
    </row>
    <row r="182" spans="1:20" x14ac:dyDescent="0.3">
      <c r="A182" s="9" t="s">
        <v>31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H182" s="9" t="s">
        <v>31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O182" s="9" t="s">
        <v>31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</row>
    <row r="183" spans="1:20" x14ac:dyDescent="0.3">
      <c r="A183" s="11" t="s">
        <v>32</v>
      </c>
      <c r="B183" s="12">
        <v>2</v>
      </c>
      <c r="C183" s="12">
        <v>0</v>
      </c>
      <c r="D183" s="12">
        <v>0</v>
      </c>
      <c r="E183" s="12">
        <v>0</v>
      </c>
      <c r="F183" s="12">
        <v>2</v>
      </c>
      <c r="H183" s="11" t="s">
        <v>32</v>
      </c>
      <c r="I183" s="12">
        <v>10</v>
      </c>
      <c r="J183" s="12">
        <v>2</v>
      </c>
      <c r="K183" s="12">
        <v>0</v>
      </c>
      <c r="L183" s="12">
        <v>5</v>
      </c>
      <c r="M183" s="12">
        <v>3</v>
      </c>
      <c r="O183" s="11" t="s">
        <v>32</v>
      </c>
      <c r="P183" s="12">
        <v>42</v>
      </c>
      <c r="Q183" s="12">
        <v>5</v>
      </c>
      <c r="R183" s="12">
        <v>0</v>
      </c>
      <c r="S183" s="12">
        <v>1</v>
      </c>
      <c r="T183" s="12">
        <v>36</v>
      </c>
    </row>
    <row r="184" spans="1:20" x14ac:dyDescent="0.3">
      <c r="A184" s="13" t="s">
        <v>33</v>
      </c>
      <c r="B184" s="14">
        <v>0</v>
      </c>
      <c r="C184" s="14">
        <v>0</v>
      </c>
      <c r="D184" s="14">
        <v>0</v>
      </c>
      <c r="E184" s="14">
        <v>0</v>
      </c>
      <c r="F184" s="14">
        <v>0</v>
      </c>
      <c r="H184" s="13" t="s">
        <v>33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O184" s="13" t="s">
        <v>33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</row>
    <row r="185" spans="1:20" x14ac:dyDescent="0.3">
      <c r="A185" s="13" t="s">
        <v>34</v>
      </c>
      <c r="B185" s="14">
        <v>2</v>
      </c>
      <c r="C185" s="14">
        <v>0</v>
      </c>
      <c r="D185" s="14">
        <v>0</v>
      </c>
      <c r="E185" s="14">
        <v>0</v>
      </c>
      <c r="F185" s="14">
        <v>2</v>
      </c>
      <c r="H185" s="13" t="s">
        <v>34</v>
      </c>
      <c r="I185" s="14">
        <v>10</v>
      </c>
      <c r="J185" s="14">
        <v>2</v>
      </c>
      <c r="K185" s="14">
        <v>0</v>
      </c>
      <c r="L185" s="14">
        <v>5</v>
      </c>
      <c r="M185" s="14">
        <v>3</v>
      </c>
      <c r="O185" s="13" t="s">
        <v>34</v>
      </c>
      <c r="P185" s="14">
        <v>42</v>
      </c>
      <c r="Q185" s="14">
        <v>5</v>
      </c>
      <c r="R185" s="14">
        <v>0</v>
      </c>
      <c r="S185" s="14">
        <v>1</v>
      </c>
      <c r="T185" s="14">
        <v>36</v>
      </c>
    </row>
    <row r="186" spans="1:20" x14ac:dyDescent="0.3">
      <c r="A186" s="15" t="s">
        <v>35</v>
      </c>
      <c r="B186" s="16">
        <v>0</v>
      </c>
      <c r="C186" s="16">
        <v>0</v>
      </c>
      <c r="D186" s="16">
        <v>0</v>
      </c>
      <c r="E186" s="16">
        <v>0</v>
      </c>
      <c r="F186" s="16">
        <v>0</v>
      </c>
      <c r="H186" s="15" t="s">
        <v>35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O186" s="15" t="s">
        <v>35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</row>
    <row r="187" spans="1:20" x14ac:dyDescent="0.3">
      <c r="A187" s="17" t="s">
        <v>36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H187" s="17" t="s">
        <v>36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O187" s="17" t="s">
        <v>36</v>
      </c>
      <c r="P187" s="112">
        <v>0</v>
      </c>
      <c r="Q187" s="112">
        <v>0</v>
      </c>
      <c r="R187" s="112">
        <v>0</v>
      </c>
      <c r="S187" s="112">
        <v>0</v>
      </c>
      <c r="T187" s="112">
        <v>0</v>
      </c>
    </row>
    <row r="188" spans="1:20" x14ac:dyDescent="0.3">
      <c r="A188" s="17" t="s">
        <v>37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H188" s="17" t="s">
        <v>37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O188" s="17" t="s">
        <v>37</v>
      </c>
      <c r="P188" s="112">
        <v>0</v>
      </c>
      <c r="Q188" s="112">
        <v>0</v>
      </c>
      <c r="R188" s="112">
        <v>0</v>
      </c>
      <c r="S188" s="112">
        <v>0</v>
      </c>
      <c r="T188" s="112">
        <v>0</v>
      </c>
    </row>
    <row r="189" spans="1:20" x14ac:dyDescent="0.3">
      <c r="A189" s="17" t="s">
        <v>38</v>
      </c>
      <c r="B189" s="172" t="s">
        <v>208</v>
      </c>
      <c r="C189" s="173"/>
      <c r="D189" s="173"/>
      <c r="E189" s="173"/>
      <c r="F189" s="173"/>
      <c r="H189" s="17" t="s">
        <v>38</v>
      </c>
      <c r="I189" s="172" t="s">
        <v>208</v>
      </c>
      <c r="J189" s="173"/>
      <c r="K189" s="173"/>
      <c r="L189" s="173"/>
      <c r="M189" s="173"/>
      <c r="O189" s="17" t="s">
        <v>38</v>
      </c>
      <c r="P189" s="172" t="s">
        <v>1885</v>
      </c>
      <c r="Q189" s="173"/>
      <c r="R189" s="173"/>
      <c r="S189" s="173"/>
      <c r="T189" s="173"/>
    </row>
    <row r="190" spans="1:20" ht="19.8" x14ac:dyDescent="0.3">
      <c r="A190" s="171">
        <v>46093</v>
      </c>
      <c r="B190" s="171"/>
      <c r="C190" s="171"/>
      <c r="D190" s="171"/>
      <c r="E190" s="171"/>
      <c r="F190" s="171"/>
      <c r="H190" s="177">
        <v>46123</v>
      </c>
      <c r="I190" s="177"/>
      <c r="J190" s="177"/>
      <c r="K190" s="177"/>
      <c r="L190" s="177"/>
      <c r="M190" s="177"/>
      <c r="O190" s="171">
        <v>46155</v>
      </c>
      <c r="P190" s="174"/>
      <c r="Q190" s="174"/>
      <c r="R190" s="174"/>
      <c r="S190" s="174"/>
      <c r="T190" s="174"/>
    </row>
    <row r="191" spans="1:20" x14ac:dyDescent="0.3">
      <c r="A191" s="1" t="s">
        <v>0</v>
      </c>
      <c r="B191" s="1" t="s">
        <v>1</v>
      </c>
      <c r="C191" s="1" t="s">
        <v>2</v>
      </c>
      <c r="D191" s="1" t="s">
        <v>760</v>
      </c>
      <c r="E191" s="1" t="s">
        <v>40</v>
      </c>
      <c r="F191" s="1" t="s">
        <v>4</v>
      </c>
      <c r="H191" s="1" t="s">
        <v>0</v>
      </c>
      <c r="I191" s="1" t="s">
        <v>1</v>
      </c>
      <c r="J191" s="1" t="s">
        <v>642</v>
      </c>
      <c r="K191" s="1" t="s">
        <v>760</v>
      </c>
      <c r="L191" s="1" t="s">
        <v>40</v>
      </c>
      <c r="M191" s="1" t="s">
        <v>871</v>
      </c>
      <c r="O191" s="1" t="s">
        <v>0</v>
      </c>
      <c r="P191" s="1" t="s">
        <v>1</v>
      </c>
      <c r="Q191" s="1" t="s">
        <v>2</v>
      </c>
      <c r="R191" s="1" t="s">
        <v>760</v>
      </c>
      <c r="S191" s="1" t="s">
        <v>40</v>
      </c>
      <c r="T191" s="1" t="s">
        <v>4</v>
      </c>
    </row>
    <row r="192" spans="1:20" x14ac:dyDescent="0.3">
      <c r="A192" s="2" t="s">
        <v>5</v>
      </c>
      <c r="B192" s="3">
        <v>2761</v>
      </c>
      <c r="C192" s="3">
        <v>1029</v>
      </c>
      <c r="D192" s="3">
        <v>0</v>
      </c>
      <c r="E192" s="3">
        <v>904</v>
      </c>
      <c r="F192" s="3">
        <v>828</v>
      </c>
      <c r="H192" s="2" t="s">
        <v>5</v>
      </c>
      <c r="I192" s="3">
        <v>811</v>
      </c>
      <c r="J192" s="3">
        <v>0</v>
      </c>
      <c r="K192" s="3">
        <v>0</v>
      </c>
      <c r="L192" s="3">
        <v>811</v>
      </c>
      <c r="M192" s="3">
        <v>0</v>
      </c>
      <c r="O192" s="2" t="s">
        <v>5</v>
      </c>
      <c r="P192" s="3">
        <v>740</v>
      </c>
      <c r="Q192" s="3">
        <v>316</v>
      </c>
      <c r="R192" s="3">
        <v>0</v>
      </c>
      <c r="S192" s="3">
        <v>219</v>
      </c>
      <c r="T192" s="3">
        <v>205</v>
      </c>
    </row>
    <row r="193" spans="1:20" x14ac:dyDescent="0.3">
      <c r="A193" s="2" t="s">
        <v>6</v>
      </c>
      <c r="B193" s="3">
        <v>122</v>
      </c>
      <c r="C193" s="6">
        <v>41</v>
      </c>
      <c r="D193" s="3">
        <v>0</v>
      </c>
      <c r="E193" s="4">
        <v>24</v>
      </c>
      <c r="F193" s="5">
        <v>57</v>
      </c>
      <c r="H193" s="2" t="s">
        <v>6</v>
      </c>
      <c r="I193" s="3">
        <v>78</v>
      </c>
      <c r="J193" s="3">
        <v>0</v>
      </c>
      <c r="K193" s="3">
        <v>0</v>
      </c>
      <c r="L193" s="5">
        <v>78</v>
      </c>
      <c r="M193" s="3">
        <v>0</v>
      </c>
      <c r="O193" s="2" t="s">
        <v>6</v>
      </c>
      <c r="P193" s="3">
        <v>42</v>
      </c>
      <c r="Q193" s="5">
        <v>30</v>
      </c>
      <c r="R193" s="3">
        <v>0</v>
      </c>
      <c r="S193" s="6">
        <v>6</v>
      </c>
      <c r="T193" s="6">
        <v>6</v>
      </c>
    </row>
    <row r="194" spans="1:20" x14ac:dyDescent="0.3">
      <c r="A194" s="2" t="s">
        <v>7</v>
      </c>
      <c r="B194" s="3" t="s">
        <v>486</v>
      </c>
      <c r="C194" s="6" t="s">
        <v>487</v>
      </c>
      <c r="D194" s="3">
        <v>0</v>
      </c>
      <c r="E194" s="4" t="s">
        <v>441</v>
      </c>
      <c r="F194" s="5" t="s">
        <v>488</v>
      </c>
      <c r="H194" s="2" t="s">
        <v>7</v>
      </c>
      <c r="I194" s="3" t="s">
        <v>381</v>
      </c>
      <c r="J194" s="3">
        <v>0</v>
      </c>
      <c r="K194" s="3">
        <v>0</v>
      </c>
      <c r="L194" s="5" t="s">
        <v>381</v>
      </c>
      <c r="M194" s="3">
        <v>0</v>
      </c>
      <c r="O194" s="2" t="s">
        <v>7</v>
      </c>
      <c r="P194" s="3" t="s">
        <v>1458</v>
      </c>
      <c r="Q194" s="5" t="s">
        <v>664</v>
      </c>
      <c r="R194" s="3">
        <v>0</v>
      </c>
      <c r="S194" s="4" t="s">
        <v>532</v>
      </c>
      <c r="T194" s="6" t="s">
        <v>345</v>
      </c>
    </row>
    <row r="195" spans="1:20" x14ac:dyDescent="0.3">
      <c r="A195" s="2" t="s">
        <v>12</v>
      </c>
      <c r="B195" s="3" t="s">
        <v>489</v>
      </c>
      <c r="C195" s="6" t="s">
        <v>490</v>
      </c>
      <c r="D195" s="3">
        <v>0</v>
      </c>
      <c r="E195" s="4" t="s">
        <v>441</v>
      </c>
      <c r="F195" s="5" t="s">
        <v>488</v>
      </c>
      <c r="H195" s="2" t="s">
        <v>12</v>
      </c>
      <c r="I195" s="3" t="s">
        <v>381</v>
      </c>
      <c r="J195" s="3">
        <v>0</v>
      </c>
      <c r="K195" s="3">
        <v>0</v>
      </c>
      <c r="L195" s="5" t="s">
        <v>381</v>
      </c>
      <c r="M195" s="3">
        <v>0</v>
      </c>
      <c r="O195" s="2" t="s">
        <v>12</v>
      </c>
      <c r="P195" s="3" t="s">
        <v>1266</v>
      </c>
      <c r="Q195" s="5" t="s">
        <v>1541</v>
      </c>
      <c r="R195" s="3">
        <v>0</v>
      </c>
      <c r="S195" s="6" t="s">
        <v>450</v>
      </c>
      <c r="T195" s="4" t="s">
        <v>1451</v>
      </c>
    </row>
    <row r="196" spans="1:20" x14ac:dyDescent="0.3">
      <c r="A196" s="2" t="s">
        <v>17</v>
      </c>
      <c r="B196" s="3" t="s">
        <v>491</v>
      </c>
      <c r="C196" s="5" t="s">
        <v>492</v>
      </c>
      <c r="D196" s="3" t="s">
        <v>25</v>
      </c>
      <c r="E196" s="4" t="s">
        <v>122</v>
      </c>
      <c r="F196" s="6" t="s">
        <v>347</v>
      </c>
      <c r="H196" s="2" t="s">
        <v>17</v>
      </c>
      <c r="I196" s="3" t="s">
        <v>87</v>
      </c>
      <c r="J196" s="3" t="s">
        <v>25</v>
      </c>
      <c r="K196" s="3" t="s">
        <v>25</v>
      </c>
      <c r="L196" s="5" t="s">
        <v>87</v>
      </c>
      <c r="M196" s="3" t="s">
        <v>25</v>
      </c>
      <c r="O196" s="2" t="s">
        <v>17</v>
      </c>
      <c r="P196" s="3" t="s">
        <v>64</v>
      </c>
      <c r="Q196" s="4" t="s">
        <v>146</v>
      </c>
      <c r="R196" s="3" t="s">
        <v>25</v>
      </c>
      <c r="S196" s="6" t="s">
        <v>887</v>
      </c>
      <c r="T196" s="5" t="s">
        <v>1451</v>
      </c>
    </row>
    <row r="197" spans="1:20" x14ac:dyDescent="0.3">
      <c r="A197" s="2" t="s">
        <v>22</v>
      </c>
      <c r="B197" s="3" t="s">
        <v>25</v>
      </c>
      <c r="C197" s="3" t="s">
        <v>25</v>
      </c>
      <c r="D197" s="3" t="s">
        <v>25</v>
      </c>
      <c r="E197" s="3" t="s">
        <v>25</v>
      </c>
      <c r="F197" s="3" t="s">
        <v>25</v>
      </c>
      <c r="H197" s="2" t="s">
        <v>22</v>
      </c>
      <c r="I197" s="3" t="s">
        <v>25</v>
      </c>
      <c r="J197" s="3" t="s">
        <v>25</v>
      </c>
      <c r="K197" s="3" t="s">
        <v>25</v>
      </c>
      <c r="L197" s="3" t="s">
        <v>25</v>
      </c>
      <c r="M197" s="3" t="s">
        <v>25</v>
      </c>
      <c r="O197" s="2" t="s">
        <v>22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 x14ac:dyDescent="0.3">
      <c r="A198" s="7" t="s">
        <v>26</v>
      </c>
      <c r="B198" s="8">
        <v>115</v>
      </c>
      <c r="C198" s="8">
        <v>34</v>
      </c>
      <c r="D198" s="8">
        <v>0</v>
      </c>
      <c r="E198" s="8">
        <v>24</v>
      </c>
      <c r="F198" s="8">
        <v>57</v>
      </c>
      <c r="H198" s="7" t="s">
        <v>26</v>
      </c>
      <c r="I198" s="8">
        <v>78</v>
      </c>
      <c r="J198" s="8">
        <v>0</v>
      </c>
      <c r="K198" s="8">
        <v>0</v>
      </c>
      <c r="L198" s="8">
        <v>78</v>
      </c>
      <c r="M198" s="8">
        <v>0</v>
      </c>
      <c r="O198" s="7" t="s">
        <v>26</v>
      </c>
      <c r="P198" s="8">
        <v>36</v>
      </c>
      <c r="Q198" s="8">
        <v>29</v>
      </c>
      <c r="R198" s="8">
        <v>0</v>
      </c>
      <c r="S198" s="8">
        <v>4</v>
      </c>
      <c r="T198" s="8">
        <v>3</v>
      </c>
    </row>
    <row r="199" spans="1:20" x14ac:dyDescent="0.3">
      <c r="A199" s="9" t="s">
        <v>27</v>
      </c>
      <c r="B199" s="10">
        <v>15</v>
      </c>
      <c r="C199" s="10">
        <v>11</v>
      </c>
      <c r="D199" s="10">
        <v>0</v>
      </c>
      <c r="E199" s="10">
        <v>0</v>
      </c>
      <c r="F199" s="10">
        <v>4</v>
      </c>
      <c r="H199" s="9" t="s">
        <v>27</v>
      </c>
      <c r="I199" s="10">
        <v>9</v>
      </c>
      <c r="J199" s="10">
        <v>0</v>
      </c>
      <c r="K199" s="10">
        <v>0</v>
      </c>
      <c r="L199" s="10">
        <v>9</v>
      </c>
      <c r="M199" s="10">
        <v>0</v>
      </c>
      <c r="O199" s="9" t="s">
        <v>27</v>
      </c>
      <c r="P199" s="10">
        <v>12</v>
      </c>
      <c r="Q199" s="10">
        <v>7</v>
      </c>
      <c r="R199" s="10">
        <v>0</v>
      </c>
      <c r="S199" s="10">
        <v>2</v>
      </c>
      <c r="T199" s="10">
        <v>3</v>
      </c>
    </row>
    <row r="200" spans="1:20" x14ac:dyDescent="0.3">
      <c r="A200" s="9" t="s">
        <v>28</v>
      </c>
      <c r="B200" s="10">
        <v>4</v>
      </c>
      <c r="C200" s="10">
        <v>0</v>
      </c>
      <c r="D200" s="10">
        <v>0</v>
      </c>
      <c r="E200" s="10">
        <v>2</v>
      </c>
      <c r="F200" s="10">
        <v>2</v>
      </c>
      <c r="H200" s="9" t="s">
        <v>28</v>
      </c>
      <c r="I200" s="10">
        <v>6</v>
      </c>
      <c r="J200" s="10">
        <v>0</v>
      </c>
      <c r="K200" s="10">
        <v>0</v>
      </c>
      <c r="L200" s="10">
        <v>6</v>
      </c>
      <c r="M200" s="10">
        <v>0</v>
      </c>
      <c r="O200" s="9" t="s">
        <v>28</v>
      </c>
      <c r="P200" s="10">
        <v>3</v>
      </c>
      <c r="Q200" s="10">
        <v>3</v>
      </c>
      <c r="R200" s="10">
        <v>0</v>
      </c>
      <c r="S200" s="10">
        <v>0</v>
      </c>
      <c r="T200" s="10">
        <v>0</v>
      </c>
    </row>
    <row r="201" spans="1:20" x14ac:dyDescent="0.3">
      <c r="A201" s="9" t="s">
        <v>29</v>
      </c>
      <c r="B201" s="10">
        <v>56</v>
      </c>
      <c r="C201" s="10">
        <v>15</v>
      </c>
      <c r="D201" s="10">
        <v>0</v>
      </c>
      <c r="E201" s="10">
        <v>9</v>
      </c>
      <c r="F201" s="10">
        <v>32</v>
      </c>
      <c r="H201" s="9" t="s">
        <v>29</v>
      </c>
      <c r="I201" s="10">
        <v>2</v>
      </c>
      <c r="J201" s="10">
        <v>0</v>
      </c>
      <c r="K201" s="10">
        <v>0</v>
      </c>
      <c r="L201" s="10">
        <v>2</v>
      </c>
      <c r="M201" s="10">
        <v>0</v>
      </c>
      <c r="O201" s="9" t="s">
        <v>29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3">
      <c r="A202" s="9" t="s">
        <v>30</v>
      </c>
      <c r="B202" s="10">
        <v>40</v>
      </c>
      <c r="C202" s="10">
        <v>8</v>
      </c>
      <c r="D202" s="10">
        <v>0</v>
      </c>
      <c r="E202" s="10">
        <v>13</v>
      </c>
      <c r="F202" s="10">
        <v>19</v>
      </c>
      <c r="H202" s="9" t="s">
        <v>30</v>
      </c>
      <c r="I202" s="10">
        <v>61</v>
      </c>
      <c r="J202" s="10">
        <v>0</v>
      </c>
      <c r="K202" s="10">
        <v>0</v>
      </c>
      <c r="L202" s="10">
        <v>61</v>
      </c>
      <c r="M202" s="10">
        <v>0</v>
      </c>
      <c r="O202" s="9" t="s">
        <v>30</v>
      </c>
      <c r="P202" s="10">
        <v>21</v>
      </c>
      <c r="Q202" s="10">
        <v>19</v>
      </c>
      <c r="R202" s="10">
        <v>0</v>
      </c>
      <c r="S202" s="10">
        <v>2</v>
      </c>
      <c r="T202" s="10">
        <v>0</v>
      </c>
    </row>
    <row r="203" spans="1:20" x14ac:dyDescent="0.3">
      <c r="A203" s="9" t="s">
        <v>31</v>
      </c>
      <c r="B203" s="10">
        <v>0</v>
      </c>
      <c r="C203" s="10">
        <v>0</v>
      </c>
      <c r="D203" s="10">
        <v>0</v>
      </c>
      <c r="E203" s="10">
        <v>0</v>
      </c>
      <c r="F203" s="10">
        <v>0</v>
      </c>
      <c r="H203" s="9" t="s">
        <v>31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O203" s="9" t="s">
        <v>31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3">
      <c r="A204" s="11" t="s">
        <v>32</v>
      </c>
      <c r="B204" s="12">
        <v>11</v>
      </c>
      <c r="C204" s="12">
        <v>7</v>
      </c>
      <c r="D204" s="12">
        <v>0</v>
      </c>
      <c r="E204" s="12">
        <v>2</v>
      </c>
      <c r="F204" s="12">
        <v>2</v>
      </c>
      <c r="H204" s="11" t="s">
        <v>32</v>
      </c>
      <c r="I204" s="12">
        <v>5</v>
      </c>
      <c r="J204" s="12">
        <v>0</v>
      </c>
      <c r="K204" s="12">
        <v>0</v>
      </c>
      <c r="L204" s="12">
        <v>5</v>
      </c>
      <c r="M204" s="12">
        <v>0</v>
      </c>
      <c r="O204" s="11" t="s">
        <v>32</v>
      </c>
      <c r="P204" s="12">
        <v>6</v>
      </c>
      <c r="Q204" s="12">
        <v>1</v>
      </c>
      <c r="R204" s="12">
        <v>0</v>
      </c>
      <c r="S204" s="12">
        <v>2</v>
      </c>
      <c r="T204" s="12">
        <v>3</v>
      </c>
    </row>
    <row r="205" spans="1:20" x14ac:dyDescent="0.3">
      <c r="A205" s="13" t="s">
        <v>33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H205" s="13" t="s">
        <v>33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O205" s="13" t="s">
        <v>33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x14ac:dyDescent="0.3">
      <c r="A206" s="13" t="s">
        <v>34</v>
      </c>
      <c r="B206" s="14">
        <v>11</v>
      </c>
      <c r="C206" s="14">
        <v>7</v>
      </c>
      <c r="D206" s="14">
        <v>0</v>
      </c>
      <c r="E206" s="14">
        <v>2</v>
      </c>
      <c r="F206" s="14">
        <v>2</v>
      </c>
      <c r="H206" s="13" t="s">
        <v>34</v>
      </c>
      <c r="I206" s="14">
        <v>5</v>
      </c>
      <c r="J206" s="14">
        <v>0</v>
      </c>
      <c r="K206" s="14">
        <v>0</v>
      </c>
      <c r="L206" s="14">
        <v>5</v>
      </c>
      <c r="M206" s="14">
        <v>0</v>
      </c>
      <c r="O206" s="13" t="s">
        <v>34</v>
      </c>
      <c r="P206" s="14">
        <v>6</v>
      </c>
      <c r="Q206" s="14">
        <v>1</v>
      </c>
      <c r="R206" s="14">
        <v>0</v>
      </c>
      <c r="S206" s="14">
        <v>2</v>
      </c>
      <c r="T206" s="14">
        <v>3</v>
      </c>
    </row>
    <row r="207" spans="1:20" x14ac:dyDescent="0.3">
      <c r="A207" s="15" t="s">
        <v>35</v>
      </c>
      <c r="B207" s="16">
        <v>0</v>
      </c>
      <c r="C207" s="16">
        <v>0</v>
      </c>
      <c r="D207" s="16">
        <v>0</v>
      </c>
      <c r="E207" s="16">
        <v>0</v>
      </c>
      <c r="F207" s="16">
        <v>0</v>
      </c>
      <c r="H207" s="15" t="s">
        <v>35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O207" s="15" t="s">
        <v>35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</row>
    <row r="208" spans="1:20" x14ac:dyDescent="0.3">
      <c r="A208" s="17" t="s">
        <v>36</v>
      </c>
      <c r="B208" s="18">
        <v>0</v>
      </c>
      <c r="C208" s="18">
        <v>0</v>
      </c>
      <c r="D208" s="18">
        <v>0</v>
      </c>
      <c r="E208" s="18">
        <v>0</v>
      </c>
      <c r="F208" s="18">
        <v>0</v>
      </c>
      <c r="H208" s="17" t="s">
        <v>36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O208" s="17" t="s">
        <v>36</v>
      </c>
      <c r="P208" s="112">
        <v>0</v>
      </c>
      <c r="Q208" s="112">
        <v>0</v>
      </c>
      <c r="R208" s="112">
        <v>0</v>
      </c>
      <c r="S208" s="112">
        <v>0</v>
      </c>
      <c r="T208" s="112">
        <v>0</v>
      </c>
    </row>
    <row r="209" spans="1:20" x14ac:dyDescent="0.3">
      <c r="A209" s="17" t="s">
        <v>37</v>
      </c>
      <c r="B209" s="18">
        <v>0</v>
      </c>
      <c r="C209" s="18">
        <v>0</v>
      </c>
      <c r="D209" s="18">
        <v>0</v>
      </c>
      <c r="E209" s="18">
        <v>0</v>
      </c>
      <c r="F209" s="18">
        <v>0</v>
      </c>
      <c r="H209" s="17" t="s">
        <v>37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O209" s="17" t="s">
        <v>37</v>
      </c>
      <c r="P209" s="112">
        <v>0</v>
      </c>
      <c r="Q209" s="112">
        <v>0</v>
      </c>
      <c r="R209" s="112">
        <v>0</v>
      </c>
      <c r="S209" s="112">
        <v>0</v>
      </c>
      <c r="T209" s="112">
        <v>0</v>
      </c>
    </row>
    <row r="210" spans="1:20" x14ac:dyDescent="0.3">
      <c r="A210" s="17" t="s">
        <v>38</v>
      </c>
      <c r="B210" s="172" t="s">
        <v>208</v>
      </c>
      <c r="C210" s="173"/>
      <c r="D210" s="173"/>
      <c r="E210" s="173"/>
      <c r="F210" s="173"/>
      <c r="H210" s="17" t="s">
        <v>38</v>
      </c>
      <c r="I210" s="172" t="s">
        <v>1413</v>
      </c>
      <c r="J210" s="173"/>
      <c r="K210" s="173"/>
      <c r="L210" s="173"/>
      <c r="M210" s="173"/>
      <c r="O210" s="17" t="s">
        <v>38</v>
      </c>
      <c r="P210" s="172" t="s">
        <v>1897</v>
      </c>
      <c r="Q210" s="173"/>
      <c r="R210" s="173"/>
      <c r="S210" s="173"/>
      <c r="T210" s="173"/>
    </row>
    <row r="211" spans="1:20" ht="19.8" x14ac:dyDescent="0.3">
      <c r="A211" s="171">
        <v>46094</v>
      </c>
      <c r="B211" s="171"/>
      <c r="C211" s="171"/>
      <c r="D211" s="171"/>
      <c r="E211" s="171"/>
      <c r="F211" s="171"/>
      <c r="H211" s="171">
        <v>46125</v>
      </c>
      <c r="I211" s="174"/>
      <c r="J211" s="174"/>
      <c r="K211" s="174"/>
      <c r="L211" s="174"/>
      <c r="M211" s="174"/>
      <c r="O211" s="171">
        <v>46156</v>
      </c>
      <c r="P211" s="171"/>
      <c r="Q211" s="171"/>
      <c r="R211" s="171"/>
      <c r="S211" s="171"/>
      <c r="T211" s="171"/>
    </row>
    <row r="212" spans="1:20" x14ac:dyDescent="0.3">
      <c r="A212" s="1" t="s">
        <v>0</v>
      </c>
      <c r="B212" s="1" t="s">
        <v>1</v>
      </c>
      <c r="C212" s="1" t="s">
        <v>2</v>
      </c>
      <c r="D212" s="1" t="s">
        <v>760</v>
      </c>
      <c r="E212" s="1" t="s">
        <v>40</v>
      </c>
      <c r="F212" s="1" t="s">
        <v>4</v>
      </c>
      <c r="H212" s="1" t="s">
        <v>0</v>
      </c>
      <c r="I212" s="1" t="s">
        <v>1</v>
      </c>
      <c r="J212" s="1" t="s">
        <v>2</v>
      </c>
      <c r="K212" s="1" t="s">
        <v>760</v>
      </c>
      <c r="L212" s="1" t="s">
        <v>40</v>
      </c>
      <c r="M212" s="1" t="s">
        <v>4</v>
      </c>
      <c r="O212" s="1" t="s">
        <v>0</v>
      </c>
      <c r="P212" s="1" t="s">
        <v>1</v>
      </c>
      <c r="Q212" s="1" t="s">
        <v>2</v>
      </c>
      <c r="R212" s="1" t="s">
        <v>760</v>
      </c>
      <c r="S212" s="1" t="s">
        <v>40</v>
      </c>
      <c r="T212" s="1" t="s">
        <v>4</v>
      </c>
    </row>
    <row r="213" spans="1:20" x14ac:dyDescent="0.3">
      <c r="A213" s="2" t="s">
        <v>5</v>
      </c>
      <c r="B213" s="3">
        <v>3107</v>
      </c>
      <c r="C213" s="3">
        <v>1155</v>
      </c>
      <c r="D213" s="3">
        <v>0</v>
      </c>
      <c r="E213" s="3">
        <v>1048</v>
      </c>
      <c r="F213" s="3">
        <v>904</v>
      </c>
      <c r="H213" s="2" t="s">
        <v>5</v>
      </c>
      <c r="I213" s="3">
        <v>3739</v>
      </c>
      <c r="J213" s="3">
        <v>1294</v>
      </c>
      <c r="K213" s="3">
        <v>0</v>
      </c>
      <c r="L213" s="3">
        <v>1270</v>
      </c>
      <c r="M213" s="3">
        <v>1175</v>
      </c>
      <c r="O213" s="2" t="s">
        <v>5</v>
      </c>
      <c r="P213" s="3">
        <v>2767</v>
      </c>
      <c r="Q213" s="3">
        <v>1107</v>
      </c>
      <c r="R213" s="3">
        <v>0</v>
      </c>
      <c r="S213" s="3">
        <v>876</v>
      </c>
      <c r="T213" s="3">
        <v>784</v>
      </c>
    </row>
    <row r="214" spans="1:20" x14ac:dyDescent="0.3">
      <c r="A214" s="2" t="s">
        <v>6</v>
      </c>
      <c r="B214" s="3">
        <v>88</v>
      </c>
      <c r="C214" s="6">
        <v>29</v>
      </c>
      <c r="D214" s="3">
        <v>0</v>
      </c>
      <c r="E214" s="4">
        <v>14</v>
      </c>
      <c r="F214" s="5">
        <v>45</v>
      </c>
      <c r="H214" s="2" t="s">
        <v>6</v>
      </c>
      <c r="I214" s="3">
        <v>280</v>
      </c>
      <c r="J214" s="6">
        <v>79</v>
      </c>
      <c r="K214" s="3">
        <v>0</v>
      </c>
      <c r="L214" s="5">
        <v>149</v>
      </c>
      <c r="M214" s="4">
        <v>52</v>
      </c>
      <c r="O214" s="2" t="s">
        <v>6</v>
      </c>
      <c r="P214" s="3">
        <v>71</v>
      </c>
      <c r="Q214" s="5">
        <v>46</v>
      </c>
      <c r="R214" s="3">
        <v>0</v>
      </c>
      <c r="S214" s="6">
        <v>19</v>
      </c>
      <c r="T214" s="4">
        <v>6</v>
      </c>
    </row>
    <row r="215" spans="1:20" x14ac:dyDescent="0.3">
      <c r="A215" s="2" t="s">
        <v>7</v>
      </c>
      <c r="B215" s="3" t="s">
        <v>547</v>
      </c>
      <c r="C215" s="6" t="s">
        <v>548</v>
      </c>
      <c r="D215" s="3">
        <v>0</v>
      </c>
      <c r="E215" s="4" t="s">
        <v>239</v>
      </c>
      <c r="F215" s="5" t="s">
        <v>549</v>
      </c>
      <c r="H215" s="2" t="s">
        <v>7</v>
      </c>
      <c r="I215" s="3" t="s">
        <v>984</v>
      </c>
      <c r="J215" s="6" t="s">
        <v>284</v>
      </c>
      <c r="K215" s="3">
        <v>0</v>
      </c>
      <c r="L215" s="5" t="s">
        <v>616</v>
      </c>
      <c r="M215" s="4" t="s">
        <v>191</v>
      </c>
      <c r="O215" s="2" t="s">
        <v>7</v>
      </c>
      <c r="P215" s="3" t="s">
        <v>1130</v>
      </c>
      <c r="Q215" s="5" t="s">
        <v>961</v>
      </c>
      <c r="R215" s="3">
        <v>0</v>
      </c>
      <c r="S215" s="6" t="s">
        <v>715</v>
      </c>
      <c r="T215" s="4" t="s">
        <v>332</v>
      </c>
    </row>
    <row r="216" spans="1:20" x14ac:dyDescent="0.3">
      <c r="A216" s="2" t="s">
        <v>12</v>
      </c>
      <c r="B216" s="3" t="s">
        <v>550</v>
      </c>
      <c r="C216" s="6" t="s">
        <v>537</v>
      </c>
      <c r="D216" s="3">
        <v>0</v>
      </c>
      <c r="E216" s="4" t="s">
        <v>239</v>
      </c>
      <c r="F216" s="5" t="s">
        <v>549</v>
      </c>
      <c r="H216" s="2" t="s">
        <v>12</v>
      </c>
      <c r="I216" s="3" t="s">
        <v>597</v>
      </c>
      <c r="J216" s="6" t="s">
        <v>693</v>
      </c>
      <c r="K216" s="3">
        <v>0</v>
      </c>
      <c r="L216" s="5" t="s">
        <v>1447</v>
      </c>
      <c r="M216" s="4" t="s">
        <v>191</v>
      </c>
      <c r="O216" s="2" t="s">
        <v>12</v>
      </c>
      <c r="P216" s="3" t="s">
        <v>1130</v>
      </c>
      <c r="Q216" s="5" t="s">
        <v>961</v>
      </c>
      <c r="R216" s="3">
        <v>0</v>
      </c>
      <c r="S216" s="6" t="s">
        <v>715</v>
      </c>
      <c r="T216" s="4" t="s">
        <v>332</v>
      </c>
    </row>
    <row r="217" spans="1:20" x14ac:dyDescent="0.3">
      <c r="A217" s="2" t="s">
        <v>17</v>
      </c>
      <c r="B217" s="3" t="s">
        <v>227</v>
      </c>
      <c r="C217" s="5" t="s">
        <v>551</v>
      </c>
      <c r="D217" s="3" t="s">
        <v>25</v>
      </c>
      <c r="E217" s="4" t="s">
        <v>81</v>
      </c>
      <c r="F217" s="6" t="s">
        <v>49</v>
      </c>
      <c r="H217" s="2" t="s">
        <v>17</v>
      </c>
      <c r="I217" s="3" t="s">
        <v>654</v>
      </c>
      <c r="J217" s="6" t="s">
        <v>87</v>
      </c>
      <c r="K217" s="3" t="s">
        <v>25</v>
      </c>
      <c r="L217" s="5" t="s">
        <v>152</v>
      </c>
      <c r="M217" s="4" t="s">
        <v>101</v>
      </c>
      <c r="O217" s="2" t="s">
        <v>17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 x14ac:dyDescent="0.3">
      <c r="A218" s="2" t="s">
        <v>22</v>
      </c>
      <c r="B218" s="3" t="s">
        <v>552</v>
      </c>
      <c r="C218" s="5" t="s">
        <v>84</v>
      </c>
      <c r="D218" s="3" t="s">
        <v>25</v>
      </c>
      <c r="E218" s="3" t="s">
        <v>25</v>
      </c>
      <c r="F218" s="3" t="s">
        <v>25</v>
      </c>
      <c r="H218" s="2" t="s">
        <v>22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O218" s="2" t="s">
        <v>22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 x14ac:dyDescent="0.3">
      <c r="A219" s="7" t="s">
        <v>26</v>
      </c>
      <c r="B219" s="8">
        <v>81</v>
      </c>
      <c r="C219" s="8">
        <v>22</v>
      </c>
      <c r="D219" s="8">
        <v>0</v>
      </c>
      <c r="E219" s="8">
        <v>14</v>
      </c>
      <c r="F219" s="8">
        <v>45</v>
      </c>
      <c r="H219" s="7" t="s">
        <v>26</v>
      </c>
      <c r="I219" s="8">
        <v>268</v>
      </c>
      <c r="J219" s="8">
        <v>69</v>
      </c>
      <c r="K219" s="8">
        <v>0</v>
      </c>
      <c r="L219" s="8">
        <v>147</v>
      </c>
      <c r="M219" s="8">
        <v>52</v>
      </c>
      <c r="O219" s="7" t="s">
        <v>26</v>
      </c>
      <c r="P219" s="8">
        <v>71</v>
      </c>
      <c r="Q219" s="8">
        <v>46</v>
      </c>
      <c r="R219" s="8">
        <v>0</v>
      </c>
      <c r="S219" s="8">
        <v>19</v>
      </c>
      <c r="T219" s="8">
        <v>6</v>
      </c>
    </row>
    <row r="220" spans="1:20" x14ac:dyDescent="0.3">
      <c r="A220" s="9" t="s">
        <v>27</v>
      </c>
      <c r="B220" s="10">
        <v>13</v>
      </c>
      <c r="C220" s="10">
        <v>7</v>
      </c>
      <c r="D220" s="10">
        <v>0</v>
      </c>
      <c r="E220" s="10">
        <v>1</v>
      </c>
      <c r="F220" s="10">
        <v>5</v>
      </c>
      <c r="H220" s="9" t="s">
        <v>27</v>
      </c>
      <c r="I220" s="10">
        <v>18</v>
      </c>
      <c r="J220" s="10">
        <v>3</v>
      </c>
      <c r="K220" s="10">
        <v>0</v>
      </c>
      <c r="L220" s="10">
        <v>12</v>
      </c>
      <c r="M220" s="10">
        <v>3</v>
      </c>
      <c r="O220" s="9" t="s">
        <v>27</v>
      </c>
      <c r="P220" s="10">
        <v>23</v>
      </c>
      <c r="Q220" s="10">
        <v>9</v>
      </c>
      <c r="R220" s="10">
        <v>0</v>
      </c>
      <c r="S220" s="10">
        <v>8</v>
      </c>
      <c r="T220" s="10">
        <v>6</v>
      </c>
    </row>
    <row r="221" spans="1:20" x14ac:dyDescent="0.3">
      <c r="A221" s="9" t="s">
        <v>28</v>
      </c>
      <c r="B221" s="10">
        <v>1</v>
      </c>
      <c r="C221" s="10">
        <v>0</v>
      </c>
      <c r="D221" s="10">
        <v>0</v>
      </c>
      <c r="E221" s="10">
        <v>1</v>
      </c>
      <c r="F221" s="10">
        <v>0</v>
      </c>
      <c r="H221" s="9" t="s">
        <v>28</v>
      </c>
      <c r="I221" s="10">
        <v>24</v>
      </c>
      <c r="J221" s="10">
        <v>7</v>
      </c>
      <c r="K221" s="10">
        <v>0</v>
      </c>
      <c r="L221" s="10">
        <v>7</v>
      </c>
      <c r="M221" s="10">
        <v>10</v>
      </c>
      <c r="O221" s="9" t="s">
        <v>28</v>
      </c>
      <c r="P221" s="10">
        <v>21</v>
      </c>
      <c r="Q221" s="10">
        <v>14</v>
      </c>
      <c r="R221" s="10">
        <v>0</v>
      </c>
      <c r="S221" s="10">
        <v>7</v>
      </c>
      <c r="T221" s="10">
        <v>0</v>
      </c>
    </row>
    <row r="222" spans="1:20" x14ac:dyDescent="0.3">
      <c r="A222" s="9" t="s">
        <v>29</v>
      </c>
      <c r="B222" s="10">
        <v>49</v>
      </c>
      <c r="C222" s="10">
        <v>10</v>
      </c>
      <c r="D222" s="10">
        <v>0</v>
      </c>
      <c r="E222" s="10">
        <v>11</v>
      </c>
      <c r="F222" s="10">
        <v>28</v>
      </c>
      <c r="H222" s="9" t="s">
        <v>29</v>
      </c>
      <c r="I222" s="10">
        <v>60</v>
      </c>
      <c r="J222" s="10">
        <v>22</v>
      </c>
      <c r="K222" s="10">
        <v>0</v>
      </c>
      <c r="L222" s="10">
        <v>8</v>
      </c>
      <c r="M222" s="10">
        <v>30</v>
      </c>
      <c r="O222" s="9" t="s">
        <v>29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3">
      <c r="A223" s="9" t="s">
        <v>30</v>
      </c>
      <c r="B223" s="10">
        <v>18</v>
      </c>
      <c r="C223" s="10">
        <v>5</v>
      </c>
      <c r="D223" s="10">
        <v>0</v>
      </c>
      <c r="E223" s="10">
        <v>1</v>
      </c>
      <c r="F223" s="10">
        <v>12</v>
      </c>
      <c r="H223" s="9" t="s">
        <v>30</v>
      </c>
      <c r="I223" s="10">
        <v>166</v>
      </c>
      <c r="J223" s="10">
        <v>37</v>
      </c>
      <c r="K223" s="10">
        <v>0</v>
      </c>
      <c r="L223" s="10">
        <v>120</v>
      </c>
      <c r="M223" s="10">
        <v>9</v>
      </c>
      <c r="O223" s="9" t="s">
        <v>30</v>
      </c>
      <c r="P223" s="10">
        <v>27</v>
      </c>
      <c r="Q223" s="10">
        <v>23</v>
      </c>
      <c r="R223" s="10">
        <v>0</v>
      </c>
      <c r="S223" s="10">
        <v>4</v>
      </c>
      <c r="T223" s="10">
        <v>0</v>
      </c>
    </row>
    <row r="224" spans="1:20" x14ac:dyDescent="0.3">
      <c r="A224" s="9" t="s">
        <v>31</v>
      </c>
      <c r="B224" s="10">
        <v>0</v>
      </c>
      <c r="C224" s="10">
        <v>0</v>
      </c>
      <c r="D224" s="10">
        <v>0</v>
      </c>
      <c r="E224" s="10">
        <v>0</v>
      </c>
      <c r="F224" s="10">
        <v>0</v>
      </c>
      <c r="H224" s="9" t="s">
        <v>31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O224" s="9" t="s">
        <v>31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3">
      <c r="A225" s="11" t="s">
        <v>32</v>
      </c>
      <c r="B225" s="12">
        <v>9</v>
      </c>
      <c r="C225" s="12">
        <v>7</v>
      </c>
      <c r="D225" s="12">
        <v>0</v>
      </c>
      <c r="E225" s="12">
        <v>1</v>
      </c>
      <c r="F225" s="12">
        <v>1</v>
      </c>
      <c r="H225" s="11" t="s">
        <v>32</v>
      </c>
      <c r="I225" s="12">
        <v>19</v>
      </c>
      <c r="J225" s="12">
        <v>8</v>
      </c>
      <c r="K225" s="12">
        <v>0</v>
      </c>
      <c r="L225" s="12">
        <v>8</v>
      </c>
      <c r="M225" s="12">
        <v>3</v>
      </c>
      <c r="O225" s="11" t="s">
        <v>32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</row>
    <row r="226" spans="1:20" x14ac:dyDescent="0.3">
      <c r="A226" s="13" t="s">
        <v>33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H226" s="13" t="s">
        <v>33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O226" s="13" t="s">
        <v>33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</row>
    <row r="227" spans="1:20" x14ac:dyDescent="0.3">
      <c r="A227" s="13" t="s">
        <v>34</v>
      </c>
      <c r="B227" s="14">
        <v>9</v>
      </c>
      <c r="C227" s="14">
        <v>7</v>
      </c>
      <c r="D227" s="14">
        <v>0</v>
      </c>
      <c r="E227" s="14">
        <v>1</v>
      </c>
      <c r="F227" s="14">
        <v>1</v>
      </c>
      <c r="H227" s="13" t="s">
        <v>34</v>
      </c>
      <c r="I227" s="14">
        <v>19</v>
      </c>
      <c r="J227" s="14">
        <v>8</v>
      </c>
      <c r="K227" s="14">
        <v>0</v>
      </c>
      <c r="L227" s="14">
        <v>8</v>
      </c>
      <c r="M227" s="14">
        <v>3</v>
      </c>
      <c r="O227" s="13" t="s">
        <v>34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</row>
    <row r="228" spans="1:20" x14ac:dyDescent="0.3">
      <c r="A228" s="15" t="s">
        <v>35</v>
      </c>
      <c r="B228" s="16">
        <v>1</v>
      </c>
      <c r="C228" s="16">
        <v>1</v>
      </c>
      <c r="D228" s="16">
        <v>0</v>
      </c>
      <c r="E228" s="16">
        <v>0</v>
      </c>
      <c r="F228" s="16">
        <v>0</v>
      </c>
      <c r="H228" s="15" t="s">
        <v>35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O228" s="15" t="s">
        <v>35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</row>
    <row r="229" spans="1:20" x14ac:dyDescent="0.3">
      <c r="A229" s="17" t="s">
        <v>36</v>
      </c>
      <c r="B229" s="18">
        <v>0</v>
      </c>
      <c r="C229" s="18">
        <v>0</v>
      </c>
      <c r="D229" s="18">
        <v>0</v>
      </c>
      <c r="E229" s="18">
        <v>0</v>
      </c>
      <c r="F229" s="18">
        <v>0</v>
      </c>
      <c r="H229" s="17" t="s">
        <v>36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O229" s="17" t="s">
        <v>36</v>
      </c>
      <c r="P229" s="130">
        <v>0</v>
      </c>
      <c r="Q229" s="130">
        <v>0</v>
      </c>
      <c r="R229" s="130">
        <v>0</v>
      </c>
      <c r="S229" s="130">
        <v>0</v>
      </c>
      <c r="T229" s="130">
        <v>0</v>
      </c>
    </row>
    <row r="230" spans="1:20" x14ac:dyDescent="0.3">
      <c r="A230" s="17" t="s">
        <v>37</v>
      </c>
      <c r="B230" s="18">
        <v>1</v>
      </c>
      <c r="C230" s="18">
        <v>1</v>
      </c>
      <c r="D230" s="18">
        <v>0</v>
      </c>
      <c r="E230" s="18">
        <v>0</v>
      </c>
      <c r="F230" s="18">
        <v>0</v>
      </c>
      <c r="H230" s="17" t="s">
        <v>37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O230" s="17" t="s">
        <v>37</v>
      </c>
      <c r="P230" s="130">
        <v>0</v>
      </c>
      <c r="Q230" s="130">
        <v>0</v>
      </c>
      <c r="R230" s="130">
        <v>0</v>
      </c>
      <c r="S230" s="130">
        <v>0</v>
      </c>
      <c r="T230" s="130">
        <v>0</v>
      </c>
    </row>
    <row r="231" spans="1:20" x14ac:dyDescent="0.3">
      <c r="A231" s="17" t="s">
        <v>38</v>
      </c>
      <c r="B231" s="172" t="s">
        <v>208</v>
      </c>
      <c r="C231" s="173"/>
      <c r="D231" s="173"/>
      <c r="E231" s="173"/>
      <c r="F231" s="173"/>
      <c r="H231" s="17" t="s">
        <v>38</v>
      </c>
      <c r="I231" s="172" t="s">
        <v>1448</v>
      </c>
      <c r="J231" s="173"/>
      <c r="K231" s="173"/>
      <c r="L231" s="173"/>
      <c r="M231" s="173"/>
      <c r="O231" s="17" t="s">
        <v>38</v>
      </c>
      <c r="P231" s="172" t="s">
        <v>1907</v>
      </c>
      <c r="Q231" s="173"/>
      <c r="R231" s="173"/>
      <c r="S231" s="173"/>
      <c r="T231" s="173"/>
    </row>
    <row r="232" spans="1:20" ht="19.8" x14ac:dyDescent="0.3">
      <c r="A232" s="171">
        <v>46095</v>
      </c>
      <c r="B232" s="171"/>
      <c r="C232" s="171"/>
      <c r="D232" s="171"/>
      <c r="E232" s="171"/>
      <c r="F232" s="171"/>
      <c r="H232" s="171">
        <v>46126</v>
      </c>
      <c r="I232" s="171"/>
      <c r="J232" s="171"/>
      <c r="K232" s="171"/>
      <c r="L232" s="171"/>
      <c r="M232" s="171"/>
      <c r="O232" s="171">
        <v>46157</v>
      </c>
      <c r="P232" s="174"/>
      <c r="Q232" s="174"/>
      <c r="R232" s="174"/>
      <c r="S232" s="174"/>
      <c r="T232" s="174"/>
    </row>
    <row r="233" spans="1:20" x14ac:dyDescent="0.3">
      <c r="A233" s="1" t="s">
        <v>0</v>
      </c>
      <c r="B233" s="1" t="s">
        <v>1</v>
      </c>
      <c r="C233" s="1" t="s">
        <v>2</v>
      </c>
      <c r="D233" s="1" t="s">
        <v>760</v>
      </c>
      <c r="E233" s="1" t="s">
        <v>40</v>
      </c>
      <c r="F233" s="1" t="s">
        <v>4</v>
      </c>
      <c r="H233" s="1" t="s">
        <v>0</v>
      </c>
      <c r="I233" s="1" t="s">
        <v>1</v>
      </c>
      <c r="J233" s="1" t="s">
        <v>2</v>
      </c>
      <c r="K233" s="1" t="s">
        <v>760</v>
      </c>
      <c r="L233" s="1" t="s">
        <v>40</v>
      </c>
      <c r="M233" s="1" t="s">
        <v>4</v>
      </c>
      <c r="O233" s="1" t="s">
        <v>0</v>
      </c>
      <c r="P233" s="1" t="s">
        <v>1</v>
      </c>
      <c r="Q233" s="1" t="s">
        <v>2</v>
      </c>
      <c r="R233" s="1" t="s">
        <v>760</v>
      </c>
      <c r="S233" s="1" t="s">
        <v>40</v>
      </c>
      <c r="T233" s="1" t="s">
        <v>4</v>
      </c>
    </row>
    <row r="234" spans="1:20" x14ac:dyDescent="0.3">
      <c r="A234" s="2" t="s">
        <v>5</v>
      </c>
      <c r="B234" s="3">
        <v>2122</v>
      </c>
      <c r="C234" s="3">
        <v>813</v>
      </c>
      <c r="D234" s="3">
        <v>0</v>
      </c>
      <c r="E234" s="3">
        <v>717</v>
      </c>
      <c r="F234" s="3">
        <v>592</v>
      </c>
      <c r="H234" s="2" t="s">
        <v>5</v>
      </c>
      <c r="I234" s="3">
        <v>3567</v>
      </c>
      <c r="J234" s="3">
        <v>1271</v>
      </c>
      <c r="K234" s="3">
        <v>0</v>
      </c>
      <c r="L234" s="3">
        <v>1191</v>
      </c>
      <c r="M234" s="3">
        <v>1105</v>
      </c>
      <c r="O234" s="2" t="s">
        <v>5</v>
      </c>
      <c r="P234" s="3">
        <v>2284</v>
      </c>
      <c r="Q234" s="3">
        <v>960</v>
      </c>
      <c r="R234" s="3">
        <v>0</v>
      </c>
      <c r="S234" s="3">
        <v>707</v>
      </c>
      <c r="T234" s="3">
        <v>617</v>
      </c>
    </row>
    <row r="235" spans="1:20" x14ac:dyDescent="0.3">
      <c r="A235" s="2" t="s">
        <v>6</v>
      </c>
      <c r="B235" s="3">
        <v>41</v>
      </c>
      <c r="C235" s="6">
        <v>11</v>
      </c>
      <c r="D235" s="3">
        <v>0</v>
      </c>
      <c r="E235" s="6">
        <v>11</v>
      </c>
      <c r="F235" s="5">
        <v>19</v>
      </c>
      <c r="H235" s="2" t="s">
        <v>6</v>
      </c>
      <c r="I235" s="3">
        <v>344</v>
      </c>
      <c r="J235" s="6">
        <v>120</v>
      </c>
      <c r="K235" s="3">
        <v>0</v>
      </c>
      <c r="L235" s="5">
        <v>143</v>
      </c>
      <c r="M235" s="4">
        <v>81</v>
      </c>
      <c r="O235" s="2" t="s">
        <v>6</v>
      </c>
      <c r="P235" s="3">
        <v>60</v>
      </c>
      <c r="Q235" s="6">
        <v>26</v>
      </c>
      <c r="R235" s="3">
        <v>0</v>
      </c>
      <c r="S235" s="5">
        <v>29</v>
      </c>
      <c r="T235" s="4">
        <v>5</v>
      </c>
    </row>
    <row r="236" spans="1:20" x14ac:dyDescent="0.3">
      <c r="A236" s="2" t="s">
        <v>7</v>
      </c>
      <c r="B236" s="3" t="s">
        <v>581</v>
      </c>
      <c r="C236" s="4" t="s">
        <v>582</v>
      </c>
      <c r="D236" s="3">
        <v>0</v>
      </c>
      <c r="E236" s="6" t="s">
        <v>583</v>
      </c>
      <c r="F236" s="5" t="s">
        <v>225</v>
      </c>
      <c r="H236" s="2" t="s">
        <v>7</v>
      </c>
      <c r="I236" s="3" t="s">
        <v>1475</v>
      </c>
      <c r="J236" s="6" t="s">
        <v>91</v>
      </c>
      <c r="K236" s="3">
        <v>0</v>
      </c>
      <c r="L236" s="5" t="s">
        <v>1115</v>
      </c>
      <c r="M236" s="4" t="s">
        <v>1466</v>
      </c>
      <c r="O236" s="2" t="s">
        <v>7</v>
      </c>
      <c r="P236" s="3" t="s">
        <v>557</v>
      </c>
      <c r="Q236" s="6" t="s">
        <v>23</v>
      </c>
      <c r="R236" s="3">
        <v>0</v>
      </c>
      <c r="S236" s="5" t="s">
        <v>1865</v>
      </c>
      <c r="T236" s="4" t="s">
        <v>64</v>
      </c>
    </row>
    <row r="237" spans="1:20" x14ac:dyDescent="0.3">
      <c r="A237" s="2" t="s">
        <v>12</v>
      </c>
      <c r="B237" s="3" t="s">
        <v>314</v>
      </c>
      <c r="C237" s="4" t="s">
        <v>542</v>
      </c>
      <c r="D237" s="3">
        <v>0</v>
      </c>
      <c r="E237" s="6" t="s">
        <v>583</v>
      </c>
      <c r="F237" s="5" t="s">
        <v>225</v>
      </c>
      <c r="H237" s="2" t="s">
        <v>12</v>
      </c>
      <c r="I237" s="3" t="s">
        <v>1269</v>
      </c>
      <c r="J237" s="6" t="s">
        <v>325</v>
      </c>
      <c r="K237" s="3">
        <v>0</v>
      </c>
      <c r="L237" s="5" t="s">
        <v>1115</v>
      </c>
      <c r="M237" s="4" t="s">
        <v>1466</v>
      </c>
      <c r="O237" s="2" t="s">
        <v>12</v>
      </c>
      <c r="P237" s="3" t="s">
        <v>557</v>
      </c>
      <c r="Q237" s="6" t="s">
        <v>23</v>
      </c>
      <c r="R237" s="3">
        <v>0</v>
      </c>
      <c r="S237" s="5" t="s">
        <v>1865</v>
      </c>
      <c r="T237" s="4" t="s">
        <v>64</v>
      </c>
    </row>
    <row r="238" spans="1:20" x14ac:dyDescent="0.3">
      <c r="A238" s="2" t="s">
        <v>17</v>
      </c>
      <c r="B238" s="3" t="s">
        <v>347</v>
      </c>
      <c r="C238" s="6" t="s">
        <v>47</v>
      </c>
      <c r="D238" s="3" t="s">
        <v>25</v>
      </c>
      <c r="E238" s="4" t="s">
        <v>310</v>
      </c>
      <c r="F238" s="5" t="s">
        <v>100</v>
      </c>
      <c r="H238" s="2" t="s">
        <v>17</v>
      </c>
      <c r="I238" s="3" t="s">
        <v>134</v>
      </c>
      <c r="J238" s="4" t="s">
        <v>347</v>
      </c>
      <c r="K238" s="3" t="s">
        <v>25</v>
      </c>
      <c r="L238" s="5" t="s">
        <v>50</v>
      </c>
      <c r="M238" s="6" t="s">
        <v>134</v>
      </c>
      <c r="O238" s="2" t="s">
        <v>17</v>
      </c>
      <c r="P238" s="3" t="s">
        <v>80</v>
      </c>
      <c r="Q238" s="5" t="s">
        <v>1451</v>
      </c>
      <c r="R238" s="3" t="s">
        <v>25</v>
      </c>
      <c r="S238" s="3" t="s">
        <v>25</v>
      </c>
      <c r="T238" s="6" t="s">
        <v>76</v>
      </c>
    </row>
    <row r="239" spans="1:20" x14ac:dyDescent="0.3">
      <c r="A239" s="2" t="s">
        <v>22</v>
      </c>
      <c r="B239" s="3" t="s">
        <v>25</v>
      </c>
      <c r="C239" s="3" t="s">
        <v>25</v>
      </c>
      <c r="D239" s="3" t="s">
        <v>25</v>
      </c>
      <c r="E239" s="3" t="s">
        <v>25</v>
      </c>
      <c r="F239" s="3" t="s">
        <v>25</v>
      </c>
      <c r="H239" s="2" t="s">
        <v>22</v>
      </c>
      <c r="I239" s="3" t="s">
        <v>25</v>
      </c>
      <c r="J239" s="3" t="s">
        <v>25</v>
      </c>
      <c r="K239" s="3" t="s">
        <v>25</v>
      </c>
      <c r="L239" s="3" t="s">
        <v>25</v>
      </c>
      <c r="M239" s="3" t="s">
        <v>25</v>
      </c>
      <c r="O239" s="2" t="s">
        <v>22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 x14ac:dyDescent="0.3">
      <c r="A240" s="7" t="s">
        <v>26</v>
      </c>
      <c r="B240" s="8">
        <v>39</v>
      </c>
      <c r="C240" s="8">
        <v>9</v>
      </c>
      <c r="D240" s="8">
        <v>0</v>
      </c>
      <c r="E240" s="8">
        <v>11</v>
      </c>
      <c r="F240" s="8">
        <v>19</v>
      </c>
      <c r="H240" s="7" t="s">
        <v>26</v>
      </c>
      <c r="I240" s="8">
        <v>326</v>
      </c>
      <c r="J240" s="8">
        <v>102</v>
      </c>
      <c r="K240" s="8">
        <v>0</v>
      </c>
      <c r="L240" s="8">
        <v>143</v>
      </c>
      <c r="M240" s="8">
        <v>81</v>
      </c>
      <c r="O240" s="7" t="s">
        <v>26</v>
      </c>
      <c r="P240" s="8">
        <v>60</v>
      </c>
      <c r="Q240" s="8">
        <v>26</v>
      </c>
      <c r="R240" s="8">
        <v>0</v>
      </c>
      <c r="S240" s="8">
        <v>29</v>
      </c>
      <c r="T240" s="8">
        <v>5</v>
      </c>
    </row>
    <row r="241" spans="1:20" x14ac:dyDescent="0.3">
      <c r="A241" s="9" t="s">
        <v>27</v>
      </c>
      <c r="B241" s="10">
        <v>5</v>
      </c>
      <c r="C241" s="10">
        <v>5</v>
      </c>
      <c r="D241" s="10">
        <v>0</v>
      </c>
      <c r="E241" s="10">
        <v>0</v>
      </c>
      <c r="F241" s="10">
        <v>0</v>
      </c>
      <c r="H241" s="9" t="s">
        <v>27</v>
      </c>
      <c r="I241" s="10">
        <v>30</v>
      </c>
      <c r="J241" s="10">
        <v>14</v>
      </c>
      <c r="K241" s="10">
        <v>0</v>
      </c>
      <c r="L241" s="10">
        <v>6</v>
      </c>
      <c r="M241" s="10">
        <v>10</v>
      </c>
      <c r="O241" s="9" t="s">
        <v>27</v>
      </c>
      <c r="P241" s="10">
        <v>8</v>
      </c>
      <c r="Q241" s="10">
        <v>3</v>
      </c>
      <c r="R241" s="10">
        <v>0</v>
      </c>
      <c r="S241" s="10">
        <v>1</v>
      </c>
      <c r="T241" s="10">
        <v>4</v>
      </c>
    </row>
    <row r="242" spans="1:20" x14ac:dyDescent="0.3">
      <c r="A242" s="9" t="s">
        <v>28</v>
      </c>
      <c r="B242" s="10">
        <v>3</v>
      </c>
      <c r="C242" s="10">
        <v>0</v>
      </c>
      <c r="D242" s="10">
        <v>0</v>
      </c>
      <c r="E242" s="10">
        <v>1</v>
      </c>
      <c r="F242" s="10">
        <v>2</v>
      </c>
      <c r="H242" s="9" t="s">
        <v>28</v>
      </c>
      <c r="I242" s="10">
        <v>35</v>
      </c>
      <c r="J242" s="10">
        <v>15</v>
      </c>
      <c r="K242" s="10">
        <v>0</v>
      </c>
      <c r="L242" s="10">
        <v>7</v>
      </c>
      <c r="M242" s="10">
        <v>13</v>
      </c>
      <c r="O242" s="9" t="s">
        <v>28</v>
      </c>
      <c r="P242" s="10">
        <v>46</v>
      </c>
      <c r="Q242" s="10">
        <v>20</v>
      </c>
      <c r="R242" s="10">
        <v>0</v>
      </c>
      <c r="S242" s="10">
        <v>26</v>
      </c>
      <c r="T242" s="10">
        <v>0</v>
      </c>
    </row>
    <row r="243" spans="1:20" x14ac:dyDescent="0.3">
      <c r="A243" s="9" t="s">
        <v>29</v>
      </c>
      <c r="B243" s="10">
        <v>18</v>
      </c>
      <c r="C243" s="10">
        <v>2</v>
      </c>
      <c r="D243" s="10">
        <v>0</v>
      </c>
      <c r="E243" s="10">
        <v>4</v>
      </c>
      <c r="F243" s="10">
        <v>12</v>
      </c>
      <c r="H243" s="9" t="s">
        <v>29</v>
      </c>
      <c r="I243" s="10">
        <v>73</v>
      </c>
      <c r="J243" s="10">
        <v>21</v>
      </c>
      <c r="K243" s="10">
        <v>0</v>
      </c>
      <c r="L243" s="10">
        <v>19</v>
      </c>
      <c r="M243" s="10">
        <v>33</v>
      </c>
      <c r="O243" s="9" t="s">
        <v>29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3">
      <c r="A244" s="9" t="s">
        <v>30</v>
      </c>
      <c r="B244" s="10">
        <v>13</v>
      </c>
      <c r="C244" s="10">
        <v>2</v>
      </c>
      <c r="D244" s="10">
        <v>0</v>
      </c>
      <c r="E244" s="10">
        <v>6</v>
      </c>
      <c r="F244" s="10">
        <v>5</v>
      </c>
      <c r="H244" s="9" t="s">
        <v>30</v>
      </c>
      <c r="I244" s="10">
        <v>188</v>
      </c>
      <c r="J244" s="10">
        <v>52</v>
      </c>
      <c r="K244" s="10">
        <v>0</v>
      </c>
      <c r="L244" s="10">
        <v>111</v>
      </c>
      <c r="M244" s="10">
        <v>25</v>
      </c>
      <c r="O244" s="9" t="s">
        <v>30</v>
      </c>
      <c r="P244" s="10">
        <v>6</v>
      </c>
      <c r="Q244" s="10">
        <v>3</v>
      </c>
      <c r="R244" s="10">
        <v>0</v>
      </c>
      <c r="S244" s="10">
        <v>2</v>
      </c>
      <c r="T244" s="10">
        <v>1</v>
      </c>
    </row>
    <row r="245" spans="1:20" x14ac:dyDescent="0.3">
      <c r="A245" s="9" t="s">
        <v>31</v>
      </c>
      <c r="B245" s="10">
        <v>0</v>
      </c>
      <c r="C245" s="10">
        <v>0</v>
      </c>
      <c r="D245" s="10">
        <v>0</v>
      </c>
      <c r="E245" s="10">
        <v>0</v>
      </c>
      <c r="F245" s="10">
        <v>0</v>
      </c>
      <c r="H245" s="9" t="s">
        <v>31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O245" s="9" t="s">
        <v>31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</row>
    <row r="246" spans="1:20" x14ac:dyDescent="0.3">
      <c r="A246" s="11" t="s">
        <v>32</v>
      </c>
      <c r="B246" s="12">
        <v>5</v>
      </c>
      <c r="C246" s="12">
        <v>2</v>
      </c>
      <c r="D246" s="12">
        <v>0</v>
      </c>
      <c r="E246" s="12">
        <v>1</v>
      </c>
      <c r="F246" s="12">
        <v>2</v>
      </c>
      <c r="H246" s="11" t="s">
        <v>32</v>
      </c>
      <c r="I246" s="12">
        <v>13</v>
      </c>
      <c r="J246" s="12">
        <v>3</v>
      </c>
      <c r="K246" s="12">
        <v>0</v>
      </c>
      <c r="L246" s="12">
        <v>6</v>
      </c>
      <c r="M246" s="12">
        <v>4</v>
      </c>
      <c r="O246" s="11" t="s">
        <v>32</v>
      </c>
      <c r="P246" s="12">
        <v>17</v>
      </c>
      <c r="Q246" s="12">
        <v>14</v>
      </c>
      <c r="R246" s="12">
        <v>0</v>
      </c>
      <c r="S246" s="12">
        <v>0</v>
      </c>
      <c r="T246" s="12">
        <v>3</v>
      </c>
    </row>
    <row r="247" spans="1:20" x14ac:dyDescent="0.3">
      <c r="A247" s="13" t="s">
        <v>33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H247" s="13" t="s">
        <v>33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O247" s="13" t="s">
        <v>33</v>
      </c>
      <c r="P247" s="14">
        <v>14</v>
      </c>
      <c r="Q247" s="14">
        <v>14</v>
      </c>
      <c r="R247" s="14">
        <v>0</v>
      </c>
      <c r="S247" s="14">
        <v>0</v>
      </c>
      <c r="T247" s="14">
        <v>0</v>
      </c>
    </row>
    <row r="248" spans="1:20" x14ac:dyDescent="0.3">
      <c r="A248" s="13" t="s">
        <v>34</v>
      </c>
      <c r="B248" s="14">
        <v>5</v>
      </c>
      <c r="C248" s="14">
        <v>2</v>
      </c>
      <c r="D248" s="14">
        <v>0</v>
      </c>
      <c r="E248" s="14">
        <v>1</v>
      </c>
      <c r="F248" s="14">
        <v>2</v>
      </c>
      <c r="H248" s="13" t="s">
        <v>34</v>
      </c>
      <c r="I248" s="14">
        <v>13</v>
      </c>
      <c r="J248" s="14">
        <v>3</v>
      </c>
      <c r="K248" s="14">
        <v>0</v>
      </c>
      <c r="L248" s="14">
        <v>6</v>
      </c>
      <c r="M248" s="14">
        <v>4</v>
      </c>
      <c r="O248" s="13" t="s">
        <v>34</v>
      </c>
      <c r="P248" s="14">
        <v>3</v>
      </c>
      <c r="Q248" s="14">
        <v>0</v>
      </c>
      <c r="R248" s="14">
        <v>0</v>
      </c>
      <c r="S248" s="14">
        <v>0</v>
      </c>
      <c r="T248" s="14">
        <v>3</v>
      </c>
    </row>
    <row r="249" spans="1:20" x14ac:dyDescent="0.3">
      <c r="A249" s="15" t="s">
        <v>35</v>
      </c>
      <c r="B249" s="16">
        <v>0</v>
      </c>
      <c r="C249" s="16">
        <v>0</v>
      </c>
      <c r="D249" s="16">
        <v>0</v>
      </c>
      <c r="E249" s="16">
        <v>0</v>
      </c>
      <c r="F249" s="16">
        <v>0</v>
      </c>
      <c r="H249" s="15" t="s">
        <v>35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O249" s="15" t="s">
        <v>35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</row>
    <row r="250" spans="1:20" x14ac:dyDescent="0.3">
      <c r="A250" s="17" t="s">
        <v>36</v>
      </c>
      <c r="B250" s="18">
        <v>0</v>
      </c>
      <c r="C250" s="18">
        <v>0</v>
      </c>
      <c r="D250" s="18">
        <v>0</v>
      </c>
      <c r="E250" s="18">
        <v>0</v>
      </c>
      <c r="F250" s="18">
        <v>0</v>
      </c>
      <c r="H250" s="17" t="s">
        <v>36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O250" s="17" t="s">
        <v>36</v>
      </c>
      <c r="P250" s="130">
        <v>0</v>
      </c>
      <c r="Q250" s="130">
        <v>0</v>
      </c>
      <c r="R250" s="130">
        <v>0</v>
      </c>
      <c r="S250" s="130">
        <v>0</v>
      </c>
      <c r="T250" s="130">
        <v>0</v>
      </c>
    </row>
    <row r="251" spans="1:20" x14ac:dyDescent="0.3">
      <c r="A251" s="17" t="s">
        <v>37</v>
      </c>
      <c r="B251" s="18">
        <v>0</v>
      </c>
      <c r="C251" s="18">
        <v>0</v>
      </c>
      <c r="D251" s="18">
        <v>0</v>
      </c>
      <c r="E251" s="18">
        <v>0</v>
      </c>
      <c r="F251" s="18">
        <v>0</v>
      </c>
      <c r="H251" s="17" t="s">
        <v>37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O251" s="17" t="s">
        <v>37</v>
      </c>
      <c r="P251" s="130">
        <v>0</v>
      </c>
      <c r="Q251" s="130">
        <v>0</v>
      </c>
      <c r="R251" s="130">
        <v>0</v>
      </c>
      <c r="S251" s="130">
        <v>0</v>
      </c>
      <c r="T251" s="130">
        <v>0</v>
      </c>
    </row>
    <row r="252" spans="1:20" x14ac:dyDescent="0.3">
      <c r="A252" s="17" t="s">
        <v>38</v>
      </c>
      <c r="B252" s="172" t="s">
        <v>208</v>
      </c>
      <c r="C252" s="173"/>
      <c r="D252" s="173"/>
      <c r="E252" s="173"/>
      <c r="F252" s="173"/>
      <c r="H252" s="17" t="s">
        <v>38</v>
      </c>
      <c r="I252" s="172" t="s">
        <v>1476</v>
      </c>
      <c r="J252" s="173"/>
      <c r="K252" s="173"/>
      <c r="L252" s="173"/>
      <c r="M252" s="173"/>
      <c r="O252" s="17" t="s">
        <v>38</v>
      </c>
      <c r="P252" s="172" t="s">
        <v>1916</v>
      </c>
      <c r="Q252" s="173"/>
      <c r="R252" s="173"/>
      <c r="S252" s="173"/>
      <c r="T252" s="173"/>
    </row>
    <row r="253" spans="1:20" ht="19.8" x14ac:dyDescent="0.3">
      <c r="A253" s="171">
        <v>46097</v>
      </c>
      <c r="B253" s="171"/>
      <c r="C253" s="171"/>
      <c r="D253" s="171"/>
      <c r="E253" s="171"/>
      <c r="F253" s="171"/>
      <c r="H253" s="171">
        <v>46127</v>
      </c>
      <c r="I253" s="171"/>
      <c r="J253" s="171"/>
      <c r="K253" s="171"/>
      <c r="L253" s="171"/>
      <c r="M253" s="171"/>
      <c r="O253" s="171">
        <v>46158</v>
      </c>
      <c r="P253" s="174"/>
      <c r="Q253" s="174"/>
      <c r="R253" s="174"/>
      <c r="S253" s="174"/>
      <c r="T253" s="174"/>
    </row>
    <row r="254" spans="1:20" x14ac:dyDescent="0.3">
      <c r="A254" s="1" t="s">
        <v>0</v>
      </c>
      <c r="B254" s="1" t="s">
        <v>1</v>
      </c>
      <c r="C254" s="1" t="s">
        <v>2</v>
      </c>
      <c r="D254" s="1" t="s">
        <v>760</v>
      </c>
      <c r="E254" s="1" t="s">
        <v>40</v>
      </c>
      <c r="F254" s="1" t="s">
        <v>4</v>
      </c>
      <c r="H254" s="1" t="s">
        <v>0</v>
      </c>
      <c r="I254" s="1" t="s">
        <v>1</v>
      </c>
      <c r="J254" s="1" t="s">
        <v>2</v>
      </c>
      <c r="K254" s="1" t="s">
        <v>760</v>
      </c>
      <c r="L254" s="1" t="s">
        <v>40</v>
      </c>
      <c r="M254" s="1" t="s">
        <v>4</v>
      </c>
      <c r="O254" s="1" t="s">
        <v>0</v>
      </c>
      <c r="P254" s="1" t="s">
        <v>1</v>
      </c>
      <c r="Q254" s="1" t="s">
        <v>2</v>
      </c>
      <c r="R254" s="1" t="s">
        <v>760</v>
      </c>
      <c r="S254" s="1" t="s">
        <v>40</v>
      </c>
      <c r="T254" s="1" t="s">
        <v>4</v>
      </c>
    </row>
    <row r="255" spans="1:20" x14ac:dyDescent="0.3">
      <c r="A255" s="2" t="s">
        <v>5</v>
      </c>
      <c r="B255" s="3">
        <v>1925</v>
      </c>
      <c r="C255" s="3">
        <v>741</v>
      </c>
      <c r="D255" s="3">
        <v>0</v>
      </c>
      <c r="E255" s="3">
        <v>647</v>
      </c>
      <c r="F255" s="3">
        <v>537</v>
      </c>
      <c r="H255" s="2" t="s">
        <v>5</v>
      </c>
      <c r="I255" s="3">
        <v>2591</v>
      </c>
      <c r="J255" s="3">
        <v>894</v>
      </c>
      <c r="K255" s="3">
        <v>0</v>
      </c>
      <c r="L255" s="3">
        <v>875</v>
      </c>
      <c r="M255" s="3">
        <v>822</v>
      </c>
      <c r="O255" s="2" t="s">
        <v>5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</row>
    <row r="256" spans="1:20" x14ac:dyDescent="0.3">
      <c r="A256" s="2" t="s">
        <v>6</v>
      </c>
      <c r="B256" s="3">
        <v>56</v>
      </c>
      <c r="C256" s="5">
        <v>22</v>
      </c>
      <c r="D256" s="3">
        <v>0</v>
      </c>
      <c r="E256" s="4">
        <v>13</v>
      </c>
      <c r="F256" s="6">
        <v>21</v>
      </c>
      <c r="H256" s="2" t="s">
        <v>6</v>
      </c>
      <c r="I256" s="3">
        <v>308</v>
      </c>
      <c r="J256" s="4">
        <v>96</v>
      </c>
      <c r="K256" s="3">
        <v>0</v>
      </c>
      <c r="L256" s="6">
        <v>104</v>
      </c>
      <c r="M256" s="5">
        <v>108</v>
      </c>
      <c r="O256" s="2" t="s">
        <v>6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</row>
    <row r="257" spans="1:20" x14ac:dyDescent="0.3">
      <c r="A257" s="2" t="s">
        <v>7</v>
      </c>
      <c r="B257" s="3" t="s">
        <v>71</v>
      </c>
      <c r="C257" s="6" t="s">
        <v>639</v>
      </c>
      <c r="D257" s="3">
        <v>0</v>
      </c>
      <c r="E257" s="4" t="s">
        <v>474</v>
      </c>
      <c r="F257" s="5" t="s">
        <v>640</v>
      </c>
      <c r="H257" s="2" t="s">
        <v>7</v>
      </c>
      <c r="I257" s="3" t="s">
        <v>164</v>
      </c>
      <c r="J257" s="4" t="s">
        <v>1507</v>
      </c>
      <c r="K257" s="3">
        <v>0</v>
      </c>
      <c r="L257" s="6" t="s">
        <v>164</v>
      </c>
      <c r="M257" s="5" t="s">
        <v>1508</v>
      </c>
      <c r="O257" s="2" t="s">
        <v>7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</row>
    <row r="258" spans="1:20" x14ac:dyDescent="0.3">
      <c r="A258" s="2" t="s">
        <v>12</v>
      </c>
      <c r="B258" s="3" t="s">
        <v>71</v>
      </c>
      <c r="C258" s="6" t="s">
        <v>639</v>
      </c>
      <c r="D258" s="3">
        <v>0</v>
      </c>
      <c r="E258" s="4" t="s">
        <v>474</v>
      </c>
      <c r="F258" s="5" t="s">
        <v>640</v>
      </c>
      <c r="H258" s="2" t="s">
        <v>12</v>
      </c>
      <c r="I258" s="3" t="s">
        <v>687</v>
      </c>
      <c r="J258" s="4" t="s">
        <v>711</v>
      </c>
      <c r="K258" s="3">
        <v>0</v>
      </c>
      <c r="L258" s="6" t="s">
        <v>164</v>
      </c>
      <c r="M258" s="5" t="s">
        <v>1508</v>
      </c>
      <c r="O258" s="2" t="s">
        <v>12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</row>
    <row r="259" spans="1:20" x14ac:dyDescent="0.3">
      <c r="A259" s="2" t="s">
        <v>17</v>
      </c>
      <c r="B259" s="3" t="s">
        <v>158</v>
      </c>
      <c r="C259" s="3" t="s">
        <v>25</v>
      </c>
      <c r="D259" s="3" t="s">
        <v>25</v>
      </c>
      <c r="E259" s="5" t="s">
        <v>121</v>
      </c>
      <c r="F259" s="3" t="s">
        <v>25</v>
      </c>
      <c r="H259" s="2" t="s">
        <v>17</v>
      </c>
      <c r="I259" s="3" t="s">
        <v>257</v>
      </c>
      <c r="J259" s="5" t="s">
        <v>49</v>
      </c>
      <c r="K259" s="3" t="s">
        <v>25</v>
      </c>
      <c r="L259" s="3" t="s">
        <v>25</v>
      </c>
      <c r="M259" s="3" t="s">
        <v>25</v>
      </c>
      <c r="O259" s="2" t="s">
        <v>17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 x14ac:dyDescent="0.3">
      <c r="A260" s="2" t="s">
        <v>22</v>
      </c>
      <c r="B260" s="3" t="s">
        <v>25</v>
      </c>
      <c r="C260" s="3" t="s">
        <v>25</v>
      </c>
      <c r="D260" s="3" t="s">
        <v>25</v>
      </c>
      <c r="E260" s="3" t="s">
        <v>25</v>
      </c>
      <c r="F260" s="3" t="s">
        <v>25</v>
      </c>
      <c r="H260" s="2" t="s">
        <v>22</v>
      </c>
      <c r="I260" s="3" t="s">
        <v>25</v>
      </c>
      <c r="J260" s="3" t="s">
        <v>25</v>
      </c>
      <c r="K260" s="3" t="s">
        <v>25</v>
      </c>
      <c r="L260" s="3" t="s">
        <v>25</v>
      </c>
      <c r="M260" s="3" t="s">
        <v>25</v>
      </c>
      <c r="O260" s="2" t="s">
        <v>22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 x14ac:dyDescent="0.3">
      <c r="A261" s="7" t="s">
        <v>26</v>
      </c>
      <c r="B261" s="8">
        <v>56</v>
      </c>
      <c r="C261" s="8">
        <v>22</v>
      </c>
      <c r="D261" s="8">
        <v>0</v>
      </c>
      <c r="E261" s="8">
        <v>13</v>
      </c>
      <c r="F261" s="8">
        <v>21</v>
      </c>
      <c r="H261" s="7" t="s">
        <v>26</v>
      </c>
      <c r="I261" s="8">
        <v>307</v>
      </c>
      <c r="J261" s="8">
        <v>95</v>
      </c>
      <c r="K261" s="8">
        <v>0</v>
      </c>
      <c r="L261" s="8">
        <v>104</v>
      </c>
      <c r="M261" s="8">
        <v>108</v>
      </c>
      <c r="O261" s="7" t="s">
        <v>26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</row>
    <row r="262" spans="1:20" x14ac:dyDescent="0.3">
      <c r="A262" s="9" t="s">
        <v>27</v>
      </c>
      <c r="B262" s="10">
        <v>11</v>
      </c>
      <c r="C262" s="10">
        <v>8</v>
      </c>
      <c r="D262" s="10">
        <v>0</v>
      </c>
      <c r="E262" s="10">
        <v>1</v>
      </c>
      <c r="F262" s="10">
        <v>2</v>
      </c>
      <c r="H262" s="9" t="s">
        <v>27</v>
      </c>
      <c r="I262" s="10">
        <v>58</v>
      </c>
      <c r="J262" s="10">
        <v>16</v>
      </c>
      <c r="K262" s="10">
        <v>0</v>
      </c>
      <c r="L262" s="10">
        <v>22</v>
      </c>
      <c r="M262" s="10">
        <v>20</v>
      </c>
      <c r="O262" s="9" t="s">
        <v>27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</row>
    <row r="263" spans="1:20" x14ac:dyDescent="0.3">
      <c r="A263" s="9" t="s">
        <v>28</v>
      </c>
      <c r="B263" s="10">
        <v>4</v>
      </c>
      <c r="C263" s="10">
        <v>0</v>
      </c>
      <c r="D263" s="10">
        <v>0</v>
      </c>
      <c r="E263" s="10">
        <v>1</v>
      </c>
      <c r="F263" s="10">
        <v>3</v>
      </c>
      <c r="H263" s="9" t="s">
        <v>28</v>
      </c>
      <c r="I263" s="10">
        <v>7</v>
      </c>
      <c r="J263" s="10">
        <v>3</v>
      </c>
      <c r="K263" s="10">
        <v>0</v>
      </c>
      <c r="L263" s="10">
        <v>1</v>
      </c>
      <c r="M263" s="10">
        <v>3</v>
      </c>
      <c r="O263" s="9" t="s">
        <v>28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3">
      <c r="A264" s="9" t="s">
        <v>29</v>
      </c>
      <c r="B264" s="10">
        <v>28</v>
      </c>
      <c r="C264" s="10">
        <v>8</v>
      </c>
      <c r="D264" s="10">
        <v>0</v>
      </c>
      <c r="E264" s="10">
        <v>6</v>
      </c>
      <c r="F264" s="10">
        <v>14</v>
      </c>
      <c r="H264" s="9" t="s">
        <v>29</v>
      </c>
      <c r="I264" s="10">
        <v>39</v>
      </c>
      <c r="J264" s="10">
        <v>13</v>
      </c>
      <c r="K264" s="10">
        <v>0</v>
      </c>
      <c r="L264" s="10">
        <v>7</v>
      </c>
      <c r="M264" s="10">
        <v>19</v>
      </c>
      <c r="O264" s="9" t="s">
        <v>29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3">
      <c r="A265" s="9" t="s">
        <v>30</v>
      </c>
      <c r="B265" s="10">
        <v>13</v>
      </c>
      <c r="C265" s="10">
        <v>6</v>
      </c>
      <c r="D265" s="10">
        <v>0</v>
      </c>
      <c r="E265" s="10">
        <v>5</v>
      </c>
      <c r="F265" s="10">
        <v>2</v>
      </c>
      <c r="H265" s="9" t="s">
        <v>30</v>
      </c>
      <c r="I265" s="10">
        <v>203</v>
      </c>
      <c r="J265" s="10">
        <v>63</v>
      </c>
      <c r="K265" s="10">
        <v>0</v>
      </c>
      <c r="L265" s="10">
        <v>74</v>
      </c>
      <c r="M265" s="10">
        <v>66</v>
      </c>
      <c r="O265" s="9" t="s">
        <v>30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</row>
    <row r="266" spans="1:20" x14ac:dyDescent="0.3">
      <c r="A266" s="9" t="s">
        <v>31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H266" s="9" t="s">
        <v>31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O266" s="9" t="s">
        <v>31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3">
      <c r="A267" s="11" t="s">
        <v>32</v>
      </c>
      <c r="B267" s="12">
        <v>1</v>
      </c>
      <c r="C267" s="12">
        <v>0</v>
      </c>
      <c r="D267" s="12">
        <v>0</v>
      </c>
      <c r="E267" s="12">
        <v>1</v>
      </c>
      <c r="F267" s="12">
        <v>0</v>
      </c>
      <c r="H267" s="11" t="s">
        <v>32</v>
      </c>
      <c r="I267" s="12">
        <v>1</v>
      </c>
      <c r="J267" s="12">
        <v>1</v>
      </c>
      <c r="K267" s="12">
        <v>0</v>
      </c>
      <c r="L267" s="12">
        <v>0</v>
      </c>
      <c r="M267" s="12">
        <v>0</v>
      </c>
      <c r="O267" s="11" t="s">
        <v>32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</row>
    <row r="268" spans="1:20" x14ac:dyDescent="0.3">
      <c r="A268" s="13" t="s">
        <v>33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H268" s="13" t="s">
        <v>33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O268" s="13" t="s">
        <v>33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</row>
    <row r="269" spans="1:20" x14ac:dyDescent="0.3">
      <c r="A269" s="13" t="s">
        <v>34</v>
      </c>
      <c r="B269" s="14">
        <v>1</v>
      </c>
      <c r="C269" s="14">
        <v>0</v>
      </c>
      <c r="D269" s="14">
        <v>0</v>
      </c>
      <c r="E269" s="14">
        <v>1</v>
      </c>
      <c r="F269" s="14">
        <v>0</v>
      </c>
      <c r="H269" s="13" t="s">
        <v>34</v>
      </c>
      <c r="I269" s="14">
        <v>1</v>
      </c>
      <c r="J269" s="14">
        <v>1</v>
      </c>
      <c r="K269" s="14">
        <v>0</v>
      </c>
      <c r="L269" s="14">
        <v>0</v>
      </c>
      <c r="M269" s="14">
        <v>0</v>
      </c>
      <c r="O269" s="13" t="s">
        <v>34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</row>
    <row r="270" spans="1:20" x14ac:dyDescent="0.3">
      <c r="A270" s="15" t="s">
        <v>35</v>
      </c>
      <c r="B270" s="16">
        <v>0</v>
      </c>
      <c r="C270" s="16">
        <v>0</v>
      </c>
      <c r="D270" s="16">
        <v>0</v>
      </c>
      <c r="E270" s="16">
        <v>0</v>
      </c>
      <c r="F270" s="16">
        <v>0</v>
      </c>
      <c r="H270" s="15" t="s">
        <v>35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O270" s="15" t="s">
        <v>35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</row>
    <row r="271" spans="1:20" x14ac:dyDescent="0.3">
      <c r="A271" s="17" t="s">
        <v>36</v>
      </c>
      <c r="B271" s="18">
        <v>0</v>
      </c>
      <c r="C271" s="18">
        <v>0</v>
      </c>
      <c r="D271" s="18">
        <v>0</v>
      </c>
      <c r="E271" s="18">
        <v>0</v>
      </c>
      <c r="F271" s="18">
        <v>0</v>
      </c>
      <c r="H271" s="17" t="s">
        <v>36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O271" s="17" t="s">
        <v>36</v>
      </c>
      <c r="P271" s="130">
        <v>0</v>
      </c>
      <c r="Q271" s="130">
        <v>0</v>
      </c>
      <c r="R271" s="130">
        <v>0</v>
      </c>
      <c r="S271" s="130">
        <v>0</v>
      </c>
      <c r="T271" s="130">
        <v>0</v>
      </c>
    </row>
    <row r="272" spans="1:20" x14ac:dyDescent="0.3">
      <c r="A272" s="17" t="s">
        <v>37</v>
      </c>
      <c r="B272" s="18">
        <v>0</v>
      </c>
      <c r="C272" s="18">
        <v>0</v>
      </c>
      <c r="D272" s="18">
        <v>0</v>
      </c>
      <c r="E272" s="18">
        <v>0</v>
      </c>
      <c r="F272" s="18">
        <v>0</v>
      </c>
      <c r="H272" s="17" t="s">
        <v>37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O272" s="17" t="s">
        <v>37</v>
      </c>
      <c r="P272" s="130">
        <v>0</v>
      </c>
      <c r="Q272" s="130">
        <v>0</v>
      </c>
      <c r="R272" s="130">
        <v>0</v>
      </c>
      <c r="S272" s="130">
        <v>0</v>
      </c>
      <c r="T272" s="130">
        <v>0</v>
      </c>
    </row>
    <row r="273" spans="1:20" x14ac:dyDescent="0.3">
      <c r="A273" s="17" t="s">
        <v>38</v>
      </c>
      <c r="B273" s="172" t="s">
        <v>208</v>
      </c>
      <c r="C273" s="173"/>
      <c r="D273" s="173"/>
      <c r="E273" s="173"/>
      <c r="F273" s="173"/>
      <c r="H273" s="17" t="s">
        <v>38</v>
      </c>
      <c r="I273" s="172" t="s">
        <v>1509</v>
      </c>
      <c r="J273" s="173"/>
      <c r="K273" s="173"/>
      <c r="L273" s="173"/>
      <c r="M273" s="173"/>
      <c r="O273" s="17" t="s">
        <v>38</v>
      </c>
      <c r="P273" s="172"/>
      <c r="Q273" s="173"/>
      <c r="R273" s="173"/>
      <c r="S273" s="173"/>
      <c r="T273" s="173"/>
    </row>
    <row r="274" spans="1:20" ht="19.8" x14ac:dyDescent="0.3">
      <c r="A274" s="171">
        <v>46098</v>
      </c>
      <c r="B274" s="171"/>
      <c r="C274" s="171"/>
      <c r="D274" s="171"/>
      <c r="E274" s="171"/>
      <c r="F274" s="171"/>
      <c r="H274" s="171">
        <v>46128</v>
      </c>
      <c r="I274" s="174"/>
      <c r="J274" s="174"/>
      <c r="K274" s="174"/>
      <c r="L274" s="174"/>
      <c r="M274" s="174"/>
      <c r="O274" s="171">
        <v>46160</v>
      </c>
      <c r="P274" s="171"/>
      <c r="Q274" s="171"/>
      <c r="R274" s="171"/>
      <c r="S274" s="171"/>
      <c r="T274" s="171"/>
    </row>
    <row r="275" spans="1:20" x14ac:dyDescent="0.3">
      <c r="A275" s="1" t="s">
        <v>0</v>
      </c>
      <c r="B275" s="1" t="s">
        <v>1</v>
      </c>
      <c r="C275" s="1" t="s">
        <v>2</v>
      </c>
      <c r="D275" s="1" t="s">
        <v>760</v>
      </c>
      <c r="E275" s="1" t="s">
        <v>40</v>
      </c>
      <c r="F275" s="1" t="s">
        <v>4</v>
      </c>
      <c r="H275" s="1" t="s">
        <v>0</v>
      </c>
      <c r="I275" s="1" t="s">
        <v>1</v>
      </c>
      <c r="J275" s="1" t="s">
        <v>2</v>
      </c>
      <c r="K275" s="1" t="s">
        <v>760</v>
      </c>
      <c r="L275" s="1" t="s">
        <v>40</v>
      </c>
      <c r="M275" s="1" t="s">
        <v>4</v>
      </c>
      <c r="O275" s="1" t="s">
        <v>0</v>
      </c>
      <c r="P275" s="1" t="s">
        <v>1</v>
      </c>
      <c r="Q275" s="1" t="s">
        <v>2</v>
      </c>
      <c r="R275" s="1" t="s">
        <v>760</v>
      </c>
      <c r="S275" s="1" t="s">
        <v>40</v>
      </c>
      <c r="T275" s="1" t="s">
        <v>4</v>
      </c>
    </row>
    <row r="276" spans="1:20" x14ac:dyDescent="0.3">
      <c r="A276" s="2" t="s">
        <v>5</v>
      </c>
      <c r="B276" s="3">
        <v>287</v>
      </c>
      <c r="C276" s="3">
        <v>105</v>
      </c>
      <c r="D276" s="3">
        <v>0</v>
      </c>
      <c r="E276" s="3">
        <v>99</v>
      </c>
      <c r="F276" s="3">
        <v>83</v>
      </c>
      <c r="H276" s="2" t="s">
        <v>5</v>
      </c>
      <c r="I276" s="3">
        <v>3581</v>
      </c>
      <c r="J276" s="3">
        <v>1257</v>
      </c>
      <c r="K276" s="3">
        <v>0</v>
      </c>
      <c r="L276" s="3">
        <v>1204</v>
      </c>
      <c r="M276" s="3">
        <v>1120</v>
      </c>
      <c r="O276" s="2" t="s">
        <v>5</v>
      </c>
      <c r="P276" s="3">
        <v>3365</v>
      </c>
      <c r="Q276" s="3">
        <v>1305</v>
      </c>
      <c r="R276" s="3">
        <v>0</v>
      </c>
      <c r="S276" s="3">
        <v>1149</v>
      </c>
      <c r="T276" s="3">
        <v>911</v>
      </c>
    </row>
    <row r="277" spans="1:20" x14ac:dyDescent="0.3">
      <c r="A277" s="2" t="s">
        <v>6</v>
      </c>
      <c r="B277" s="3">
        <v>18</v>
      </c>
      <c r="C277" s="5">
        <v>9</v>
      </c>
      <c r="D277" s="3">
        <v>0</v>
      </c>
      <c r="E277" s="4">
        <v>4</v>
      </c>
      <c r="F277" s="6">
        <v>5</v>
      </c>
      <c r="H277" s="2" t="s">
        <v>6</v>
      </c>
      <c r="I277" s="3">
        <v>376</v>
      </c>
      <c r="J277" s="4">
        <v>107</v>
      </c>
      <c r="K277" s="3">
        <v>0</v>
      </c>
      <c r="L277" s="5">
        <v>146</v>
      </c>
      <c r="M277" s="6">
        <v>123</v>
      </c>
      <c r="O277" s="2" t="s">
        <v>6</v>
      </c>
      <c r="P277" s="3">
        <v>24</v>
      </c>
      <c r="Q277" s="6">
        <v>8</v>
      </c>
      <c r="R277" s="3">
        <v>0</v>
      </c>
      <c r="S277" s="5">
        <v>12</v>
      </c>
      <c r="T277" s="4">
        <v>4</v>
      </c>
    </row>
    <row r="278" spans="1:20" x14ac:dyDescent="0.3">
      <c r="A278" s="2" t="s">
        <v>7</v>
      </c>
      <c r="B278" s="3" t="s">
        <v>668</v>
      </c>
      <c r="C278" s="5" t="s">
        <v>669</v>
      </c>
      <c r="D278" s="3">
        <v>0</v>
      </c>
      <c r="E278" s="4" t="s">
        <v>670</v>
      </c>
      <c r="F278" s="6" t="s">
        <v>303</v>
      </c>
      <c r="H278" s="2" t="s">
        <v>7</v>
      </c>
      <c r="I278" s="3" t="s">
        <v>829</v>
      </c>
      <c r="J278" s="4" t="s">
        <v>242</v>
      </c>
      <c r="K278" s="3">
        <v>0</v>
      </c>
      <c r="L278" s="5" t="s">
        <v>1520</v>
      </c>
      <c r="M278" s="6" t="s">
        <v>1521</v>
      </c>
      <c r="O278" s="2" t="s">
        <v>7</v>
      </c>
      <c r="P278" s="3" t="s">
        <v>62</v>
      </c>
      <c r="Q278" s="6" t="s">
        <v>551</v>
      </c>
      <c r="R278" s="3">
        <v>0</v>
      </c>
      <c r="S278" s="5" t="s">
        <v>506</v>
      </c>
      <c r="T278" s="4" t="s">
        <v>119</v>
      </c>
    </row>
    <row r="279" spans="1:20" x14ac:dyDescent="0.3">
      <c r="A279" s="2" t="s">
        <v>12</v>
      </c>
      <c r="B279" s="3" t="s">
        <v>533</v>
      </c>
      <c r="C279" s="4" t="s">
        <v>537</v>
      </c>
      <c r="D279" s="3">
        <v>0</v>
      </c>
      <c r="E279" s="6" t="s">
        <v>670</v>
      </c>
      <c r="F279" s="5" t="s">
        <v>303</v>
      </c>
      <c r="H279" s="2" t="s">
        <v>12</v>
      </c>
      <c r="I279" s="3" t="s">
        <v>465</v>
      </c>
      <c r="J279" s="4" t="s">
        <v>922</v>
      </c>
      <c r="K279" s="3">
        <v>0</v>
      </c>
      <c r="L279" s="5" t="s">
        <v>1522</v>
      </c>
      <c r="M279" s="6" t="s">
        <v>1521</v>
      </c>
      <c r="O279" s="2" t="s">
        <v>12</v>
      </c>
      <c r="P279" s="3" t="s">
        <v>83</v>
      </c>
      <c r="Q279" s="6" t="s">
        <v>317</v>
      </c>
      <c r="R279" s="3">
        <v>0</v>
      </c>
      <c r="S279" s="5" t="s">
        <v>506</v>
      </c>
      <c r="T279" s="4" t="s">
        <v>119</v>
      </c>
    </row>
    <row r="280" spans="1:20" x14ac:dyDescent="0.3">
      <c r="A280" s="2" t="s">
        <v>17</v>
      </c>
      <c r="B280" s="3" t="s">
        <v>25</v>
      </c>
      <c r="C280" s="3" t="s">
        <v>25</v>
      </c>
      <c r="D280" s="3" t="s">
        <v>25</v>
      </c>
      <c r="E280" s="3" t="s">
        <v>25</v>
      </c>
      <c r="F280" s="3" t="s">
        <v>25</v>
      </c>
      <c r="H280" s="2" t="s">
        <v>17</v>
      </c>
      <c r="I280" s="3" t="s">
        <v>49</v>
      </c>
      <c r="J280" s="4" t="s">
        <v>309</v>
      </c>
      <c r="K280" s="3" t="s">
        <v>25</v>
      </c>
      <c r="L280" s="5" t="s">
        <v>108</v>
      </c>
      <c r="M280" s="6" t="s">
        <v>84</v>
      </c>
      <c r="O280" s="2" t="s">
        <v>17</v>
      </c>
      <c r="P280" s="3" t="s">
        <v>268</v>
      </c>
      <c r="Q280" s="5" t="s">
        <v>121</v>
      </c>
      <c r="R280" s="3" t="s">
        <v>25</v>
      </c>
      <c r="S280" s="3" t="s">
        <v>25</v>
      </c>
      <c r="T280" s="3" t="s">
        <v>25</v>
      </c>
    </row>
    <row r="281" spans="1:20" x14ac:dyDescent="0.3">
      <c r="A281" s="2" t="s">
        <v>22</v>
      </c>
      <c r="B281" s="3" t="s">
        <v>25</v>
      </c>
      <c r="C281" s="3" t="s">
        <v>25</v>
      </c>
      <c r="D281" s="3" t="s">
        <v>25</v>
      </c>
      <c r="E281" s="3" t="s">
        <v>25</v>
      </c>
      <c r="F281" s="3" t="s">
        <v>25</v>
      </c>
      <c r="H281" s="2" t="s">
        <v>22</v>
      </c>
      <c r="I281" s="3" t="s">
        <v>268</v>
      </c>
      <c r="J281" s="3" t="s">
        <v>25</v>
      </c>
      <c r="K281" s="3" t="s">
        <v>25</v>
      </c>
      <c r="L281" s="5" t="s">
        <v>108</v>
      </c>
      <c r="M281" s="3" t="s">
        <v>25</v>
      </c>
      <c r="O281" s="2" t="s">
        <v>22</v>
      </c>
      <c r="P281" s="3" t="s">
        <v>268</v>
      </c>
      <c r="Q281" s="5" t="s">
        <v>121</v>
      </c>
      <c r="R281" s="3" t="s">
        <v>25</v>
      </c>
      <c r="S281" s="3" t="s">
        <v>25</v>
      </c>
      <c r="T281" s="3" t="s">
        <v>25</v>
      </c>
    </row>
    <row r="282" spans="1:20" x14ac:dyDescent="0.3">
      <c r="A282" s="7" t="s">
        <v>26</v>
      </c>
      <c r="B282" s="8">
        <v>11</v>
      </c>
      <c r="C282" s="8">
        <v>2</v>
      </c>
      <c r="D282" s="8">
        <v>0</v>
      </c>
      <c r="E282" s="8">
        <v>4</v>
      </c>
      <c r="F282" s="8">
        <v>5</v>
      </c>
      <c r="H282" s="7" t="s">
        <v>26</v>
      </c>
      <c r="I282" s="8">
        <v>373</v>
      </c>
      <c r="J282" s="8">
        <v>106</v>
      </c>
      <c r="K282" s="8">
        <v>0</v>
      </c>
      <c r="L282" s="8">
        <v>144</v>
      </c>
      <c r="M282" s="8">
        <v>123</v>
      </c>
      <c r="O282" s="7" t="s">
        <v>26</v>
      </c>
      <c r="P282" s="8">
        <v>22</v>
      </c>
      <c r="Q282" s="8">
        <v>6</v>
      </c>
      <c r="R282" s="8">
        <v>0</v>
      </c>
      <c r="S282" s="8">
        <v>12</v>
      </c>
      <c r="T282" s="8">
        <v>4</v>
      </c>
    </row>
    <row r="283" spans="1:20" x14ac:dyDescent="0.3">
      <c r="A283" s="9" t="s">
        <v>27</v>
      </c>
      <c r="B283" s="10">
        <v>1</v>
      </c>
      <c r="C283" s="10">
        <v>1</v>
      </c>
      <c r="D283" s="10">
        <v>0</v>
      </c>
      <c r="E283" s="10">
        <v>0</v>
      </c>
      <c r="F283" s="10">
        <v>0</v>
      </c>
      <c r="H283" s="9" t="s">
        <v>27</v>
      </c>
      <c r="I283" s="10">
        <v>76</v>
      </c>
      <c r="J283" s="10">
        <v>20</v>
      </c>
      <c r="K283" s="10">
        <v>0</v>
      </c>
      <c r="L283" s="10">
        <v>31</v>
      </c>
      <c r="M283" s="10">
        <v>25</v>
      </c>
      <c r="O283" s="9" t="s">
        <v>27</v>
      </c>
      <c r="P283" s="10">
        <v>8</v>
      </c>
      <c r="Q283" s="10">
        <v>4</v>
      </c>
      <c r="R283" s="10">
        <v>0</v>
      </c>
      <c r="S283" s="10">
        <v>2</v>
      </c>
      <c r="T283" s="10">
        <v>2</v>
      </c>
    </row>
    <row r="284" spans="1:20" x14ac:dyDescent="0.3">
      <c r="A284" s="9" t="s">
        <v>28</v>
      </c>
      <c r="B284" s="10">
        <v>2</v>
      </c>
      <c r="C284" s="10">
        <v>0</v>
      </c>
      <c r="D284" s="10">
        <v>0</v>
      </c>
      <c r="E284" s="10">
        <v>0</v>
      </c>
      <c r="F284" s="10">
        <v>2</v>
      </c>
      <c r="H284" s="9" t="s">
        <v>28</v>
      </c>
      <c r="I284" s="10">
        <v>18</v>
      </c>
      <c r="J284" s="10">
        <v>6</v>
      </c>
      <c r="K284" s="10">
        <v>0</v>
      </c>
      <c r="L284" s="10">
        <v>5</v>
      </c>
      <c r="M284" s="10">
        <v>7</v>
      </c>
      <c r="O284" s="9" t="s">
        <v>28</v>
      </c>
      <c r="P284" s="10">
        <v>10</v>
      </c>
      <c r="Q284" s="10">
        <v>1</v>
      </c>
      <c r="R284" s="10">
        <v>0</v>
      </c>
      <c r="S284" s="10">
        <v>7</v>
      </c>
      <c r="T284" s="10">
        <v>2</v>
      </c>
    </row>
    <row r="285" spans="1:20" x14ac:dyDescent="0.3">
      <c r="A285" s="9" t="s">
        <v>29</v>
      </c>
      <c r="B285" s="10">
        <v>5</v>
      </c>
      <c r="C285" s="10">
        <v>1</v>
      </c>
      <c r="D285" s="10">
        <v>0</v>
      </c>
      <c r="E285" s="10">
        <v>1</v>
      </c>
      <c r="F285" s="10">
        <v>3</v>
      </c>
      <c r="H285" s="9" t="s">
        <v>29</v>
      </c>
      <c r="I285" s="10">
        <v>58</v>
      </c>
      <c r="J285" s="10">
        <v>16</v>
      </c>
      <c r="K285" s="10">
        <v>0</v>
      </c>
      <c r="L285" s="10">
        <v>11</v>
      </c>
      <c r="M285" s="10">
        <v>31</v>
      </c>
      <c r="O285" s="9" t="s">
        <v>29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</row>
    <row r="286" spans="1:20" x14ac:dyDescent="0.3">
      <c r="A286" s="9" t="s">
        <v>30</v>
      </c>
      <c r="B286" s="10">
        <v>3</v>
      </c>
      <c r="C286" s="10">
        <v>0</v>
      </c>
      <c r="D286" s="10">
        <v>0</v>
      </c>
      <c r="E286" s="10">
        <v>3</v>
      </c>
      <c r="F286" s="10">
        <v>0</v>
      </c>
      <c r="H286" s="9" t="s">
        <v>30</v>
      </c>
      <c r="I286" s="10">
        <v>221</v>
      </c>
      <c r="J286" s="10">
        <v>64</v>
      </c>
      <c r="K286" s="10">
        <v>0</v>
      </c>
      <c r="L286" s="10">
        <v>97</v>
      </c>
      <c r="M286" s="10">
        <v>60</v>
      </c>
      <c r="O286" s="9" t="s">
        <v>30</v>
      </c>
      <c r="P286" s="10">
        <v>4</v>
      </c>
      <c r="Q286" s="10">
        <v>1</v>
      </c>
      <c r="R286" s="10">
        <v>0</v>
      </c>
      <c r="S286" s="10">
        <v>3</v>
      </c>
      <c r="T286" s="10">
        <v>0</v>
      </c>
    </row>
    <row r="287" spans="1:20" x14ac:dyDescent="0.3">
      <c r="A287" s="9" t="s">
        <v>31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H287" s="9" t="s">
        <v>31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O287" s="9" t="s">
        <v>31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</row>
    <row r="288" spans="1:20" x14ac:dyDescent="0.3">
      <c r="A288" s="11" t="s">
        <v>32</v>
      </c>
      <c r="B288" s="12">
        <v>0</v>
      </c>
      <c r="C288" s="12">
        <v>0</v>
      </c>
      <c r="D288" s="12">
        <v>0</v>
      </c>
      <c r="E288" s="12">
        <v>0</v>
      </c>
      <c r="F288" s="12">
        <v>0</v>
      </c>
      <c r="H288" s="11" t="s">
        <v>32</v>
      </c>
      <c r="I288" s="12">
        <v>4</v>
      </c>
      <c r="J288" s="12">
        <v>1</v>
      </c>
      <c r="K288" s="12">
        <v>0</v>
      </c>
      <c r="L288" s="12">
        <v>2</v>
      </c>
      <c r="M288" s="12">
        <v>1</v>
      </c>
      <c r="O288" s="11" t="s">
        <v>32</v>
      </c>
      <c r="P288" s="12">
        <v>2</v>
      </c>
      <c r="Q288" s="12">
        <v>2</v>
      </c>
      <c r="R288" s="12">
        <v>0</v>
      </c>
      <c r="S288" s="12">
        <v>0</v>
      </c>
      <c r="T288" s="12">
        <v>0</v>
      </c>
    </row>
    <row r="289" spans="1:20" x14ac:dyDescent="0.3">
      <c r="A289" s="13" t="s">
        <v>33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H289" s="13" t="s">
        <v>33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O289" s="13" t="s">
        <v>33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</row>
    <row r="290" spans="1:20" x14ac:dyDescent="0.3">
      <c r="A290" s="13" t="s">
        <v>34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H290" s="13" t="s">
        <v>34</v>
      </c>
      <c r="I290" s="14">
        <v>4</v>
      </c>
      <c r="J290" s="14">
        <v>1</v>
      </c>
      <c r="K290" s="14">
        <v>0</v>
      </c>
      <c r="L290" s="14">
        <v>2</v>
      </c>
      <c r="M290" s="14">
        <v>1</v>
      </c>
      <c r="O290" s="13" t="s">
        <v>34</v>
      </c>
      <c r="P290" s="14">
        <v>2</v>
      </c>
      <c r="Q290" s="14">
        <v>2</v>
      </c>
      <c r="R290" s="14">
        <v>0</v>
      </c>
      <c r="S290" s="14">
        <v>0</v>
      </c>
      <c r="T290" s="14">
        <v>0</v>
      </c>
    </row>
    <row r="291" spans="1:20" x14ac:dyDescent="0.3">
      <c r="A291" s="15" t="s">
        <v>35</v>
      </c>
      <c r="B291" s="16">
        <v>0</v>
      </c>
      <c r="C291" s="16">
        <v>0</v>
      </c>
      <c r="D291" s="16">
        <v>0</v>
      </c>
      <c r="E291" s="16">
        <v>0</v>
      </c>
      <c r="F291" s="16">
        <v>0</v>
      </c>
      <c r="H291" s="15" t="s">
        <v>35</v>
      </c>
      <c r="I291" s="16">
        <v>2</v>
      </c>
      <c r="J291" s="16">
        <v>0</v>
      </c>
      <c r="K291" s="16">
        <v>0</v>
      </c>
      <c r="L291" s="16">
        <v>2</v>
      </c>
      <c r="M291" s="16">
        <v>0</v>
      </c>
      <c r="O291" s="15" t="s">
        <v>35</v>
      </c>
      <c r="P291" s="16">
        <v>2</v>
      </c>
      <c r="Q291" s="16">
        <v>2</v>
      </c>
      <c r="R291" s="16">
        <v>0</v>
      </c>
      <c r="S291" s="16">
        <v>0</v>
      </c>
      <c r="T291" s="16">
        <v>0</v>
      </c>
    </row>
    <row r="292" spans="1:20" x14ac:dyDescent="0.3">
      <c r="A292" s="17" t="s">
        <v>36</v>
      </c>
      <c r="B292" s="18">
        <v>0</v>
      </c>
      <c r="C292" s="18">
        <v>0</v>
      </c>
      <c r="D292" s="18">
        <v>0</v>
      </c>
      <c r="E292" s="18">
        <v>0</v>
      </c>
      <c r="F292" s="18">
        <v>0</v>
      </c>
      <c r="H292" s="17" t="s">
        <v>36</v>
      </c>
      <c r="I292" s="88">
        <v>2</v>
      </c>
      <c r="J292" s="88">
        <v>0</v>
      </c>
      <c r="K292" s="99">
        <v>0</v>
      </c>
      <c r="L292" s="88">
        <v>2</v>
      </c>
      <c r="M292" s="88">
        <v>0</v>
      </c>
      <c r="O292" s="17" t="s">
        <v>36</v>
      </c>
      <c r="P292" s="130">
        <v>2</v>
      </c>
      <c r="Q292" s="130">
        <v>2</v>
      </c>
      <c r="R292" s="130">
        <v>0</v>
      </c>
      <c r="S292" s="130">
        <v>0</v>
      </c>
      <c r="T292" s="130">
        <v>0</v>
      </c>
    </row>
    <row r="293" spans="1:20" x14ac:dyDescent="0.3">
      <c r="A293" s="17" t="s">
        <v>37</v>
      </c>
      <c r="B293" s="18">
        <v>0</v>
      </c>
      <c r="C293" s="18">
        <v>0</v>
      </c>
      <c r="D293" s="18">
        <v>0</v>
      </c>
      <c r="E293" s="18">
        <v>0</v>
      </c>
      <c r="F293" s="18">
        <v>0</v>
      </c>
      <c r="H293" s="17" t="s">
        <v>37</v>
      </c>
      <c r="I293" s="88">
        <v>0</v>
      </c>
      <c r="J293" s="88">
        <v>0</v>
      </c>
      <c r="K293" s="99">
        <v>0</v>
      </c>
      <c r="L293" s="88">
        <v>0</v>
      </c>
      <c r="M293" s="88">
        <v>0</v>
      </c>
      <c r="O293" s="17" t="s">
        <v>37</v>
      </c>
      <c r="P293" s="130">
        <v>0</v>
      </c>
      <c r="Q293" s="130">
        <v>0</v>
      </c>
      <c r="R293" s="130">
        <v>0</v>
      </c>
      <c r="S293" s="130">
        <v>0</v>
      </c>
      <c r="T293" s="130">
        <v>0</v>
      </c>
    </row>
    <row r="294" spans="1:20" x14ac:dyDescent="0.3">
      <c r="A294" s="17" t="s">
        <v>38</v>
      </c>
      <c r="B294" s="172" t="s">
        <v>671</v>
      </c>
      <c r="C294" s="173"/>
      <c r="D294" s="173"/>
      <c r="E294" s="173"/>
      <c r="F294" s="173"/>
      <c r="H294" s="17" t="s">
        <v>38</v>
      </c>
      <c r="I294" s="172" t="s">
        <v>1509</v>
      </c>
      <c r="J294" s="173"/>
      <c r="K294" s="173"/>
      <c r="L294" s="173"/>
      <c r="M294" s="173"/>
      <c r="O294" s="17" t="s">
        <v>38</v>
      </c>
      <c r="P294" s="172" t="s">
        <v>1934</v>
      </c>
      <c r="Q294" s="173"/>
      <c r="R294" s="173"/>
      <c r="S294" s="173"/>
      <c r="T294" s="173"/>
    </row>
    <row r="295" spans="1:20" ht="19.8" x14ac:dyDescent="0.3">
      <c r="A295" s="171">
        <v>46105</v>
      </c>
      <c r="B295" s="171"/>
      <c r="C295" s="171"/>
      <c r="D295" s="171"/>
      <c r="E295" s="171"/>
      <c r="F295" s="171"/>
      <c r="H295" s="171">
        <v>46129</v>
      </c>
      <c r="I295" s="171"/>
      <c r="J295" s="171"/>
      <c r="K295" s="171"/>
      <c r="L295" s="171"/>
      <c r="M295" s="171"/>
      <c r="O295" s="171">
        <v>46161</v>
      </c>
      <c r="P295" s="171"/>
      <c r="Q295" s="171"/>
      <c r="R295" s="171"/>
      <c r="S295" s="171"/>
      <c r="T295" s="171"/>
    </row>
    <row r="296" spans="1:20" x14ac:dyDescent="0.3">
      <c r="A296" s="1" t="s">
        <v>0</v>
      </c>
      <c r="B296" s="1" t="s">
        <v>1</v>
      </c>
      <c r="C296" s="1" t="s">
        <v>2</v>
      </c>
      <c r="D296" s="1" t="s">
        <v>760</v>
      </c>
      <c r="E296" s="1" t="s">
        <v>40</v>
      </c>
      <c r="F296" s="1" t="s">
        <v>4</v>
      </c>
      <c r="H296" s="1" t="s">
        <v>0</v>
      </c>
      <c r="I296" s="1" t="s">
        <v>1</v>
      </c>
      <c r="J296" s="1" t="s">
        <v>2</v>
      </c>
      <c r="K296" s="1" t="s">
        <v>760</v>
      </c>
      <c r="L296" s="1" t="s">
        <v>40</v>
      </c>
      <c r="M296" s="1" t="s">
        <v>4</v>
      </c>
      <c r="O296" s="1" t="s">
        <v>0</v>
      </c>
      <c r="P296" s="1" t="s">
        <v>1</v>
      </c>
      <c r="Q296" s="1" t="s">
        <v>2</v>
      </c>
      <c r="R296" s="1" t="s">
        <v>760</v>
      </c>
      <c r="S296" s="1" t="s">
        <v>40</v>
      </c>
      <c r="T296" s="1" t="s">
        <v>4</v>
      </c>
    </row>
    <row r="297" spans="1:20" x14ac:dyDescent="0.3">
      <c r="A297" s="2" t="s">
        <v>5</v>
      </c>
      <c r="B297" s="3">
        <v>2418</v>
      </c>
      <c r="C297" s="3">
        <v>931</v>
      </c>
      <c r="D297" s="3">
        <v>0</v>
      </c>
      <c r="E297" s="3">
        <v>819</v>
      </c>
      <c r="F297" s="3">
        <v>668</v>
      </c>
      <c r="H297" s="2" t="s">
        <v>5</v>
      </c>
      <c r="I297" s="3">
        <v>3447</v>
      </c>
      <c r="J297" s="3">
        <v>1216</v>
      </c>
      <c r="K297" s="3">
        <v>0</v>
      </c>
      <c r="L297" s="3">
        <v>1263</v>
      </c>
      <c r="M297" s="3">
        <v>968</v>
      </c>
      <c r="O297" s="2" t="s">
        <v>5</v>
      </c>
      <c r="P297" s="3">
        <v>2245</v>
      </c>
      <c r="Q297" s="3">
        <v>815</v>
      </c>
      <c r="R297" s="3">
        <v>0</v>
      </c>
      <c r="S297" s="3">
        <v>728</v>
      </c>
      <c r="T297" s="3">
        <v>702</v>
      </c>
    </row>
    <row r="298" spans="1:20" x14ac:dyDescent="0.3">
      <c r="A298" s="2" t="s">
        <v>6</v>
      </c>
      <c r="B298" s="3">
        <v>95</v>
      </c>
      <c r="C298" s="6">
        <v>34</v>
      </c>
      <c r="D298" s="3">
        <v>0</v>
      </c>
      <c r="E298" s="4">
        <v>26</v>
      </c>
      <c r="F298" s="5">
        <v>35</v>
      </c>
      <c r="H298" s="2" t="s">
        <v>6</v>
      </c>
      <c r="I298" s="3">
        <v>330</v>
      </c>
      <c r="J298" s="6">
        <v>115</v>
      </c>
      <c r="K298" s="3">
        <v>0</v>
      </c>
      <c r="L298" s="5">
        <v>117</v>
      </c>
      <c r="M298" s="4">
        <v>98</v>
      </c>
      <c r="O298" s="2" t="s">
        <v>6</v>
      </c>
      <c r="P298" s="3">
        <v>20</v>
      </c>
      <c r="Q298" s="6">
        <v>6</v>
      </c>
      <c r="R298" s="3">
        <v>0</v>
      </c>
      <c r="S298" s="5">
        <v>9</v>
      </c>
      <c r="T298" s="4">
        <v>5</v>
      </c>
    </row>
    <row r="299" spans="1:20" x14ac:dyDescent="0.3">
      <c r="A299" s="2" t="s">
        <v>7</v>
      </c>
      <c r="B299" s="3" t="s">
        <v>927</v>
      </c>
      <c r="C299" s="6" t="s">
        <v>195</v>
      </c>
      <c r="D299" s="3">
        <v>0</v>
      </c>
      <c r="E299" s="4" t="s">
        <v>392</v>
      </c>
      <c r="F299" s="5" t="s">
        <v>386</v>
      </c>
      <c r="H299" s="2" t="s">
        <v>7</v>
      </c>
      <c r="I299" s="3" t="s">
        <v>1494</v>
      </c>
      <c r="J299" s="6" t="s">
        <v>1401</v>
      </c>
      <c r="K299" s="3">
        <v>0</v>
      </c>
      <c r="L299" s="4" t="s">
        <v>1539</v>
      </c>
      <c r="M299" s="5" t="s">
        <v>1540</v>
      </c>
      <c r="O299" s="2" t="s">
        <v>7</v>
      </c>
      <c r="P299" s="3" t="s">
        <v>86</v>
      </c>
      <c r="Q299" s="6" t="s">
        <v>80</v>
      </c>
      <c r="R299" s="3">
        <v>0</v>
      </c>
      <c r="S299" s="5" t="s">
        <v>1255</v>
      </c>
      <c r="T299" s="4" t="s">
        <v>62</v>
      </c>
    </row>
    <row r="300" spans="1:20" x14ac:dyDescent="0.3">
      <c r="A300" s="2" t="s">
        <v>12</v>
      </c>
      <c r="B300" s="3" t="s">
        <v>104</v>
      </c>
      <c r="C300" s="6" t="s">
        <v>890</v>
      </c>
      <c r="D300" s="3">
        <v>0</v>
      </c>
      <c r="E300" s="4" t="s">
        <v>392</v>
      </c>
      <c r="F300" s="5" t="s">
        <v>386</v>
      </c>
      <c r="H300" s="2" t="s">
        <v>12</v>
      </c>
      <c r="I300" s="3" t="s">
        <v>664</v>
      </c>
      <c r="J300" s="6" t="s">
        <v>530</v>
      </c>
      <c r="K300" s="3">
        <v>0</v>
      </c>
      <c r="L300" s="4" t="s">
        <v>1541</v>
      </c>
      <c r="M300" s="5" t="s">
        <v>1540</v>
      </c>
      <c r="O300" s="2" t="s">
        <v>12</v>
      </c>
      <c r="P300" s="3" t="s">
        <v>86</v>
      </c>
      <c r="Q300" s="6" t="s">
        <v>80</v>
      </c>
      <c r="R300" s="3">
        <v>0</v>
      </c>
      <c r="S300" s="5" t="s">
        <v>1255</v>
      </c>
      <c r="T300" s="4" t="s">
        <v>62</v>
      </c>
    </row>
    <row r="301" spans="1:20" x14ac:dyDescent="0.3">
      <c r="A301" s="2" t="s">
        <v>17</v>
      </c>
      <c r="B301" s="3" t="s">
        <v>50</v>
      </c>
      <c r="C301" s="4" t="s">
        <v>77</v>
      </c>
      <c r="D301" s="3" t="s">
        <v>25</v>
      </c>
      <c r="E301" s="5" t="s">
        <v>300</v>
      </c>
      <c r="F301" s="6" t="s">
        <v>174</v>
      </c>
      <c r="H301" s="2" t="s">
        <v>17</v>
      </c>
      <c r="I301" s="3" t="s">
        <v>84</v>
      </c>
      <c r="J301" s="5" t="s">
        <v>154</v>
      </c>
      <c r="K301" s="3" t="s">
        <v>25</v>
      </c>
      <c r="L301" s="6" t="s">
        <v>309</v>
      </c>
      <c r="M301" s="3" t="s">
        <v>25</v>
      </c>
      <c r="O301" s="2" t="s">
        <v>17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 x14ac:dyDescent="0.3">
      <c r="A302" s="2" t="s">
        <v>22</v>
      </c>
      <c r="B302" s="3" t="s">
        <v>25</v>
      </c>
      <c r="C302" s="3" t="s">
        <v>25</v>
      </c>
      <c r="D302" s="3" t="s">
        <v>25</v>
      </c>
      <c r="E302" s="3" t="s">
        <v>25</v>
      </c>
      <c r="F302" s="3" t="s">
        <v>25</v>
      </c>
      <c r="H302" s="2" t="s">
        <v>22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O302" s="2" t="s">
        <v>22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 x14ac:dyDescent="0.3">
      <c r="A303" s="7" t="s">
        <v>26</v>
      </c>
      <c r="B303" s="8">
        <v>93</v>
      </c>
      <c r="C303" s="8">
        <v>32</v>
      </c>
      <c r="D303" s="8">
        <v>0</v>
      </c>
      <c r="E303" s="8">
        <v>26</v>
      </c>
      <c r="F303" s="8">
        <v>35</v>
      </c>
      <c r="H303" s="7" t="s">
        <v>26</v>
      </c>
      <c r="I303" s="8">
        <v>327</v>
      </c>
      <c r="J303" s="8">
        <v>113</v>
      </c>
      <c r="K303" s="8">
        <v>0</v>
      </c>
      <c r="L303" s="8">
        <v>116</v>
      </c>
      <c r="M303" s="8">
        <v>98</v>
      </c>
      <c r="O303" s="7" t="s">
        <v>26</v>
      </c>
      <c r="P303" s="8">
        <v>20</v>
      </c>
      <c r="Q303" s="8">
        <v>6</v>
      </c>
      <c r="R303" s="8">
        <v>0</v>
      </c>
      <c r="S303" s="8">
        <v>9</v>
      </c>
      <c r="T303" s="8">
        <v>5</v>
      </c>
    </row>
    <row r="304" spans="1:20" x14ac:dyDescent="0.3">
      <c r="A304" s="9" t="s">
        <v>27</v>
      </c>
      <c r="B304" s="10">
        <v>6</v>
      </c>
      <c r="C304" s="10">
        <v>2</v>
      </c>
      <c r="D304" s="10">
        <v>0</v>
      </c>
      <c r="E304" s="10">
        <v>2</v>
      </c>
      <c r="F304" s="10">
        <v>2</v>
      </c>
      <c r="H304" s="9" t="s">
        <v>27</v>
      </c>
      <c r="I304" s="10">
        <v>45</v>
      </c>
      <c r="J304" s="10">
        <v>17</v>
      </c>
      <c r="K304" s="10">
        <v>0</v>
      </c>
      <c r="L304" s="10">
        <v>16</v>
      </c>
      <c r="M304" s="10">
        <v>12</v>
      </c>
      <c r="O304" s="9" t="s">
        <v>27</v>
      </c>
      <c r="P304" s="10">
        <v>13</v>
      </c>
      <c r="Q304" s="10">
        <v>3</v>
      </c>
      <c r="R304" s="10">
        <v>0</v>
      </c>
      <c r="S304" s="10">
        <v>6</v>
      </c>
      <c r="T304" s="10">
        <v>4</v>
      </c>
    </row>
    <row r="305" spans="1:20" x14ac:dyDescent="0.3">
      <c r="A305" s="9" t="s">
        <v>28</v>
      </c>
      <c r="B305" s="10">
        <v>5</v>
      </c>
      <c r="C305" s="10">
        <v>1</v>
      </c>
      <c r="D305" s="10">
        <v>0</v>
      </c>
      <c r="E305" s="10">
        <v>1</v>
      </c>
      <c r="F305" s="10">
        <v>3</v>
      </c>
      <c r="H305" s="9" t="s">
        <v>28</v>
      </c>
      <c r="I305" s="10">
        <v>18</v>
      </c>
      <c r="J305" s="10">
        <v>6</v>
      </c>
      <c r="K305" s="10">
        <v>0</v>
      </c>
      <c r="L305" s="10">
        <v>6</v>
      </c>
      <c r="M305" s="10">
        <v>6</v>
      </c>
      <c r="O305" s="9" t="s">
        <v>28</v>
      </c>
      <c r="P305" s="10">
        <v>4</v>
      </c>
      <c r="Q305" s="10">
        <v>1</v>
      </c>
      <c r="R305" s="10">
        <v>0</v>
      </c>
      <c r="S305" s="10">
        <v>2</v>
      </c>
      <c r="T305" s="10">
        <v>1</v>
      </c>
    </row>
    <row r="306" spans="1:20" x14ac:dyDescent="0.3">
      <c r="A306" s="9" t="s">
        <v>29</v>
      </c>
      <c r="B306" s="10">
        <v>52</v>
      </c>
      <c r="C306" s="10">
        <v>14</v>
      </c>
      <c r="D306" s="10">
        <v>0</v>
      </c>
      <c r="E306" s="10">
        <v>12</v>
      </c>
      <c r="F306" s="10">
        <v>26</v>
      </c>
      <c r="H306" s="9" t="s">
        <v>29</v>
      </c>
      <c r="I306" s="10">
        <v>103</v>
      </c>
      <c r="J306" s="10">
        <v>35</v>
      </c>
      <c r="K306" s="10">
        <v>0</v>
      </c>
      <c r="L306" s="10">
        <v>29</v>
      </c>
      <c r="M306" s="10">
        <v>39</v>
      </c>
      <c r="O306" s="9" t="s">
        <v>29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</row>
    <row r="307" spans="1:20" x14ac:dyDescent="0.3">
      <c r="A307" s="9" t="s">
        <v>30</v>
      </c>
      <c r="B307" s="10">
        <v>30</v>
      </c>
      <c r="C307" s="10">
        <v>15</v>
      </c>
      <c r="D307" s="10">
        <v>0</v>
      </c>
      <c r="E307" s="10">
        <v>11</v>
      </c>
      <c r="F307" s="10">
        <v>4</v>
      </c>
      <c r="H307" s="9" t="s">
        <v>30</v>
      </c>
      <c r="I307" s="10">
        <v>161</v>
      </c>
      <c r="J307" s="10">
        <v>55</v>
      </c>
      <c r="K307" s="10">
        <v>0</v>
      </c>
      <c r="L307" s="10">
        <v>65</v>
      </c>
      <c r="M307" s="10">
        <v>41</v>
      </c>
      <c r="O307" s="9" t="s">
        <v>30</v>
      </c>
      <c r="P307" s="10">
        <v>3</v>
      </c>
      <c r="Q307" s="10">
        <v>2</v>
      </c>
      <c r="R307" s="10">
        <v>0</v>
      </c>
      <c r="S307" s="10">
        <v>1</v>
      </c>
      <c r="T307" s="10">
        <v>0</v>
      </c>
    </row>
    <row r="308" spans="1:20" x14ac:dyDescent="0.3">
      <c r="A308" s="9" t="s">
        <v>31</v>
      </c>
      <c r="B308" s="10">
        <v>0</v>
      </c>
      <c r="C308" s="10">
        <v>0</v>
      </c>
      <c r="D308" s="10">
        <v>0</v>
      </c>
      <c r="E308" s="10">
        <v>0</v>
      </c>
      <c r="F308" s="10">
        <v>0</v>
      </c>
      <c r="H308" s="9" t="s">
        <v>31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O308" s="9" t="s">
        <v>31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</row>
    <row r="309" spans="1:20" x14ac:dyDescent="0.3">
      <c r="A309" s="11" t="s">
        <v>32</v>
      </c>
      <c r="B309" s="12">
        <v>12</v>
      </c>
      <c r="C309" s="12">
        <v>2</v>
      </c>
      <c r="D309" s="12">
        <v>0</v>
      </c>
      <c r="E309" s="12">
        <v>6</v>
      </c>
      <c r="F309" s="12">
        <v>4</v>
      </c>
      <c r="H309" s="11" t="s">
        <v>32</v>
      </c>
      <c r="I309" s="12">
        <v>3</v>
      </c>
      <c r="J309" s="12">
        <v>2</v>
      </c>
      <c r="K309" s="12">
        <v>0</v>
      </c>
      <c r="L309" s="12">
        <v>1</v>
      </c>
      <c r="M309" s="12">
        <v>0</v>
      </c>
      <c r="O309" s="11" t="s">
        <v>32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</row>
    <row r="310" spans="1:20" x14ac:dyDescent="0.3">
      <c r="A310" s="13" t="s">
        <v>33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H310" s="13" t="s">
        <v>33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O310" s="13" t="s">
        <v>33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</row>
    <row r="311" spans="1:20" x14ac:dyDescent="0.3">
      <c r="A311" s="13" t="s">
        <v>34</v>
      </c>
      <c r="B311" s="14">
        <v>12</v>
      </c>
      <c r="C311" s="14">
        <v>2</v>
      </c>
      <c r="D311" s="14">
        <v>0</v>
      </c>
      <c r="E311" s="14">
        <v>6</v>
      </c>
      <c r="F311" s="14">
        <v>4</v>
      </c>
      <c r="H311" s="13" t="s">
        <v>34</v>
      </c>
      <c r="I311" s="14">
        <v>3</v>
      </c>
      <c r="J311" s="14">
        <v>2</v>
      </c>
      <c r="K311" s="14">
        <v>0</v>
      </c>
      <c r="L311" s="14">
        <v>1</v>
      </c>
      <c r="M311" s="14">
        <v>0</v>
      </c>
      <c r="O311" s="13" t="s">
        <v>34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</row>
    <row r="312" spans="1:20" x14ac:dyDescent="0.3">
      <c r="A312" s="15" t="s">
        <v>35</v>
      </c>
      <c r="B312" s="16">
        <v>0</v>
      </c>
      <c r="C312" s="16">
        <v>0</v>
      </c>
      <c r="D312" s="16">
        <v>0</v>
      </c>
      <c r="E312" s="16">
        <v>0</v>
      </c>
      <c r="F312" s="16">
        <v>0</v>
      </c>
      <c r="H312" s="15" t="s">
        <v>35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O312" s="15" t="s">
        <v>35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</row>
    <row r="313" spans="1:20" x14ac:dyDescent="0.3">
      <c r="A313" s="17" t="s">
        <v>36</v>
      </c>
      <c r="B313" s="18">
        <v>0</v>
      </c>
      <c r="C313" s="18">
        <v>0</v>
      </c>
      <c r="D313" s="19">
        <v>0</v>
      </c>
      <c r="E313" s="18">
        <v>0</v>
      </c>
      <c r="F313" s="18">
        <v>0</v>
      </c>
      <c r="H313" s="17" t="s">
        <v>36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O313" s="17" t="s">
        <v>36</v>
      </c>
      <c r="P313" s="130">
        <v>0</v>
      </c>
      <c r="Q313" s="130">
        <v>0</v>
      </c>
      <c r="R313" s="130">
        <v>0</v>
      </c>
      <c r="S313" s="130">
        <v>0</v>
      </c>
      <c r="T313" s="130">
        <v>0</v>
      </c>
    </row>
    <row r="314" spans="1:20" x14ac:dyDescent="0.3">
      <c r="A314" s="17" t="s">
        <v>37</v>
      </c>
      <c r="B314" s="18">
        <v>0</v>
      </c>
      <c r="C314" s="18">
        <v>0</v>
      </c>
      <c r="D314" s="19">
        <v>0</v>
      </c>
      <c r="E314" s="18">
        <v>0</v>
      </c>
      <c r="F314" s="18">
        <v>0</v>
      </c>
      <c r="H314" s="17" t="s">
        <v>37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O314" s="17" t="s">
        <v>37</v>
      </c>
      <c r="P314" s="130">
        <v>0</v>
      </c>
      <c r="Q314" s="130">
        <v>0</v>
      </c>
      <c r="R314" s="130">
        <v>0</v>
      </c>
      <c r="S314" s="130">
        <v>0</v>
      </c>
      <c r="T314" s="130">
        <v>0</v>
      </c>
    </row>
    <row r="315" spans="1:20" x14ac:dyDescent="0.3">
      <c r="A315" s="17" t="s">
        <v>38</v>
      </c>
      <c r="B315" s="172" t="s">
        <v>928</v>
      </c>
      <c r="C315" s="173"/>
      <c r="D315" s="173"/>
      <c r="E315" s="173"/>
      <c r="F315" s="173"/>
      <c r="H315" s="17" t="s">
        <v>38</v>
      </c>
      <c r="I315" s="172" t="s">
        <v>1542</v>
      </c>
      <c r="J315" s="173"/>
      <c r="K315" s="173"/>
      <c r="L315" s="173"/>
      <c r="M315" s="173"/>
      <c r="O315" s="17" t="s">
        <v>38</v>
      </c>
      <c r="P315" s="172" t="s">
        <v>1950</v>
      </c>
      <c r="Q315" s="173"/>
      <c r="R315" s="173"/>
      <c r="S315" s="173"/>
      <c r="T315" s="173"/>
    </row>
    <row r="316" spans="1:20" ht="19.8" x14ac:dyDescent="0.3">
      <c r="A316" s="171">
        <v>46106</v>
      </c>
      <c r="B316" s="174"/>
      <c r="C316" s="174"/>
      <c r="D316" s="174"/>
      <c r="E316" s="174"/>
      <c r="F316" s="174"/>
      <c r="H316" s="171">
        <v>46130</v>
      </c>
      <c r="I316" s="171"/>
      <c r="J316" s="171"/>
      <c r="K316" s="171"/>
      <c r="L316" s="171"/>
      <c r="M316" s="171"/>
      <c r="O316" s="171">
        <v>46162</v>
      </c>
      <c r="P316" s="174"/>
      <c r="Q316" s="174"/>
      <c r="R316" s="174"/>
      <c r="S316" s="174"/>
      <c r="T316" s="174"/>
    </row>
    <row r="317" spans="1:20" x14ac:dyDescent="0.3">
      <c r="A317" s="1" t="s">
        <v>0</v>
      </c>
      <c r="B317" s="1" t="s">
        <v>1</v>
      </c>
      <c r="C317" s="1" t="s">
        <v>2</v>
      </c>
      <c r="D317" s="1" t="s">
        <v>760</v>
      </c>
      <c r="E317" s="1" t="s">
        <v>40</v>
      </c>
      <c r="F317" s="1" t="s">
        <v>4</v>
      </c>
      <c r="H317" s="1" t="s">
        <v>0</v>
      </c>
      <c r="I317" s="1" t="s">
        <v>1</v>
      </c>
      <c r="J317" s="1" t="s">
        <v>2</v>
      </c>
      <c r="K317" s="1" t="s">
        <v>760</v>
      </c>
      <c r="L317" s="1" t="s">
        <v>40</v>
      </c>
      <c r="M317" s="1" t="s">
        <v>4</v>
      </c>
      <c r="O317" s="1" t="s">
        <v>0</v>
      </c>
      <c r="P317" s="1" t="s">
        <v>1</v>
      </c>
      <c r="Q317" s="1" t="s">
        <v>2</v>
      </c>
      <c r="R317" s="1" t="s">
        <v>760</v>
      </c>
      <c r="S317" s="1" t="s">
        <v>40</v>
      </c>
      <c r="T317" s="1" t="s">
        <v>4</v>
      </c>
    </row>
    <row r="318" spans="1:20" x14ac:dyDescent="0.3">
      <c r="A318" s="2" t="s">
        <v>5</v>
      </c>
      <c r="B318" s="3">
        <v>3284</v>
      </c>
      <c r="C318" s="3">
        <v>1136</v>
      </c>
      <c r="D318" s="3">
        <v>0</v>
      </c>
      <c r="E318" s="3">
        <v>1085</v>
      </c>
      <c r="F318" s="3">
        <v>1063</v>
      </c>
      <c r="H318" s="2" t="s">
        <v>5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O318" s="2" t="s">
        <v>5</v>
      </c>
      <c r="P318" s="3">
        <v>3208</v>
      </c>
      <c r="Q318" s="3">
        <v>1212</v>
      </c>
      <c r="R318" s="3">
        <v>0</v>
      </c>
      <c r="S318" s="3">
        <v>1067</v>
      </c>
      <c r="T318" s="3">
        <v>929</v>
      </c>
    </row>
    <row r="319" spans="1:20" x14ac:dyDescent="0.3">
      <c r="A319" s="2" t="s">
        <v>6</v>
      </c>
      <c r="B319" s="3">
        <v>168</v>
      </c>
      <c r="C319" s="4">
        <v>51</v>
      </c>
      <c r="D319" s="3">
        <v>0</v>
      </c>
      <c r="E319" s="6">
        <v>57</v>
      </c>
      <c r="F319" s="5">
        <v>60</v>
      </c>
      <c r="H319" s="2" t="s">
        <v>6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O319" s="2" t="s">
        <v>6</v>
      </c>
      <c r="P319" s="3">
        <v>14</v>
      </c>
      <c r="Q319" s="4">
        <v>2</v>
      </c>
      <c r="R319" s="3">
        <v>0</v>
      </c>
      <c r="S319" s="5">
        <v>7</v>
      </c>
      <c r="T319" s="6">
        <v>5</v>
      </c>
    </row>
    <row r="320" spans="1:20" x14ac:dyDescent="0.3">
      <c r="A320" s="2" t="s">
        <v>7</v>
      </c>
      <c r="B320" s="3" t="s">
        <v>975</v>
      </c>
      <c r="C320" s="4" t="s">
        <v>916</v>
      </c>
      <c r="D320" s="3">
        <v>0</v>
      </c>
      <c r="E320" s="6" t="s">
        <v>976</v>
      </c>
      <c r="F320" s="5" t="s">
        <v>571</v>
      </c>
      <c r="H320" s="2" t="s">
        <v>7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O320" s="2" t="s">
        <v>7</v>
      </c>
      <c r="P320" s="3" t="s">
        <v>119</v>
      </c>
      <c r="Q320" s="4" t="s">
        <v>108</v>
      </c>
      <c r="R320" s="3">
        <v>0</v>
      </c>
      <c r="S320" s="5" t="s">
        <v>416</v>
      </c>
      <c r="T320" s="6" t="s">
        <v>354</v>
      </c>
    </row>
    <row r="321" spans="1:20" x14ac:dyDescent="0.3">
      <c r="A321" s="2" t="s">
        <v>12</v>
      </c>
      <c r="B321" s="3" t="s">
        <v>968</v>
      </c>
      <c r="C321" s="4" t="s">
        <v>270</v>
      </c>
      <c r="D321" s="3">
        <v>0</v>
      </c>
      <c r="E321" s="6" t="s">
        <v>976</v>
      </c>
      <c r="F321" s="5" t="s">
        <v>571</v>
      </c>
      <c r="H321" s="2" t="s">
        <v>12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O321" s="2" t="s">
        <v>12</v>
      </c>
      <c r="P321" s="3" t="s">
        <v>119</v>
      </c>
      <c r="Q321" s="4" t="s">
        <v>108</v>
      </c>
      <c r="R321" s="3">
        <v>0</v>
      </c>
      <c r="S321" s="5" t="s">
        <v>416</v>
      </c>
      <c r="T321" s="6" t="s">
        <v>354</v>
      </c>
    </row>
    <row r="322" spans="1:20" x14ac:dyDescent="0.3">
      <c r="A322" s="2" t="s">
        <v>17</v>
      </c>
      <c r="B322" s="3" t="s">
        <v>88</v>
      </c>
      <c r="C322" s="4" t="s">
        <v>101</v>
      </c>
      <c r="D322" s="3" t="s">
        <v>25</v>
      </c>
      <c r="E322" s="6" t="s">
        <v>595</v>
      </c>
      <c r="F322" s="5" t="s">
        <v>595</v>
      </c>
      <c r="H322" s="2" t="s">
        <v>17</v>
      </c>
      <c r="I322" s="3" t="s">
        <v>25</v>
      </c>
      <c r="J322" s="3" t="s">
        <v>25</v>
      </c>
      <c r="K322" s="3" t="s">
        <v>25</v>
      </c>
      <c r="L322" s="3" t="s">
        <v>25</v>
      </c>
      <c r="M322" s="3" t="s">
        <v>25</v>
      </c>
      <c r="O322" s="2" t="s">
        <v>17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 x14ac:dyDescent="0.3">
      <c r="A323" s="2" t="s">
        <v>22</v>
      </c>
      <c r="B323" s="3" t="s">
        <v>25</v>
      </c>
      <c r="C323" s="3" t="s">
        <v>25</v>
      </c>
      <c r="D323" s="3" t="s">
        <v>25</v>
      </c>
      <c r="E323" s="3" t="s">
        <v>25</v>
      </c>
      <c r="F323" s="3" t="s">
        <v>25</v>
      </c>
      <c r="H323" s="2" t="s">
        <v>22</v>
      </c>
      <c r="I323" s="3" t="s">
        <v>25</v>
      </c>
      <c r="J323" s="3" t="s">
        <v>25</v>
      </c>
      <c r="K323" s="3" t="s">
        <v>25</v>
      </c>
      <c r="L323" s="3" t="s">
        <v>25</v>
      </c>
      <c r="M323" s="3" t="s">
        <v>25</v>
      </c>
      <c r="O323" s="2" t="s">
        <v>22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 x14ac:dyDescent="0.3">
      <c r="A324" s="7" t="s">
        <v>26</v>
      </c>
      <c r="B324" s="8">
        <v>165</v>
      </c>
      <c r="C324" s="8">
        <v>48</v>
      </c>
      <c r="D324" s="8">
        <v>0</v>
      </c>
      <c r="E324" s="8">
        <v>57</v>
      </c>
      <c r="F324" s="8">
        <v>60</v>
      </c>
      <c r="H324" s="7" t="s">
        <v>26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O324" s="7" t="s">
        <v>26</v>
      </c>
      <c r="P324" s="8">
        <v>14</v>
      </c>
      <c r="Q324" s="8">
        <v>2</v>
      </c>
      <c r="R324" s="8">
        <v>0</v>
      </c>
      <c r="S324" s="8">
        <v>7</v>
      </c>
      <c r="T324" s="8">
        <v>5</v>
      </c>
    </row>
    <row r="325" spans="1:20" x14ac:dyDescent="0.3">
      <c r="A325" s="9" t="s">
        <v>27</v>
      </c>
      <c r="B325" s="10">
        <v>10</v>
      </c>
      <c r="C325" s="10">
        <v>3</v>
      </c>
      <c r="D325" s="10">
        <v>0</v>
      </c>
      <c r="E325" s="10">
        <v>3</v>
      </c>
      <c r="F325" s="10">
        <v>4</v>
      </c>
      <c r="H325" s="9" t="s">
        <v>27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O325" s="9" t="s">
        <v>27</v>
      </c>
      <c r="P325" s="10">
        <v>6</v>
      </c>
      <c r="Q325" s="10">
        <v>1</v>
      </c>
      <c r="R325" s="10">
        <v>0</v>
      </c>
      <c r="S325" s="10">
        <v>4</v>
      </c>
      <c r="T325" s="10">
        <v>1</v>
      </c>
    </row>
    <row r="326" spans="1:20" x14ac:dyDescent="0.3">
      <c r="A326" s="9" t="s">
        <v>28</v>
      </c>
      <c r="B326" s="10">
        <v>20</v>
      </c>
      <c r="C326" s="10">
        <v>7</v>
      </c>
      <c r="D326" s="10">
        <v>0</v>
      </c>
      <c r="E326" s="10">
        <v>2</v>
      </c>
      <c r="F326" s="10">
        <v>11</v>
      </c>
      <c r="H326" s="9" t="s">
        <v>28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O326" s="9" t="s">
        <v>28</v>
      </c>
      <c r="P326" s="10">
        <v>6</v>
      </c>
      <c r="Q326" s="10">
        <v>1</v>
      </c>
      <c r="R326" s="10">
        <v>0</v>
      </c>
      <c r="S326" s="10">
        <v>2</v>
      </c>
      <c r="T326" s="10">
        <v>3</v>
      </c>
    </row>
    <row r="327" spans="1:20" x14ac:dyDescent="0.3">
      <c r="A327" s="9" t="s">
        <v>29</v>
      </c>
      <c r="B327" s="10">
        <v>86</v>
      </c>
      <c r="C327" s="10">
        <v>18</v>
      </c>
      <c r="D327" s="10">
        <v>0</v>
      </c>
      <c r="E327" s="10">
        <v>36</v>
      </c>
      <c r="F327" s="10">
        <v>32</v>
      </c>
      <c r="H327" s="9" t="s">
        <v>29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O327" s="9" t="s">
        <v>29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3">
      <c r="A328" s="9" t="s">
        <v>30</v>
      </c>
      <c r="B328" s="10">
        <v>49</v>
      </c>
      <c r="C328" s="10">
        <v>20</v>
      </c>
      <c r="D328" s="10">
        <v>0</v>
      </c>
      <c r="E328" s="10">
        <v>16</v>
      </c>
      <c r="F328" s="10">
        <v>13</v>
      </c>
      <c r="H328" s="9" t="s">
        <v>30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O328" s="9" t="s">
        <v>30</v>
      </c>
      <c r="P328" s="10">
        <v>2</v>
      </c>
      <c r="Q328" s="10">
        <v>0</v>
      </c>
      <c r="R328" s="10">
        <v>0</v>
      </c>
      <c r="S328" s="10">
        <v>1</v>
      </c>
      <c r="T328" s="10">
        <v>1</v>
      </c>
    </row>
    <row r="329" spans="1:20" x14ac:dyDescent="0.3">
      <c r="A329" s="9" t="s">
        <v>31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H329" s="9" t="s">
        <v>31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O329" s="9" t="s">
        <v>31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3">
      <c r="A330" s="11" t="s">
        <v>32</v>
      </c>
      <c r="B330" s="12">
        <v>9</v>
      </c>
      <c r="C330" s="12">
        <v>3</v>
      </c>
      <c r="D330" s="12">
        <v>0</v>
      </c>
      <c r="E330" s="12">
        <v>3</v>
      </c>
      <c r="F330" s="12">
        <v>3</v>
      </c>
      <c r="H330" s="11" t="s">
        <v>32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O330" s="11" t="s">
        <v>32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</row>
    <row r="331" spans="1:20" x14ac:dyDescent="0.3">
      <c r="A331" s="13" t="s">
        <v>33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H331" s="13" t="s">
        <v>33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O331" s="13" t="s">
        <v>33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</row>
    <row r="332" spans="1:20" x14ac:dyDescent="0.3">
      <c r="A332" s="13" t="s">
        <v>34</v>
      </c>
      <c r="B332" s="14">
        <v>9</v>
      </c>
      <c r="C332" s="14">
        <v>3</v>
      </c>
      <c r="D332" s="14">
        <v>0</v>
      </c>
      <c r="E332" s="14">
        <v>3</v>
      </c>
      <c r="F332" s="14">
        <v>3</v>
      </c>
      <c r="H332" s="13" t="s">
        <v>34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O332" s="13" t="s">
        <v>34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</row>
    <row r="333" spans="1:20" x14ac:dyDescent="0.3">
      <c r="A333" s="15" t="s">
        <v>35</v>
      </c>
      <c r="B333" s="16">
        <v>0</v>
      </c>
      <c r="C333" s="16">
        <v>0</v>
      </c>
      <c r="D333" s="16">
        <v>0</v>
      </c>
      <c r="E333" s="16">
        <v>0</v>
      </c>
      <c r="F333" s="16">
        <v>0</v>
      </c>
      <c r="H333" s="15" t="s">
        <v>35</v>
      </c>
      <c r="I333" s="16">
        <v>0</v>
      </c>
      <c r="J333" s="16">
        <v>0</v>
      </c>
      <c r="K333" s="16">
        <v>0</v>
      </c>
      <c r="L333" s="16">
        <v>0</v>
      </c>
      <c r="M333" s="16">
        <v>0</v>
      </c>
      <c r="O333" s="15" t="s">
        <v>35</v>
      </c>
      <c r="P333" s="16">
        <v>0</v>
      </c>
      <c r="Q333" s="16">
        <v>0</v>
      </c>
      <c r="R333" s="16">
        <v>0</v>
      </c>
      <c r="S333" s="16">
        <v>0</v>
      </c>
      <c r="T333" s="16">
        <v>0</v>
      </c>
    </row>
    <row r="334" spans="1:20" x14ac:dyDescent="0.3">
      <c r="A334" s="17" t="s">
        <v>36</v>
      </c>
      <c r="B334" s="19">
        <v>0</v>
      </c>
      <c r="C334" s="19">
        <v>0</v>
      </c>
      <c r="D334" s="19">
        <v>0</v>
      </c>
      <c r="E334" s="19">
        <v>0</v>
      </c>
      <c r="F334" s="19">
        <v>0</v>
      </c>
      <c r="H334" s="17" t="s">
        <v>36</v>
      </c>
      <c r="I334" s="99">
        <v>0</v>
      </c>
      <c r="J334" s="99">
        <v>0</v>
      </c>
      <c r="K334" s="99">
        <v>0</v>
      </c>
      <c r="L334" s="99">
        <v>0</v>
      </c>
      <c r="M334" s="99">
        <v>0</v>
      </c>
      <c r="O334" s="17" t="s">
        <v>36</v>
      </c>
      <c r="P334" s="130">
        <v>0</v>
      </c>
      <c r="Q334" s="130">
        <v>0</v>
      </c>
      <c r="R334" s="138">
        <v>0</v>
      </c>
      <c r="S334" s="130">
        <v>0</v>
      </c>
      <c r="T334" s="130">
        <v>0</v>
      </c>
    </row>
    <row r="335" spans="1:20" x14ac:dyDescent="0.3">
      <c r="A335" s="17" t="s">
        <v>37</v>
      </c>
      <c r="B335" s="19">
        <v>0</v>
      </c>
      <c r="C335" s="19">
        <v>0</v>
      </c>
      <c r="D335" s="19">
        <v>0</v>
      </c>
      <c r="E335" s="19">
        <v>0</v>
      </c>
      <c r="F335" s="19">
        <v>0</v>
      </c>
      <c r="H335" s="17" t="s">
        <v>37</v>
      </c>
      <c r="I335" s="99">
        <v>0</v>
      </c>
      <c r="J335" s="99">
        <v>0</v>
      </c>
      <c r="K335" s="99">
        <v>0</v>
      </c>
      <c r="L335" s="99">
        <v>0</v>
      </c>
      <c r="M335" s="99">
        <v>0</v>
      </c>
      <c r="O335" s="17" t="s">
        <v>37</v>
      </c>
      <c r="P335" s="130">
        <v>0</v>
      </c>
      <c r="Q335" s="130">
        <v>0</v>
      </c>
      <c r="R335" s="138">
        <v>0</v>
      </c>
      <c r="S335" s="130">
        <v>0</v>
      </c>
      <c r="T335" s="130">
        <v>0</v>
      </c>
    </row>
    <row r="336" spans="1:20" x14ac:dyDescent="0.3">
      <c r="A336" s="17" t="s">
        <v>38</v>
      </c>
      <c r="B336" s="172" t="s">
        <v>977</v>
      </c>
      <c r="C336" s="173"/>
      <c r="D336" s="173"/>
      <c r="E336" s="173"/>
      <c r="F336" s="173"/>
      <c r="H336" s="17" t="s">
        <v>38</v>
      </c>
      <c r="I336" s="172"/>
      <c r="J336" s="173"/>
      <c r="K336" s="173"/>
      <c r="L336" s="173"/>
      <c r="M336" s="173"/>
      <c r="O336" s="17" t="s">
        <v>38</v>
      </c>
      <c r="P336" s="172" t="s">
        <v>1950</v>
      </c>
      <c r="Q336" s="173"/>
      <c r="R336" s="173"/>
      <c r="S336" s="173"/>
      <c r="T336" s="173"/>
    </row>
    <row r="337" spans="1:20" ht="19.8" x14ac:dyDescent="0.3">
      <c r="A337" s="171">
        <v>46107</v>
      </c>
      <c r="B337" s="171"/>
      <c r="C337" s="171"/>
      <c r="D337" s="171"/>
      <c r="E337" s="171"/>
      <c r="F337" s="171"/>
      <c r="H337" s="171">
        <v>46132</v>
      </c>
      <c r="I337" s="171"/>
      <c r="J337" s="171"/>
      <c r="K337" s="171"/>
      <c r="L337" s="171"/>
      <c r="M337" s="171"/>
      <c r="O337" s="171">
        <v>46163</v>
      </c>
      <c r="P337" s="171"/>
      <c r="Q337" s="171"/>
      <c r="R337" s="171"/>
      <c r="S337" s="171"/>
      <c r="T337" s="171"/>
    </row>
    <row r="338" spans="1:20" x14ac:dyDescent="0.3">
      <c r="A338" s="1" t="s">
        <v>0</v>
      </c>
      <c r="B338" s="1" t="s">
        <v>1</v>
      </c>
      <c r="C338" s="1" t="s">
        <v>2</v>
      </c>
      <c r="D338" s="1" t="s">
        <v>760</v>
      </c>
      <c r="E338" s="1" t="s">
        <v>40</v>
      </c>
      <c r="F338" s="1" t="s">
        <v>4</v>
      </c>
      <c r="H338" s="1" t="s">
        <v>0</v>
      </c>
      <c r="I338" s="1" t="s">
        <v>1</v>
      </c>
      <c r="J338" s="1" t="s">
        <v>2</v>
      </c>
      <c r="K338" s="1" t="s">
        <v>760</v>
      </c>
      <c r="L338" s="1" t="s">
        <v>40</v>
      </c>
      <c r="M338" s="1" t="s">
        <v>4</v>
      </c>
      <c r="O338" s="1" t="s">
        <v>0</v>
      </c>
      <c r="P338" s="1" t="s">
        <v>1</v>
      </c>
      <c r="Q338" s="1" t="s">
        <v>2</v>
      </c>
      <c r="R338" s="1" t="s">
        <v>760</v>
      </c>
      <c r="S338" s="1" t="s">
        <v>40</v>
      </c>
      <c r="T338" s="1" t="s">
        <v>4</v>
      </c>
    </row>
    <row r="339" spans="1:20" x14ac:dyDescent="0.3">
      <c r="A339" s="2" t="s">
        <v>5</v>
      </c>
      <c r="B339" s="3">
        <v>3173</v>
      </c>
      <c r="C339" s="3">
        <v>1115</v>
      </c>
      <c r="D339" s="3">
        <v>0</v>
      </c>
      <c r="E339" s="3">
        <v>1039</v>
      </c>
      <c r="F339" s="3">
        <v>1019</v>
      </c>
      <c r="H339" s="2" t="s">
        <v>5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O339" s="2" t="s">
        <v>5</v>
      </c>
      <c r="P339" s="3">
        <v>2850</v>
      </c>
      <c r="Q339" s="3">
        <v>1086</v>
      </c>
      <c r="R339" s="3">
        <v>0</v>
      </c>
      <c r="S339" s="3">
        <v>981</v>
      </c>
      <c r="T339" s="3">
        <v>783</v>
      </c>
    </row>
    <row r="340" spans="1:20" x14ac:dyDescent="0.3">
      <c r="A340" s="2" t="s">
        <v>6</v>
      </c>
      <c r="B340" s="3">
        <v>214</v>
      </c>
      <c r="C340" s="6">
        <v>75</v>
      </c>
      <c r="D340" s="3">
        <v>0</v>
      </c>
      <c r="E340" s="5">
        <v>93</v>
      </c>
      <c r="F340" s="4">
        <v>46</v>
      </c>
      <c r="H340" s="2" t="s">
        <v>6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O340" s="2" t="s">
        <v>6</v>
      </c>
      <c r="P340" s="3">
        <v>8</v>
      </c>
      <c r="Q340" s="5">
        <v>3</v>
      </c>
      <c r="R340" s="3">
        <v>0</v>
      </c>
      <c r="S340" s="6">
        <v>2</v>
      </c>
      <c r="T340" s="5">
        <v>3</v>
      </c>
    </row>
    <row r="341" spans="1:20" x14ac:dyDescent="0.3">
      <c r="A341" s="2" t="s">
        <v>7</v>
      </c>
      <c r="B341" s="3" t="s">
        <v>321</v>
      </c>
      <c r="C341" s="6" t="s">
        <v>923</v>
      </c>
      <c r="D341" s="3">
        <v>0</v>
      </c>
      <c r="E341" s="5" t="s">
        <v>1020</v>
      </c>
      <c r="F341" s="4" t="s">
        <v>140</v>
      </c>
      <c r="H341" s="2" t="s">
        <v>7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O341" s="2" t="s">
        <v>7</v>
      </c>
      <c r="P341" s="3" t="s">
        <v>595</v>
      </c>
      <c r="Q341" s="6" t="s">
        <v>595</v>
      </c>
      <c r="R341" s="3">
        <v>0</v>
      </c>
      <c r="S341" s="4" t="s">
        <v>99</v>
      </c>
      <c r="T341" s="5" t="s">
        <v>150</v>
      </c>
    </row>
    <row r="342" spans="1:20" x14ac:dyDescent="0.3">
      <c r="A342" s="2" t="s">
        <v>12</v>
      </c>
      <c r="B342" s="3" t="s">
        <v>765</v>
      </c>
      <c r="C342" s="6" t="s">
        <v>528</v>
      </c>
      <c r="D342" s="3">
        <v>0</v>
      </c>
      <c r="E342" s="5" t="s">
        <v>1020</v>
      </c>
      <c r="F342" s="4" t="s">
        <v>140</v>
      </c>
      <c r="H342" s="2" t="s">
        <v>12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O342" s="2" t="s">
        <v>12</v>
      </c>
      <c r="P342" s="3" t="s">
        <v>595</v>
      </c>
      <c r="Q342" s="6" t="s">
        <v>595</v>
      </c>
      <c r="R342" s="3">
        <v>0</v>
      </c>
      <c r="S342" s="4" t="s">
        <v>99</v>
      </c>
      <c r="T342" s="5" t="s">
        <v>150</v>
      </c>
    </row>
    <row r="343" spans="1:20" x14ac:dyDescent="0.3">
      <c r="A343" s="2" t="s">
        <v>17</v>
      </c>
      <c r="B343" s="3" t="s">
        <v>404</v>
      </c>
      <c r="C343" s="4" t="s">
        <v>493</v>
      </c>
      <c r="D343" s="3" t="s">
        <v>25</v>
      </c>
      <c r="E343" s="6" t="s">
        <v>869</v>
      </c>
      <c r="F343" s="5" t="s">
        <v>452</v>
      </c>
      <c r="H343" s="2" t="s">
        <v>17</v>
      </c>
      <c r="I343" s="3" t="s">
        <v>25</v>
      </c>
      <c r="J343" s="3" t="s">
        <v>25</v>
      </c>
      <c r="K343" s="3" t="s">
        <v>25</v>
      </c>
      <c r="L343" s="3" t="s">
        <v>25</v>
      </c>
      <c r="M343" s="3" t="s">
        <v>25</v>
      </c>
      <c r="O343" s="2" t="s">
        <v>17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 x14ac:dyDescent="0.3">
      <c r="A344" s="2" t="s">
        <v>22</v>
      </c>
      <c r="B344" s="3" t="s">
        <v>25</v>
      </c>
      <c r="C344" s="3" t="s">
        <v>25</v>
      </c>
      <c r="D344" s="3" t="s">
        <v>25</v>
      </c>
      <c r="E344" s="3" t="s">
        <v>25</v>
      </c>
      <c r="F344" s="3" t="s">
        <v>25</v>
      </c>
      <c r="H344" s="2" t="s">
        <v>22</v>
      </c>
      <c r="I344" s="3" t="s">
        <v>25</v>
      </c>
      <c r="J344" s="3" t="s">
        <v>25</v>
      </c>
      <c r="K344" s="3" t="s">
        <v>25</v>
      </c>
      <c r="L344" s="3" t="s">
        <v>25</v>
      </c>
      <c r="M344" s="3" t="s">
        <v>25</v>
      </c>
      <c r="O344" s="2" t="s">
        <v>22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 x14ac:dyDescent="0.3">
      <c r="A345" s="7" t="s">
        <v>26</v>
      </c>
      <c r="B345" s="8">
        <v>204</v>
      </c>
      <c r="C345" s="8">
        <v>65</v>
      </c>
      <c r="D345" s="8">
        <v>0</v>
      </c>
      <c r="E345" s="8">
        <v>93</v>
      </c>
      <c r="F345" s="8">
        <v>46</v>
      </c>
      <c r="H345" s="7" t="s">
        <v>26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O345" s="7" t="s">
        <v>26</v>
      </c>
      <c r="P345" s="8">
        <v>8</v>
      </c>
      <c r="Q345" s="8">
        <v>3</v>
      </c>
      <c r="R345" s="8">
        <v>0</v>
      </c>
      <c r="S345" s="8">
        <v>2</v>
      </c>
      <c r="T345" s="8">
        <v>3</v>
      </c>
    </row>
    <row r="346" spans="1:20" x14ac:dyDescent="0.3">
      <c r="A346" s="9" t="s">
        <v>27</v>
      </c>
      <c r="B346" s="10">
        <v>15</v>
      </c>
      <c r="C346" s="10">
        <v>3</v>
      </c>
      <c r="D346" s="10">
        <v>0</v>
      </c>
      <c r="E346" s="10">
        <v>7</v>
      </c>
      <c r="F346" s="10">
        <v>5</v>
      </c>
      <c r="H346" s="9" t="s">
        <v>27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O346" s="9" t="s">
        <v>27</v>
      </c>
      <c r="P346" s="10">
        <v>3</v>
      </c>
      <c r="Q346" s="10">
        <v>2</v>
      </c>
      <c r="R346" s="10">
        <v>0</v>
      </c>
      <c r="S346" s="10">
        <v>0</v>
      </c>
      <c r="T346" s="10">
        <v>1</v>
      </c>
    </row>
    <row r="347" spans="1:20" x14ac:dyDescent="0.3">
      <c r="A347" s="9" t="s">
        <v>28</v>
      </c>
      <c r="B347" s="10">
        <v>23</v>
      </c>
      <c r="C347" s="10">
        <v>14</v>
      </c>
      <c r="D347" s="10">
        <v>0</v>
      </c>
      <c r="E347" s="10">
        <v>5</v>
      </c>
      <c r="F347" s="10">
        <v>4</v>
      </c>
      <c r="H347" s="9" t="s">
        <v>28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O347" s="9" t="s">
        <v>28</v>
      </c>
      <c r="P347" s="10">
        <v>1</v>
      </c>
      <c r="Q347" s="10">
        <v>0</v>
      </c>
      <c r="R347" s="10">
        <v>0</v>
      </c>
      <c r="S347" s="10">
        <v>1</v>
      </c>
      <c r="T347" s="10">
        <v>0</v>
      </c>
    </row>
    <row r="348" spans="1:20" x14ac:dyDescent="0.3">
      <c r="A348" s="9" t="s">
        <v>29</v>
      </c>
      <c r="B348" s="10">
        <v>71</v>
      </c>
      <c r="C348" s="10">
        <v>11</v>
      </c>
      <c r="D348" s="10">
        <v>0</v>
      </c>
      <c r="E348" s="10">
        <v>32</v>
      </c>
      <c r="F348" s="10">
        <v>28</v>
      </c>
      <c r="H348" s="9" t="s">
        <v>29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O348" s="9" t="s">
        <v>29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3">
      <c r="A349" s="9" t="s">
        <v>30</v>
      </c>
      <c r="B349" s="10">
        <v>95</v>
      </c>
      <c r="C349" s="10">
        <v>37</v>
      </c>
      <c r="D349" s="10">
        <v>0</v>
      </c>
      <c r="E349" s="10">
        <v>49</v>
      </c>
      <c r="F349" s="10">
        <v>9</v>
      </c>
      <c r="H349" s="9" t="s">
        <v>30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O349" s="9" t="s">
        <v>30</v>
      </c>
      <c r="P349" s="10">
        <v>4</v>
      </c>
      <c r="Q349" s="10">
        <v>1</v>
      </c>
      <c r="R349" s="10">
        <v>0</v>
      </c>
      <c r="S349" s="10">
        <v>1</v>
      </c>
      <c r="T349" s="10">
        <v>2</v>
      </c>
    </row>
    <row r="350" spans="1:20" x14ac:dyDescent="0.3">
      <c r="A350" s="9" t="s">
        <v>31</v>
      </c>
      <c r="B350" s="10">
        <v>0</v>
      </c>
      <c r="C350" s="10">
        <v>0</v>
      </c>
      <c r="D350" s="10">
        <v>0</v>
      </c>
      <c r="E350" s="10">
        <v>0</v>
      </c>
      <c r="F350" s="10">
        <v>0</v>
      </c>
      <c r="H350" s="9" t="s">
        <v>31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O350" s="9" t="s">
        <v>31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</row>
    <row r="351" spans="1:20" x14ac:dyDescent="0.3">
      <c r="A351" s="11" t="s">
        <v>32</v>
      </c>
      <c r="B351" s="12">
        <v>30</v>
      </c>
      <c r="C351" s="12">
        <v>10</v>
      </c>
      <c r="D351" s="12">
        <v>0</v>
      </c>
      <c r="E351" s="12">
        <v>10</v>
      </c>
      <c r="F351" s="12">
        <v>10</v>
      </c>
      <c r="H351" s="11" t="s">
        <v>32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O351" s="11" t="s">
        <v>32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</row>
    <row r="352" spans="1:20" x14ac:dyDescent="0.3">
      <c r="A352" s="13" t="s">
        <v>33</v>
      </c>
      <c r="B352" s="14">
        <v>0</v>
      </c>
      <c r="C352" s="14">
        <v>0</v>
      </c>
      <c r="D352" s="14">
        <v>0</v>
      </c>
      <c r="E352" s="14">
        <v>0</v>
      </c>
      <c r="F352" s="14">
        <v>0</v>
      </c>
      <c r="H352" s="13" t="s">
        <v>33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O352" s="13" t="s">
        <v>33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</row>
    <row r="353" spans="1:20" x14ac:dyDescent="0.3">
      <c r="A353" s="13" t="s">
        <v>34</v>
      </c>
      <c r="B353" s="14">
        <v>30</v>
      </c>
      <c r="C353" s="14">
        <v>10</v>
      </c>
      <c r="D353" s="14">
        <v>0</v>
      </c>
      <c r="E353" s="14">
        <v>10</v>
      </c>
      <c r="F353" s="14">
        <v>10</v>
      </c>
      <c r="H353" s="13" t="s">
        <v>34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O353" s="13" t="s">
        <v>34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</row>
    <row r="354" spans="1:20" x14ac:dyDescent="0.3">
      <c r="A354" s="15" t="s">
        <v>35</v>
      </c>
      <c r="B354" s="16">
        <v>0</v>
      </c>
      <c r="C354" s="16">
        <v>0</v>
      </c>
      <c r="D354" s="16">
        <v>0</v>
      </c>
      <c r="E354" s="16">
        <v>0</v>
      </c>
      <c r="F354" s="16">
        <v>0</v>
      </c>
      <c r="H354" s="15" t="s">
        <v>35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O354" s="15" t="s">
        <v>35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</row>
    <row r="355" spans="1:20" x14ac:dyDescent="0.3">
      <c r="A355" s="17" t="s">
        <v>36</v>
      </c>
      <c r="B355" s="34">
        <v>0</v>
      </c>
      <c r="C355" s="34">
        <v>0</v>
      </c>
      <c r="D355" s="34">
        <v>0</v>
      </c>
      <c r="E355" s="34">
        <v>0</v>
      </c>
      <c r="F355" s="34">
        <v>0</v>
      </c>
      <c r="H355" s="17" t="s">
        <v>36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O355" s="17" t="s">
        <v>36</v>
      </c>
      <c r="P355" s="138">
        <v>0</v>
      </c>
      <c r="Q355" s="138">
        <v>0</v>
      </c>
      <c r="R355" s="138">
        <v>0</v>
      </c>
      <c r="S355" s="138">
        <v>0</v>
      </c>
      <c r="T355" s="138">
        <v>0</v>
      </c>
    </row>
    <row r="356" spans="1:20" x14ac:dyDescent="0.3">
      <c r="A356" s="17" t="s">
        <v>37</v>
      </c>
      <c r="B356" s="34">
        <v>0</v>
      </c>
      <c r="C356" s="34">
        <v>0</v>
      </c>
      <c r="D356" s="34">
        <v>0</v>
      </c>
      <c r="E356" s="34">
        <v>0</v>
      </c>
      <c r="F356" s="34">
        <v>0</v>
      </c>
      <c r="H356" s="17" t="s">
        <v>37</v>
      </c>
      <c r="I356" s="99">
        <v>0</v>
      </c>
      <c r="J356" s="99">
        <v>0</v>
      </c>
      <c r="K356" s="99">
        <v>0</v>
      </c>
      <c r="L356" s="99">
        <v>0</v>
      </c>
      <c r="M356" s="99">
        <v>0</v>
      </c>
      <c r="O356" s="17" t="s">
        <v>37</v>
      </c>
      <c r="P356" s="138">
        <v>0</v>
      </c>
      <c r="Q356" s="138">
        <v>0</v>
      </c>
      <c r="R356" s="138">
        <v>0</v>
      </c>
      <c r="S356" s="138">
        <v>0</v>
      </c>
      <c r="T356" s="138">
        <v>0</v>
      </c>
    </row>
    <row r="357" spans="1:20" x14ac:dyDescent="0.3">
      <c r="A357" s="17" t="s">
        <v>38</v>
      </c>
      <c r="B357" s="172" t="s">
        <v>1021</v>
      </c>
      <c r="C357" s="173"/>
      <c r="D357" s="173"/>
      <c r="E357" s="173"/>
      <c r="F357" s="173"/>
      <c r="H357" s="17" t="s">
        <v>38</v>
      </c>
      <c r="I357" s="172"/>
      <c r="J357" s="173"/>
      <c r="K357" s="173"/>
      <c r="L357" s="173"/>
      <c r="M357" s="173"/>
      <c r="O357" s="17" t="s">
        <v>38</v>
      </c>
      <c r="P357" s="172" t="s">
        <v>1950</v>
      </c>
      <c r="Q357" s="173"/>
      <c r="R357" s="173"/>
      <c r="S357" s="173"/>
      <c r="T357" s="173"/>
    </row>
    <row r="358" spans="1:20" ht="19.8" x14ac:dyDescent="0.3">
      <c r="A358" s="171">
        <v>46108</v>
      </c>
      <c r="B358" s="174"/>
      <c r="C358" s="174"/>
      <c r="D358" s="174"/>
      <c r="E358" s="174"/>
      <c r="F358" s="174"/>
      <c r="H358" s="171">
        <v>46133</v>
      </c>
      <c r="I358" s="171"/>
      <c r="J358" s="171"/>
      <c r="K358" s="171"/>
      <c r="L358" s="171"/>
      <c r="M358" s="171"/>
      <c r="O358" s="171">
        <v>46164</v>
      </c>
      <c r="P358" s="171"/>
      <c r="Q358" s="171"/>
      <c r="R358" s="171"/>
      <c r="S358" s="171"/>
      <c r="T358" s="171"/>
    </row>
    <row r="359" spans="1:20" x14ac:dyDescent="0.3">
      <c r="A359" s="1" t="s">
        <v>0</v>
      </c>
      <c r="B359" s="1" t="s">
        <v>1</v>
      </c>
      <c r="C359" s="1" t="s">
        <v>2</v>
      </c>
      <c r="D359" s="1" t="s">
        <v>760</v>
      </c>
      <c r="E359" s="1" t="s">
        <v>40</v>
      </c>
      <c r="F359" s="1" t="s">
        <v>4</v>
      </c>
      <c r="H359" s="1" t="s">
        <v>0</v>
      </c>
      <c r="I359" s="1" t="s">
        <v>1</v>
      </c>
      <c r="J359" s="1" t="s">
        <v>2</v>
      </c>
      <c r="K359" s="1" t="s">
        <v>760</v>
      </c>
      <c r="L359" s="1" t="s">
        <v>40</v>
      </c>
      <c r="M359" s="1" t="s">
        <v>4</v>
      </c>
      <c r="O359" s="1" t="s">
        <v>0</v>
      </c>
      <c r="P359" s="1" t="s">
        <v>1</v>
      </c>
      <c r="Q359" s="1" t="s">
        <v>2</v>
      </c>
      <c r="R359" s="1" t="s">
        <v>760</v>
      </c>
      <c r="S359" s="1" t="s">
        <v>40</v>
      </c>
      <c r="T359" s="1" t="s">
        <v>4</v>
      </c>
    </row>
    <row r="360" spans="1:20" x14ac:dyDescent="0.3">
      <c r="A360" s="2" t="s">
        <v>5</v>
      </c>
      <c r="B360" s="3">
        <v>3136</v>
      </c>
      <c r="C360" s="3">
        <v>1285</v>
      </c>
      <c r="D360" s="3">
        <v>0</v>
      </c>
      <c r="E360" s="3">
        <v>687</v>
      </c>
      <c r="F360" s="3">
        <v>1164</v>
      </c>
      <c r="H360" s="2" t="s">
        <v>5</v>
      </c>
      <c r="I360" s="3">
        <v>1344</v>
      </c>
      <c r="J360" s="3">
        <v>603</v>
      </c>
      <c r="K360" s="3">
        <v>0</v>
      </c>
      <c r="L360" s="3">
        <v>231</v>
      </c>
      <c r="M360" s="3">
        <v>510</v>
      </c>
      <c r="O360" s="2" t="s">
        <v>5</v>
      </c>
      <c r="P360" s="3">
        <v>2274</v>
      </c>
      <c r="Q360" s="3">
        <v>892</v>
      </c>
      <c r="R360" s="3">
        <v>0</v>
      </c>
      <c r="S360" s="3">
        <v>637</v>
      </c>
      <c r="T360" s="3">
        <v>745</v>
      </c>
    </row>
    <row r="361" spans="1:20" x14ac:dyDescent="0.3">
      <c r="A361" s="2" t="s">
        <v>6</v>
      </c>
      <c r="B361" s="3">
        <v>118</v>
      </c>
      <c r="C361" s="5">
        <v>64</v>
      </c>
      <c r="D361" s="3">
        <v>0</v>
      </c>
      <c r="E361" s="4">
        <v>19</v>
      </c>
      <c r="F361" s="6">
        <v>35</v>
      </c>
      <c r="H361" s="2" t="s">
        <v>6</v>
      </c>
      <c r="I361" s="3">
        <v>75</v>
      </c>
      <c r="J361" s="6">
        <v>23</v>
      </c>
      <c r="K361" s="3">
        <v>0</v>
      </c>
      <c r="L361" s="4">
        <v>20</v>
      </c>
      <c r="M361" s="5">
        <v>32</v>
      </c>
      <c r="O361" s="2" t="s">
        <v>6</v>
      </c>
      <c r="P361" s="3">
        <v>4</v>
      </c>
      <c r="Q361" s="6">
        <v>1</v>
      </c>
      <c r="R361" s="3">
        <v>0</v>
      </c>
      <c r="S361" s="6">
        <v>1</v>
      </c>
      <c r="T361" s="5">
        <v>2</v>
      </c>
    </row>
    <row r="362" spans="1:20" x14ac:dyDescent="0.3">
      <c r="A362" s="2" t="s">
        <v>7</v>
      </c>
      <c r="B362" s="3" t="s">
        <v>579</v>
      </c>
      <c r="C362" s="5" t="s">
        <v>549</v>
      </c>
      <c r="D362" s="3">
        <v>0</v>
      </c>
      <c r="E362" s="4" t="s">
        <v>630</v>
      </c>
      <c r="F362" s="6" t="s">
        <v>205</v>
      </c>
      <c r="H362" s="2" t="s">
        <v>7</v>
      </c>
      <c r="I362" s="3" t="s">
        <v>213</v>
      </c>
      <c r="J362" s="4" t="s">
        <v>625</v>
      </c>
      <c r="K362" s="3">
        <v>0</v>
      </c>
      <c r="L362" s="5" t="s">
        <v>212</v>
      </c>
      <c r="M362" s="6" t="s">
        <v>668</v>
      </c>
      <c r="O362" s="2" t="s">
        <v>7</v>
      </c>
      <c r="P362" s="3" t="s">
        <v>109</v>
      </c>
      <c r="Q362" s="4" t="s">
        <v>49</v>
      </c>
      <c r="R362" s="3">
        <v>0</v>
      </c>
      <c r="S362" s="6" t="s">
        <v>154</v>
      </c>
      <c r="T362" s="5" t="s">
        <v>88</v>
      </c>
    </row>
    <row r="363" spans="1:20" x14ac:dyDescent="0.3">
      <c r="A363" s="2" t="s">
        <v>12</v>
      </c>
      <c r="B363" s="3" t="s">
        <v>415</v>
      </c>
      <c r="C363" s="5" t="s">
        <v>991</v>
      </c>
      <c r="D363" s="3">
        <v>0</v>
      </c>
      <c r="E363" s="4" t="s">
        <v>636</v>
      </c>
      <c r="F363" s="6" t="s">
        <v>205</v>
      </c>
      <c r="H363" s="2" t="s">
        <v>12</v>
      </c>
      <c r="I363" s="3" t="s">
        <v>849</v>
      </c>
      <c r="J363" s="4" t="s">
        <v>666</v>
      </c>
      <c r="K363" s="3">
        <v>0</v>
      </c>
      <c r="L363" s="6" t="s">
        <v>884</v>
      </c>
      <c r="M363" s="5" t="s">
        <v>383</v>
      </c>
      <c r="O363" s="2" t="s">
        <v>12</v>
      </c>
      <c r="P363" s="3" t="s">
        <v>109</v>
      </c>
      <c r="Q363" s="4" t="s">
        <v>49</v>
      </c>
      <c r="R363" s="3">
        <v>0</v>
      </c>
      <c r="S363" s="6" t="s">
        <v>154</v>
      </c>
      <c r="T363" s="5" t="s">
        <v>88</v>
      </c>
    </row>
    <row r="364" spans="1:20" x14ac:dyDescent="0.3">
      <c r="A364" s="2" t="s">
        <v>17</v>
      </c>
      <c r="B364" s="3" t="s">
        <v>467</v>
      </c>
      <c r="C364" s="5" t="s">
        <v>850</v>
      </c>
      <c r="D364" s="3" t="s">
        <v>25</v>
      </c>
      <c r="E364" s="6" t="s">
        <v>45</v>
      </c>
      <c r="F364" s="4" t="s">
        <v>332</v>
      </c>
      <c r="H364" s="2" t="s">
        <v>17</v>
      </c>
      <c r="I364" s="3" t="s">
        <v>183</v>
      </c>
      <c r="J364" s="4" t="s">
        <v>50</v>
      </c>
      <c r="K364" s="3" t="s">
        <v>25</v>
      </c>
      <c r="L364" s="5" t="s">
        <v>848</v>
      </c>
      <c r="M364" s="6" t="s">
        <v>240</v>
      </c>
      <c r="O364" s="2" t="s">
        <v>17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 x14ac:dyDescent="0.3">
      <c r="A365" s="2" t="s">
        <v>22</v>
      </c>
      <c r="B365" s="3" t="s">
        <v>552</v>
      </c>
      <c r="C365" s="3" t="s">
        <v>25</v>
      </c>
      <c r="D365" s="3" t="s">
        <v>25</v>
      </c>
      <c r="E365" s="5" t="s">
        <v>121</v>
      </c>
      <c r="F365" s="3" t="s">
        <v>25</v>
      </c>
      <c r="H365" s="2" t="s">
        <v>22</v>
      </c>
      <c r="I365" s="3" t="s">
        <v>121</v>
      </c>
      <c r="J365" s="6" t="s">
        <v>108</v>
      </c>
      <c r="K365" s="3" t="s">
        <v>25</v>
      </c>
      <c r="L365" s="3" t="s">
        <v>25</v>
      </c>
      <c r="M365" s="5" t="s">
        <v>99</v>
      </c>
      <c r="O365" s="2" t="s">
        <v>22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 x14ac:dyDescent="0.3">
      <c r="A366" s="7" t="s">
        <v>26</v>
      </c>
      <c r="B366" s="8">
        <v>105</v>
      </c>
      <c r="C366" s="8">
        <v>52</v>
      </c>
      <c r="D366" s="8">
        <v>0</v>
      </c>
      <c r="E366" s="8">
        <v>18</v>
      </c>
      <c r="F366" s="8">
        <v>35</v>
      </c>
      <c r="H366" s="7" t="s">
        <v>26</v>
      </c>
      <c r="I366" s="8">
        <v>54</v>
      </c>
      <c r="J366" s="8">
        <v>20</v>
      </c>
      <c r="K366" s="8">
        <v>0</v>
      </c>
      <c r="L366" s="8">
        <v>9</v>
      </c>
      <c r="M366" s="8">
        <v>25</v>
      </c>
      <c r="O366" s="7" t="s">
        <v>26</v>
      </c>
      <c r="P366" s="8">
        <v>4</v>
      </c>
      <c r="Q366" s="8">
        <v>1</v>
      </c>
      <c r="R366" s="8">
        <v>0</v>
      </c>
      <c r="S366" s="8">
        <v>1</v>
      </c>
      <c r="T366" s="8">
        <v>2</v>
      </c>
    </row>
    <row r="367" spans="1:20" x14ac:dyDescent="0.3">
      <c r="A367" s="9" t="s">
        <v>27</v>
      </c>
      <c r="B367" s="10">
        <v>8</v>
      </c>
      <c r="C367" s="10">
        <v>3</v>
      </c>
      <c r="D367" s="10">
        <v>0</v>
      </c>
      <c r="E367" s="10">
        <v>1</v>
      </c>
      <c r="F367" s="10">
        <v>4</v>
      </c>
      <c r="H367" s="9" t="s">
        <v>27</v>
      </c>
      <c r="I367" s="10">
        <v>8</v>
      </c>
      <c r="J367" s="10">
        <v>6</v>
      </c>
      <c r="K367" s="10">
        <v>0</v>
      </c>
      <c r="L367" s="10">
        <v>1</v>
      </c>
      <c r="M367" s="10">
        <v>1</v>
      </c>
      <c r="O367" s="9" t="s">
        <v>27</v>
      </c>
      <c r="P367" s="10">
        <v>2</v>
      </c>
      <c r="Q367" s="10">
        <v>0</v>
      </c>
      <c r="R367" s="10">
        <v>0</v>
      </c>
      <c r="S367" s="10">
        <v>1</v>
      </c>
      <c r="T367" s="10">
        <v>1</v>
      </c>
    </row>
    <row r="368" spans="1:20" x14ac:dyDescent="0.3">
      <c r="A368" s="9" t="s">
        <v>28</v>
      </c>
      <c r="B368" s="10">
        <v>8</v>
      </c>
      <c r="C368" s="10">
        <v>2</v>
      </c>
      <c r="D368" s="10">
        <v>0</v>
      </c>
      <c r="E368" s="10">
        <v>3</v>
      </c>
      <c r="F368" s="10">
        <v>3</v>
      </c>
      <c r="H368" s="9" t="s">
        <v>28</v>
      </c>
      <c r="I368" s="10">
        <v>2</v>
      </c>
      <c r="J368" s="10">
        <v>2</v>
      </c>
      <c r="K368" s="10">
        <v>0</v>
      </c>
      <c r="L368" s="10">
        <v>0</v>
      </c>
      <c r="M368" s="10">
        <v>0</v>
      </c>
      <c r="O368" s="9" t="s">
        <v>28</v>
      </c>
      <c r="P368" s="10">
        <v>1</v>
      </c>
      <c r="Q368" s="10">
        <v>1</v>
      </c>
      <c r="R368" s="10">
        <v>0</v>
      </c>
      <c r="S368" s="10">
        <v>0</v>
      </c>
      <c r="T368" s="10">
        <v>0</v>
      </c>
    </row>
    <row r="369" spans="1:20" x14ac:dyDescent="0.3">
      <c r="A369" s="9" t="s">
        <v>29</v>
      </c>
      <c r="B369" s="10">
        <v>35</v>
      </c>
      <c r="C369" s="10">
        <v>16</v>
      </c>
      <c r="D369" s="10">
        <v>0</v>
      </c>
      <c r="E369" s="10">
        <v>5</v>
      </c>
      <c r="F369" s="10">
        <v>14</v>
      </c>
      <c r="H369" s="9" t="s">
        <v>29</v>
      </c>
      <c r="I369" s="10">
        <v>15</v>
      </c>
      <c r="J369" s="10">
        <v>4</v>
      </c>
      <c r="K369" s="10">
        <v>0</v>
      </c>
      <c r="L369" s="10">
        <v>3</v>
      </c>
      <c r="M369" s="10">
        <v>8</v>
      </c>
      <c r="O369" s="9" t="s">
        <v>29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3">
      <c r="A370" s="9" t="s">
        <v>30</v>
      </c>
      <c r="B370" s="10">
        <v>54</v>
      </c>
      <c r="C370" s="10">
        <v>31</v>
      </c>
      <c r="D370" s="10">
        <v>0</v>
      </c>
      <c r="E370" s="10">
        <v>9</v>
      </c>
      <c r="F370" s="10">
        <v>14</v>
      </c>
      <c r="H370" s="9" t="s">
        <v>30</v>
      </c>
      <c r="I370" s="10">
        <v>29</v>
      </c>
      <c r="J370" s="10">
        <v>8</v>
      </c>
      <c r="K370" s="10">
        <v>0</v>
      </c>
      <c r="L370" s="10">
        <v>5</v>
      </c>
      <c r="M370" s="10">
        <v>16</v>
      </c>
      <c r="O370" s="9" t="s">
        <v>30</v>
      </c>
      <c r="P370" s="10">
        <v>1</v>
      </c>
      <c r="Q370" s="10">
        <v>0</v>
      </c>
      <c r="R370" s="10">
        <v>0</v>
      </c>
      <c r="S370" s="10">
        <v>0</v>
      </c>
      <c r="T370" s="10">
        <v>1</v>
      </c>
    </row>
    <row r="371" spans="1:20" x14ac:dyDescent="0.3">
      <c r="A371" s="9" t="s">
        <v>31</v>
      </c>
      <c r="B371" s="10">
        <v>0</v>
      </c>
      <c r="C371" s="10">
        <v>0</v>
      </c>
      <c r="D371" s="10">
        <v>0</v>
      </c>
      <c r="E371" s="10">
        <v>0</v>
      </c>
      <c r="F371" s="10">
        <v>0</v>
      </c>
      <c r="H371" s="9" t="s">
        <v>31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O371" s="9" t="s">
        <v>31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</row>
    <row r="372" spans="1:20" x14ac:dyDescent="0.3">
      <c r="A372" s="11" t="s">
        <v>32</v>
      </c>
      <c r="B372" s="12">
        <v>27</v>
      </c>
      <c r="C372" s="12">
        <v>12</v>
      </c>
      <c r="D372" s="12">
        <v>0</v>
      </c>
      <c r="E372" s="12">
        <v>6</v>
      </c>
      <c r="F372" s="12">
        <v>9</v>
      </c>
      <c r="H372" s="11" t="s">
        <v>32</v>
      </c>
      <c r="I372" s="12">
        <v>21</v>
      </c>
      <c r="J372" s="12">
        <v>3</v>
      </c>
      <c r="K372" s="12">
        <v>0</v>
      </c>
      <c r="L372" s="12">
        <v>11</v>
      </c>
      <c r="M372" s="12">
        <v>7</v>
      </c>
      <c r="O372" s="11" t="s">
        <v>32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</row>
    <row r="373" spans="1:20" x14ac:dyDescent="0.3">
      <c r="A373" s="13" t="s">
        <v>33</v>
      </c>
      <c r="B373" s="14">
        <v>0</v>
      </c>
      <c r="C373" s="14">
        <v>0</v>
      </c>
      <c r="D373" s="14">
        <v>0</v>
      </c>
      <c r="E373" s="14">
        <v>0</v>
      </c>
      <c r="F373" s="14">
        <v>0</v>
      </c>
      <c r="H373" s="13" t="s">
        <v>33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O373" s="13" t="s">
        <v>33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</row>
    <row r="374" spans="1:20" x14ac:dyDescent="0.3">
      <c r="A374" s="13" t="s">
        <v>34</v>
      </c>
      <c r="B374" s="14">
        <v>27</v>
      </c>
      <c r="C374" s="14">
        <v>12</v>
      </c>
      <c r="D374" s="14">
        <v>0</v>
      </c>
      <c r="E374" s="14">
        <v>6</v>
      </c>
      <c r="F374" s="14">
        <v>9</v>
      </c>
      <c r="H374" s="13" t="s">
        <v>34</v>
      </c>
      <c r="I374" s="14">
        <v>21</v>
      </c>
      <c r="J374" s="14">
        <v>3</v>
      </c>
      <c r="K374" s="14">
        <v>0</v>
      </c>
      <c r="L374" s="14">
        <v>11</v>
      </c>
      <c r="M374" s="14">
        <v>7</v>
      </c>
      <c r="O374" s="13" t="s">
        <v>34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</row>
    <row r="375" spans="1:20" x14ac:dyDescent="0.3">
      <c r="A375" s="15" t="s">
        <v>35</v>
      </c>
      <c r="B375" s="16">
        <v>1</v>
      </c>
      <c r="C375" s="16">
        <v>0</v>
      </c>
      <c r="D375" s="16">
        <v>0</v>
      </c>
      <c r="E375" s="16">
        <v>1</v>
      </c>
      <c r="F375" s="16">
        <v>0</v>
      </c>
      <c r="H375" s="15" t="s">
        <v>35</v>
      </c>
      <c r="I375" s="16">
        <v>2</v>
      </c>
      <c r="J375" s="16">
        <v>1</v>
      </c>
      <c r="K375" s="16">
        <v>0</v>
      </c>
      <c r="L375" s="16">
        <v>0</v>
      </c>
      <c r="M375" s="16">
        <v>1</v>
      </c>
      <c r="O375" s="15" t="s">
        <v>35</v>
      </c>
      <c r="P375" s="16">
        <v>0</v>
      </c>
      <c r="Q375" s="16">
        <v>0</v>
      </c>
      <c r="R375" s="16">
        <v>0</v>
      </c>
      <c r="S375" s="16">
        <v>0</v>
      </c>
      <c r="T375" s="16">
        <v>0</v>
      </c>
    </row>
    <row r="376" spans="1:20" x14ac:dyDescent="0.3">
      <c r="A376" s="17" t="s">
        <v>36</v>
      </c>
      <c r="B376" s="55">
        <v>1</v>
      </c>
      <c r="C376" s="55">
        <v>0</v>
      </c>
      <c r="D376" s="55">
        <v>0</v>
      </c>
      <c r="E376" s="55">
        <v>1</v>
      </c>
      <c r="F376" s="55">
        <v>0</v>
      </c>
      <c r="H376" s="17" t="s">
        <v>36</v>
      </c>
      <c r="I376" s="100">
        <v>1</v>
      </c>
      <c r="J376" s="100">
        <v>0</v>
      </c>
      <c r="K376" s="100">
        <v>0</v>
      </c>
      <c r="L376" s="100">
        <v>0</v>
      </c>
      <c r="M376" s="100">
        <v>1</v>
      </c>
      <c r="O376" s="17" t="s">
        <v>36</v>
      </c>
      <c r="P376" s="138">
        <v>0</v>
      </c>
      <c r="Q376" s="138">
        <v>0</v>
      </c>
      <c r="R376" s="138">
        <v>0</v>
      </c>
      <c r="S376" s="138">
        <v>0</v>
      </c>
      <c r="T376" s="138">
        <v>0</v>
      </c>
    </row>
    <row r="377" spans="1:20" x14ac:dyDescent="0.3">
      <c r="A377" s="17" t="s">
        <v>37</v>
      </c>
      <c r="B377" s="55">
        <v>0</v>
      </c>
      <c r="C377" s="55">
        <v>0</v>
      </c>
      <c r="D377" s="55">
        <v>0</v>
      </c>
      <c r="E377" s="55">
        <v>0</v>
      </c>
      <c r="F377" s="55">
        <v>0</v>
      </c>
      <c r="H377" s="17" t="s">
        <v>37</v>
      </c>
      <c r="I377" s="100">
        <v>1</v>
      </c>
      <c r="J377" s="100">
        <v>1</v>
      </c>
      <c r="K377" s="100">
        <v>0</v>
      </c>
      <c r="L377" s="100">
        <v>0</v>
      </c>
      <c r="M377" s="100">
        <v>0</v>
      </c>
      <c r="O377" s="17" t="s">
        <v>37</v>
      </c>
      <c r="P377" s="138">
        <v>0</v>
      </c>
      <c r="Q377" s="138">
        <v>0</v>
      </c>
      <c r="R377" s="138">
        <v>0</v>
      </c>
      <c r="S377" s="138">
        <v>0</v>
      </c>
      <c r="T377" s="138">
        <v>0</v>
      </c>
    </row>
    <row r="378" spans="1:20" x14ac:dyDescent="0.3">
      <c r="A378" s="17" t="s">
        <v>38</v>
      </c>
      <c r="B378" s="172" t="s">
        <v>1057</v>
      </c>
      <c r="C378" s="173"/>
      <c r="D378" s="173"/>
      <c r="E378" s="173"/>
      <c r="F378" s="173"/>
      <c r="H378" s="17" t="s">
        <v>38</v>
      </c>
      <c r="I378" s="172" t="s">
        <v>1600</v>
      </c>
      <c r="J378" s="173"/>
      <c r="K378" s="173"/>
      <c r="L378" s="173"/>
      <c r="M378" s="173"/>
      <c r="O378" s="17" t="s">
        <v>38</v>
      </c>
      <c r="P378" s="172" t="s">
        <v>1950</v>
      </c>
      <c r="Q378" s="173"/>
      <c r="R378" s="173"/>
      <c r="S378" s="173"/>
      <c r="T378" s="173"/>
    </row>
    <row r="379" spans="1:20" ht="19.8" x14ac:dyDescent="0.3">
      <c r="A379" s="171">
        <v>46109</v>
      </c>
      <c r="B379" s="174"/>
      <c r="C379" s="174"/>
      <c r="D379" s="174"/>
      <c r="E379" s="174"/>
      <c r="F379" s="174"/>
      <c r="H379" s="171">
        <v>46134</v>
      </c>
      <c r="I379" s="174"/>
      <c r="J379" s="174"/>
      <c r="K379" s="174"/>
      <c r="L379" s="174"/>
      <c r="M379" s="174"/>
      <c r="O379" s="171">
        <v>46165</v>
      </c>
      <c r="P379" s="174"/>
      <c r="Q379" s="174"/>
      <c r="R379" s="174"/>
      <c r="S379" s="174"/>
      <c r="T379" s="174"/>
    </row>
    <row r="380" spans="1:20" x14ac:dyDescent="0.3">
      <c r="A380" s="1" t="s">
        <v>0</v>
      </c>
      <c r="B380" s="1" t="s">
        <v>1</v>
      </c>
      <c r="C380" s="1" t="s">
        <v>2</v>
      </c>
      <c r="D380" s="1" t="s">
        <v>760</v>
      </c>
      <c r="E380" s="1" t="s">
        <v>40</v>
      </c>
      <c r="F380" s="1" t="s">
        <v>4</v>
      </c>
      <c r="H380" s="1" t="s">
        <v>0</v>
      </c>
      <c r="I380" s="1" t="s">
        <v>1</v>
      </c>
      <c r="J380" s="1" t="s">
        <v>2</v>
      </c>
      <c r="K380" s="1" t="s">
        <v>760</v>
      </c>
      <c r="L380" s="1" t="s">
        <v>40</v>
      </c>
      <c r="M380" s="1" t="s">
        <v>4</v>
      </c>
      <c r="O380" s="1" t="s">
        <v>0</v>
      </c>
      <c r="P380" s="1" t="s">
        <v>1</v>
      </c>
      <c r="Q380" s="1" t="s">
        <v>2</v>
      </c>
      <c r="R380" s="1" t="s">
        <v>760</v>
      </c>
      <c r="S380" s="1" t="s">
        <v>40</v>
      </c>
      <c r="T380" s="1" t="s">
        <v>4</v>
      </c>
    </row>
    <row r="381" spans="1:20" x14ac:dyDescent="0.3">
      <c r="A381" s="2" t="s">
        <v>5</v>
      </c>
      <c r="B381" s="3">
        <v>2537</v>
      </c>
      <c r="C381" s="3">
        <v>879</v>
      </c>
      <c r="D381" s="3">
        <v>0</v>
      </c>
      <c r="E381" s="3">
        <v>817</v>
      </c>
      <c r="F381" s="3">
        <v>841</v>
      </c>
      <c r="H381" s="2" t="s">
        <v>5</v>
      </c>
      <c r="I381" s="3">
        <v>2846</v>
      </c>
      <c r="J381" s="3">
        <v>1145</v>
      </c>
      <c r="K381" s="3">
        <v>0</v>
      </c>
      <c r="L381" s="3">
        <v>648</v>
      </c>
      <c r="M381" s="3">
        <v>1053</v>
      </c>
      <c r="O381" s="2" t="s">
        <v>5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</row>
    <row r="382" spans="1:20" x14ac:dyDescent="0.3">
      <c r="A382" s="2" t="s">
        <v>6</v>
      </c>
      <c r="B382" s="3">
        <v>91</v>
      </c>
      <c r="C382" s="6">
        <v>31</v>
      </c>
      <c r="D382" s="3">
        <v>0</v>
      </c>
      <c r="E382" s="5">
        <v>34</v>
      </c>
      <c r="F382" s="4">
        <v>26</v>
      </c>
      <c r="H382" s="2" t="s">
        <v>6</v>
      </c>
      <c r="I382" s="3">
        <v>121</v>
      </c>
      <c r="J382" s="5">
        <v>54</v>
      </c>
      <c r="K382" s="3">
        <v>0</v>
      </c>
      <c r="L382" s="4">
        <v>19</v>
      </c>
      <c r="M382" s="6">
        <v>48</v>
      </c>
      <c r="O382" s="2" t="s">
        <v>6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</row>
    <row r="383" spans="1:20" x14ac:dyDescent="0.3">
      <c r="A383" s="2" t="s">
        <v>7</v>
      </c>
      <c r="B383" s="3" t="s">
        <v>662</v>
      </c>
      <c r="C383" s="6" t="s">
        <v>424</v>
      </c>
      <c r="D383" s="3">
        <v>0</v>
      </c>
      <c r="E383" s="5" t="s">
        <v>961</v>
      </c>
      <c r="F383" s="4" t="s">
        <v>1096</v>
      </c>
      <c r="H383" s="2" t="s">
        <v>7</v>
      </c>
      <c r="I383" s="3" t="s">
        <v>1388</v>
      </c>
      <c r="J383" s="5" t="s">
        <v>1366</v>
      </c>
      <c r="K383" s="3">
        <v>0</v>
      </c>
      <c r="L383" s="4" t="s">
        <v>345</v>
      </c>
      <c r="M383" s="6" t="s">
        <v>1515</v>
      </c>
      <c r="O383" s="2" t="s">
        <v>7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</row>
    <row r="384" spans="1:20" x14ac:dyDescent="0.3">
      <c r="A384" s="2" t="s">
        <v>12</v>
      </c>
      <c r="B384" s="3" t="s">
        <v>539</v>
      </c>
      <c r="C384" s="6" t="s">
        <v>490</v>
      </c>
      <c r="D384" s="3">
        <v>0</v>
      </c>
      <c r="E384" s="5" t="s">
        <v>961</v>
      </c>
      <c r="F384" s="4" t="s">
        <v>1096</v>
      </c>
      <c r="H384" s="2" t="s">
        <v>12</v>
      </c>
      <c r="I384" s="3" t="s">
        <v>533</v>
      </c>
      <c r="J384" s="5" t="s">
        <v>605</v>
      </c>
      <c r="K384" s="3">
        <v>0</v>
      </c>
      <c r="L384" s="4" t="s">
        <v>636</v>
      </c>
      <c r="M384" s="6" t="s">
        <v>1622</v>
      </c>
      <c r="O384" s="2" t="s">
        <v>12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</row>
    <row r="385" spans="1:20" x14ac:dyDescent="0.3">
      <c r="A385" s="2" t="s">
        <v>17</v>
      </c>
      <c r="B385" s="3" t="s">
        <v>99</v>
      </c>
      <c r="C385" s="6" t="s">
        <v>266</v>
      </c>
      <c r="D385" s="3" t="s">
        <v>25</v>
      </c>
      <c r="E385" s="5" t="s">
        <v>347</v>
      </c>
      <c r="F385" s="4" t="s">
        <v>102</v>
      </c>
      <c r="H385" s="2" t="s">
        <v>17</v>
      </c>
      <c r="I385" s="3" t="s">
        <v>78</v>
      </c>
      <c r="J385" s="6" t="s">
        <v>135</v>
      </c>
      <c r="K385" s="3" t="s">
        <v>25</v>
      </c>
      <c r="L385" s="4" t="s">
        <v>74</v>
      </c>
      <c r="M385" s="5" t="s">
        <v>596</v>
      </c>
      <c r="O385" s="2" t="s">
        <v>17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 x14ac:dyDescent="0.3">
      <c r="A386" s="2" t="s">
        <v>22</v>
      </c>
      <c r="B386" s="3" t="s">
        <v>25</v>
      </c>
      <c r="C386" s="3" t="s">
        <v>25</v>
      </c>
      <c r="D386" s="3" t="s">
        <v>25</v>
      </c>
      <c r="E386" s="3" t="s">
        <v>25</v>
      </c>
      <c r="F386" s="3" t="s">
        <v>25</v>
      </c>
      <c r="H386" s="2" t="s">
        <v>22</v>
      </c>
      <c r="I386" s="3" t="s">
        <v>257</v>
      </c>
      <c r="J386" s="3" t="s">
        <v>25</v>
      </c>
      <c r="K386" s="3" t="s">
        <v>25</v>
      </c>
      <c r="L386" s="3" t="s">
        <v>25</v>
      </c>
      <c r="M386" s="5" t="s">
        <v>84</v>
      </c>
      <c r="O386" s="2" t="s">
        <v>22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 x14ac:dyDescent="0.3">
      <c r="A387" s="7" t="s">
        <v>26</v>
      </c>
      <c r="B387" s="8">
        <v>89</v>
      </c>
      <c r="C387" s="8">
        <v>29</v>
      </c>
      <c r="D387" s="8">
        <v>0</v>
      </c>
      <c r="E387" s="8">
        <v>34</v>
      </c>
      <c r="F387" s="8">
        <v>26</v>
      </c>
      <c r="H387" s="7" t="s">
        <v>26</v>
      </c>
      <c r="I387" s="8">
        <v>109</v>
      </c>
      <c r="J387" s="8">
        <v>50</v>
      </c>
      <c r="K387" s="8">
        <v>0</v>
      </c>
      <c r="L387" s="8">
        <v>17</v>
      </c>
      <c r="M387" s="8">
        <v>42</v>
      </c>
      <c r="O387" s="7" t="s">
        <v>26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</row>
    <row r="388" spans="1:20" x14ac:dyDescent="0.3">
      <c r="A388" s="9" t="s">
        <v>27</v>
      </c>
      <c r="B388" s="10">
        <v>7</v>
      </c>
      <c r="C388" s="10">
        <v>1</v>
      </c>
      <c r="D388" s="10">
        <v>0</v>
      </c>
      <c r="E388" s="10">
        <v>3</v>
      </c>
      <c r="F388" s="10">
        <v>3</v>
      </c>
      <c r="H388" s="9" t="s">
        <v>27</v>
      </c>
      <c r="I388" s="10">
        <v>23</v>
      </c>
      <c r="J388" s="10">
        <v>12</v>
      </c>
      <c r="K388" s="10">
        <v>0</v>
      </c>
      <c r="L388" s="10">
        <v>4</v>
      </c>
      <c r="M388" s="10">
        <v>7</v>
      </c>
      <c r="O388" s="9" t="s">
        <v>27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</row>
    <row r="389" spans="1:20" x14ac:dyDescent="0.3">
      <c r="A389" s="9" t="s">
        <v>28</v>
      </c>
      <c r="B389" s="10">
        <v>16</v>
      </c>
      <c r="C389" s="10">
        <v>4</v>
      </c>
      <c r="D389" s="10">
        <v>0</v>
      </c>
      <c r="E389" s="10">
        <v>6</v>
      </c>
      <c r="F389" s="10">
        <v>6</v>
      </c>
      <c r="H389" s="9" t="s">
        <v>28</v>
      </c>
      <c r="I389" s="10">
        <v>7</v>
      </c>
      <c r="J389" s="10">
        <v>3</v>
      </c>
      <c r="K389" s="10">
        <v>0</v>
      </c>
      <c r="L389" s="10">
        <v>1</v>
      </c>
      <c r="M389" s="10">
        <v>3</v>
      </c>
      <c r="O389" s="9" t="s">
        <v>28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</row>
    <row r="390" spans="1:20" x14ac:dyDescent="0.3">
      <c r="A390" s="9" t="s">
        <v>29</v>
      </c>
      <c r="B390" s="10">
        <v>38</v>
      </c>
      <c r="C390" s="10">
        <v>15</v>
      </c>
      <c r="D390" s="10">
        <v>0</v>
      </c>
      <c r="E390" s="10">
        <v>11</v>
      </c>
      <c r="F390" s="10">
        <v>12</v>
      </c>
      <c r="H390" s="9" t="s">
        <v>29</v>
      </c>
      <c r="I390" s="10">
        <v>36</v>
      </c>
      <c r="J390" s="10">
        <v>21</v>
      </c>
      <c r="K390" s="10">
        <v>0</v>
      </c>
      <c r="L390" s="10">
        <v>4</v>
      </c>
      <c r="M390" s="10">
        <v>11</v>
      </c>
      <c r="O390" s="9" t="s">
        <v>29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</row>
    <row r="391" spans="1:20" x14ac:dyDescent="0.3">
      <c r="A391" s="9" t="s">
        <v>30</v>
      </c>
      <c r="B391" s="10">
        <v>28</v>
      </c>
      <c r="C391" s="10">
        <v>9</v>
      </c>
      <c r="D391" s="10">
        <v>0</v>
      </c>
      <c r="E391" s="10">
        <v>14</v>
      </c>
      <c r="F391" s="10">
        <v>5</v>
      </c>
      <c r="H391" s="9" t="s">
        <v>30</v>
      </c>
      <c r="I391" s="10">
        <v>43</v>
      </c>
      <c r="J391" s="10">
        <v>14</v>
      </c>
      <c r="K391" s="10">
        <v>0</v>
      </c>
      <c r="L391" s="10">
        <v>8</v>
      </c>
      <c r="M391" s="10">
        <v>21</v>
      </c>
      <c r="O391" s="9" t="s">
        <v>30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</row>
    <row r="392" spans="1:20" x14ac:dyDescent="0.3">
      <c r="A392" s="9" t="s">
        <v>31</v>
      </c>
      <c r="B392" s="10">
        <v>0</v>
      </c>
      <c r="C392" s="10">
        <v>0</v>
      </c>
      <c r="D392" s="10">
        <v>0</v>
      </c>
      <c r="E392" s="10">
        <v>0</v>
      </c>
      <c r="F392" s="10">
        <v>0</v>
      </c>
      <c r="H392" s="9" t="s">
        <v>31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O392" s="9" t="s">
        <v>31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3">
      <c r="A393" s="11" t="s">
        <v>32</v>
      </c>
      <c r="B393" s="12">
        <v>5</v>
      </c>
      <c r="C393" s="12">
        <v>2</v>
      </c>
      <c r="D393" s="12">
        <v>0</v>
      </c>
      <c r="E393" s="12">
        <v>2</v>
      </c>
      <c r="F393" s="12">
        <v>1</v>
      </c>
      <c r="H393" s="11" t="s">
        <v>32</v>
      </c>
      <c r="I393" s="12">
        <v>12</v>
      </c>
      <c r="J393" s="12">
        <v>4</v>
      </c>
      <c r="K393" s="12">
        <v>0</v>
      </c>
      <c r="L393" s="12">
        <v>2</v>
      </c>
      <c r="M393" s="12">
        <v>6</v>
      </c>
      <c r="O393" s="11" t="s">
        <v>32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</row>
    <row r="394" spans="1:20" x14ac:dyDescent="0.3">
      <c r="A394" s="13" t="s">
        <v>33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H394" s="13" t="s">
        <v>33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O394" s="13" t="s">
        <v>33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</row>
    <row r="395" spans="1:20" x14ac:dyDescent="0.3">
      <c r="A395" s="13" t="s">
        <v>34</v>
      </c>
      <c r="B395" s="14">
        <v>5</v>
      </c>
      <c r="C395" s="14">
        <v>2</v>
      </c>
      <c r="D395" s="14">
        <v>0</v>
      </c>
      <c r="E395" s="14">
        <v>2</v>
      </c>
      <c r="F395" s="14">
        <v>1</v>
      </c>
      <c r="H395" s="13" t="s">
        <v>34</v>
      </c>
      <c r="I395" s="14">
        <v>12</v>
      </c>
      <c r="J395" s="14">
        <v>4</v>
      </c>
      <c r="K395" s="14">
        <v>0</v>
      </c>
      <c r="L395" s="14">
        <v>2</v>
      </c>
      <c r="M395" s="14">
        <v>6</v>
      </c>
      <c r="O395" s="13" t="s">
        <v>34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</row>
    <row r="396" spans="1:20" x14ac:dyDescent="0.3">
      <c r="A396" s="15" t="s">
        <v>35</v>
      </c>
      <c r="B396" s="16">
        <v>0</v>
      </c>
      <c r="C396" s="16">
        <v>0</v>
      </c>
      <c r="D396" s="16">
        <v>0</v>
      </c>
      <c r="E396" s="16">
        <v>0</v>
      </c>
      <c r="F396" s="16">
        <v>0</v>
      </c>
      <c r="H396" s="15" t="s">
        <v>35</v>
      </c>
      <c r="I396" s="16">
        <v>1</v>
      </c>
      <c r="J396" s="16">
        <v>0</v>
      </c>
      <c r="K396" s="16">
        <v>0</v>
      </c>
      <c r="L396" s="16">
        <v>0</v>
      </c>
      <c r="M396" s="16">
        <v>1</v>
      </c>
      <c r="O396" s="15" t="s">
        <v>35</v>
      </c>
      <c r="P396" s="16">
        <v>0</v>
      </c>
      <c r="Q396" s="16">
        <v>0</v>
      </c>
      <c r="R396" s="16">
        <v>0</v>
      </c>
      <c r="S396" s="16">
        <v>0</v>
      </c>
      <c r="T396" s="16">
        <v>0</v>
      </c>
    </row>
    <row r="397" spans="1:20" x14ac:dyDescent="0.3">
      <c r="A397" s="17" t="s">
        <v>36</v>
      </c>
      <c r="B397" s="55">
        <v>0</v>
      </c>
      <c r="C397" s="55">
        <v>0</v>
      </c>
      <c r="D397" s="55">
        <v>0</v>
      </c>
      <c r="E397" s="55">
        <v>0</v>
      </c>
      <c r="F397" s="55">
        <v>0</v>
      </c>
      <c r="H397" s="17" t="s">
        <v>36</v>
      </c>
      <c r="I397" s="100">
        <v>0</v>
      </c>
      <c r="J397" s="100">
        <v>0</v>
      </c>
      <c r="K397" s="100">
        <v>0</v>
      </c>
      <c r="L397" s="100">
        <v>0</v>
      </c>
      <c r="M397" s="100">
        <v>0</v>
      </c>
      <c r="O397" s="17" t="s">
        <v>36</v>
      </c>
      <c r="P397" s="138">
        <v>0</v>
      </c>
      <c r="Q397" s="138">
        <v>0</v>
      </c>
      <c r="R397" s="138">
        <v>0</v>
      </c>
      <c r="S397" s="138">
        <v>0</v>
      </c>
      <c r="T397" s="138">
        <v>0</v>
      </c>
    </row>
    <row r="398" spans="1:20" x14ac:dyDescent="0.3">
      <c r="A398" s="17" t="s">
        <v>37</v>
      </c>
      <c r="B398" s="55">
        <v>0</v>
      </c>
      <c r="C398" s="55">
        <v>0</v>
      </c>
      <c r="D398" s="55">
        <v>0</v>
      </c>
      <c r="E398" s="55">
        <v>0</v>
      </c>
      <c r="F398" s="55">
        <v>0</v>
      </c>
      <c r="H398" s="17" t="s">
        <v>37</v>
      </c>
      <c r="I398" s="100">
        <v>1</v>
      </c>
      <c r="J398" s="100">
        <v>0</v>
      </c>
      <c r="K398" s="100">
        <v>0</v>
      </c>
      <c r="L398" s="100">
        <v>0</v>
      </c>
      <c r="M398" s="100">
        <v>1</v>
      </c>
      <c r="O398" s="17" t="s">
        <v>37</v>
      </c>
      <c r="P398" s="138">
        <v>0</v>
      </c>
      <c r="Q398" s="138">
        <v>0</v>
      </c>
      <c r="R398" s="138">
        <v>0</v>
      </c>
      <c r="S398" s="138">
        <v>0</v>
      </c>
      <c r="T398" s="138">
        <v>0</v>
      </c>
    </row>
    <row r="399" spans="1:20" x14ac:dyDescent="0.3">
      <c r="A399" s="17" t="s">
        <v>38</v>
      </c>
      <c r="B399" s="172" t="s">
        <v>208</v>
      </c>
      <c r="C399" s="173"/>
      <c r="D399" s="173"/>
      <c r="E399" s="173"/>
      <c r="F399" s="173"/>
      <c r="H399" s="17" t="s">
        <v>38</v>
      </c>
      <c r="I399" s="172" t="s">
        <v>1600</v>
      </c>
      <c r="J399" s="173"/>
      <c r="K399" s="173"/>
      <c r="L399" s="173"/>
      <c r="M399" s="173"/>
      <c r="O399" s="17" t="s">
        <v>38</v>
      </c>
      <c r="P399" s="172"/>
      <c r="Q399" s="173"/>
      <c r="R399" s="173"/>
      <c r="S399" s="173"/>
      <c r="T399" s="173"/>
    </row>
    <row r="400" spans="1:20" ht="19.8" x14ac:dyDescent="0.3">
      <c r="A400" s="174" t="s">
        <v>1056</v>
      </c>
      <c r="B400" s="174"/>
      <c r="C400" s="174"/>
      <c r="D400" s="174"/>
      <c r="E400" s="174"/>
      <c r="F400" s="174"/>
      <c r="H400" s="171">
        <v>46135</v>
      </c>
      <c r="I400" s="171"/>
      <c r="J400" s="171"/>
      <c r="K400" s="171"/>
      <c r="L400" s="171"/>
      <c r="M400" s="171"/>
      <c r="O400" s="171">
        <v>46167</v>
      </c>
      <c r="P400" s="171"/>
      <c r="Q400" s="171"/>
      <c r="R400" s="171"/>
      <c r="S400" s="171"/>
      <c r="T400" s="171"/>
    </row>
    <row r="401" spans="1:20" x14ac:dyDescent="0.3">
      <c r="A401" s="1" t="s">
        <v>0</v>
      </c>
      <c r="B401" s="1" t="s">
        <v>1</v>
      </c>
      <c r="C401" s="1" t="s">
        <v>2</v>
      </c>
      <c r="D401" s="1" t="s">
        <v>3</v>
      </c>
      <c r="E401" s="1" t="s">
        <v>40</v>
      </c>
      <c r="F401" s="1" t="s">
        <v>4</v>
      </c>
      <c r="H401" s="1" t="s">
        <v>0</v>
      </c>
      <c r="I401" s="1" t="s">
        <v>1</v>
      </c>
      <c r="J401" s="1" t="s">
        <v>2</v>
      </c>
      <c r="K401" s="1" t="s">
        <v>3</v>
      </c>
      <c r="L401" s="1" t="s">
        <v>40</v>
      </c>
      <c r="M401" s="1" t="s">
        <v>4</v>
      </c>
      <c r="O401" s="1" t="s">
        <v>0</v>
      </c>
      <c r="P401" s="1" t="s">
        <v>1</v>
      </c>
      <c r="Q401" s="1" t="s">
        <v>2</v>
      </c>
      <c r="R401" s="1" t="s">
        <v>760</v>
      </c>
      <c r="S401" s="1" t="s">
        <v>40</v>
      </c>
      <c r="T401" s="1" t="s">
        <v>4</v>
      </c>
    </row>
    <row r="402" spans="1:20" x14ac:dyDescent="0.3">
      <c r="A402" s="2" t="s">
        <v>5</v>
      </c>
      <c r="B402" s="3">
        <v>4526</v>
      </c>
      <c r="C402" s="3">
        <v>1625</v>
      </c>
      <c r="D402" s="3">
        <v>0</v>
      </c>
      <c r="E402" s="3">
        <v>1523</v>
      </c>
      <c r="F402" s="3">
        <v>1378</v>
      </c>
      <c r="H402" s="2" t="s">
        <v>5</v>
      </c>
      <c r="I402" s="3">
        <v>3241</v>
      </c>
      <c r="J402" s="3">
        <v>1214</v>
      </c>
      <c r="K402" s="3">
        <v>0</v>
      </c>
      <c r="L402" s="3">
        <v>1045</v>
      </c>
      <c r="M402" s="3">
        <v>982</v>
      </c>
      <c r="O402" s="2" t="s">
        <v>5</v>
      </c>
      <c r="P402" s="3">
        <v>1724</v>
      </c>
      <c r="Q402" s="3">
        <v>916</v>
      </c>
      <c r="R402" s="3">
        <v>0</v>
      </c>
      <c r="S402" s="3">
        <v>0</v>
      </c>
      <c r="T402" s="3">
        <v>808</v>
      </c>
    </row>
    <row r="403" spans="1:20" x14ac:dyDescent="0.3">
      <c r="A403" s="2" t="s">
        <v>6</v>
      </c>
      <c r="B403" s="3">
        <v>289</v>
      </c>
      <c r="C403" s="5">
        <v>131</v>
      </c>
      <c r="D403" s="3">
        <v>0</v>
      </c>
      <c r="E403" s="6">
        <v>107</v>
      </c>
      <c r="F403" s="4">
        <v>51</v>
      </c>
      <c r="H403" s="2" t="s">
        <v>6</v>
      </c>
      <c r="I403" s="3">
        <v>126</v>
      </c>
      <c r="J403" s="5">
        <v>53</v>
      </c>
      <c r="K403" s="3">
        <v>0</v>
      </c>
      <c r="L403" s="6">
        <v>40</v>
      </c>
      <c r="M403" s="4">
        <v>33</v>
      </c>
      <c r="O403" s="2" t="s">
        <v>6</v>
      </c>
      <c r="P403" s="3">
        <v>1</v>
      </c>
      <c r="Q403" s="5">
        <v>1</v>
      </c>
      <c r="R403" s="3">
        <v>0</v>
      </c>
      <c r="S403" s="3">
        <v>0</v>
      </c>
      <c r="T403" s="3">
        <v>0</v>
      </c>
    </row>
    <row r="404" spans="1:20" x14ac:dyDescent="0.3">
      <c r="A404" s="2" t="s">
        <v>7</v>
      </c>
      <c r="B404" s="3" t="s">
        <v>394</v>
      </c>
      <c r="C404" s="5" t="s">
        <v>446</v>
      </c>
      <c r="D404" s="3">
        <v>0</v>
      </c>
      <c r="E404" s="6" t="s">
        <v>296</v>
      </c>
      <c r="F404" s="4" t="s">
        <v>143</v>
      </c>
      <c r="H404" s="2" t="s">
        <v>7</v>
      </c>
      <c r="I404" s="3" t="s">
        <v>343</v>
      </c>
      <c r="J404" s="5" t="s">
        <v>605</v>
      </c>
      <c r="K404" s="3">
        <v>0</v>
      </c>
      <c r="L404" s="6" t="s">
        <v>533</v>
      </c>
      <c r="M404" s="4" t="s">
        <v>653</v>
      </c>
      <c r="O404" s="2" t="s">
        <v>7</v>
      </c>
      <c r="P404" s="3" t="s">
        <v>268</v>
      </c>
      <c r="Q404" s="5" t="s">
        <v>49</v>
      </c>
      <c r="R404" s="3">
        <v>0</v>
      </c>
      <c r="S404" s="3">
        <v>0</v>
      </c>
      <c r="T404" s="3" t="s">
        <v>25</v>
      </c>
    </row>
    <row r="405" spans="1:20" x14ac:dyDescent="0.3">
      <c r="A405" s="2" t="s">
        <v>12</v>
      </c>
      <c r="B405" s="3" t="s">
        <v>1054</v>
      </c>
      <c r="C405" s="5" t="s">
        <v>1142</v>
      </c>
      <c r="D405" s="3">
        <v>0</v>
      </c>
      <c r="E405" s="6" t="s">
        <v>296</v>
      </c>
      <c r="F405" s="4" t="s">
        <v>143</v>
      </c>
      <c r="H405" s="2" t="s">
        <v>12</v>
      </c>
      <c r="I405" s="3" t="s">
        <v>1500</v>
      </c>
      <c r="J405" s="5" t="s">
        <v>252</v>
      </c>
      <c r="K405" s="3">
        <v>0</v>
      </c>
      <c r="L405" s="4" t="s">
        <v>639</v>
      </c>
      <c r="M405" s="6" t="s">
        <v>16</v>
      </c>
      <c r="O405" s="2" t="s">
        <v>12</v>
      </c>
      <c r="P405" s="3" t="s">
        <v>268</v>
      </c>
      <c r="Q405" s="5" t="s">
        <v>49</v>
      </c>
      <c r="R405" s="3">
        <v>0</v>
      </c>
      <c r="S405" s="3">
        <v>0</v>
      </c>
      <c r="T405" s="3" t="s">
        <v>25</v>
      </c>
    </row>
    <row r="406" spans="1:20" x14ac:dyDescent="0.3">
      <c r="A406" s="2" t="s">
        <v>17</v>
      </c>
      <c r="B406" s="3" t="s">
        <v>332</v>
      </c>
      <c r="C406" s="4" t="s">
        <v>157</v>
      </c>
      <c r="D406" s="3" t="s">
        <v>25</v>
      </c>
      <c r="E406" s="5" t="s">
        <v>452</v>
      </c>
      <c r="F406" s="6" t="s">
        <v>468</v>
      </c>
      <c r="H406" s="2" t="s">
        <v>17</v>
      </c>
      <c r="I406" s="3" t="s">
        <v>65</v>
      </c>
      <c r="J406" s="6" t="s">
        <v>416</v>
      </c>
      <c r="K406" s="3" t="s">
        <v>25</v>
      </c>
      <c r="L406" s="5" t="s">
        <v>467</v>
      </c>
      <c r="M406" s="4" t="s">
        <v>81</v>
      </c>
      <c r="O406" s="2" t="s">
        <v>17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 x14ac:dyDescent="0.3">
      <c r="A407" s="2" t="s">
        <v>22</v>
      </c>
      <c r="B407" s="3" t="s">
        <v>25</v>
      </c>
      <c r="C407" s="3" t="s">
        <v>25</v>
      </c>
      <c r="D407" s="3" t="s">
        <v>25</v>
      </c>
      <c r="E407" s="3" t="s">
        <v>25</v>
      </c>
      <c r="F407" s="3" t="s">
        <v>25</v>
      </c>
      <c r="H407" s="2" t="s">
        <v>22</v>
      </c>
      <c r="I407" s="3" t="s">
        <v>552</v>
      </c>
      <c r="J407" s="3" t="s">
        <v>25</v>
      </c>
      <c r="K407" s="3" t="s">
        <v>25</v>
      </c>
      <c r="L407" s="5" t="s">
        <v>81</v>
      </c>
      <c r="M407" s="3" t="s">
        <v>25</v>
      </c>
      <c r="O407" s="2" t="s">
        <v>22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 x14ac:dyDescent="0.3">
      <c r="A408" s="7" t="s">
        <v>26</v>
      </c>
      <c r="B408" s="8">
        <v>282</v>
      </c>
      <c r="C408" s="8">
        <v>124</v>
      </c>
      <c r="D408" s="8">
        <v>0</v>
      </c>
      <c r="E408" s="8">
        <v>107</v>
      </c>
      <c r="F408" s="8">
        <v>51</v>
      </c>
      <c r="H408" s="7" t="s">
        <v>26</v>
      </c>
      <c r="I408" s="8">
        <v>108</v>
      </c>
      <c r="J408" s="8">
        <v>45</v>
      </c>
      <c r="K408" s="8">
        <v>0</v>
      </c>
      <c r="L408" s="8">
        <v>31</v>
      </c>
      <c r="M408" s="8">
        <v>32</v>
      </c>
      <c r="O408" s="7" t="s">
        <v>26</v>
      </c>
      <c r="P408" s="8">
        <v>1</v>
      </c>
      <c r="Q408" s="8">
        <v>1</v>
      </c>
      <c r="R408" s="8">
        <v>0</v>
      </c>
      <c r="S408" s="8">
        <v>0</v>
      </c>
      <c r="T408" s="8">
        <v>0</v>
      </c>
    </row>
    <row r="409" spans="1:20" x14ac:dyDescent="0.3">
      <c r="A409" s="9" t="s">
        <v>27</v>
      </c>
      <c r="B409" s="10">
        <v>19</v>
      </c>
      <c r="C409" s="10">
        <v>6</v>
      </c>
      <c r="D409" s="10">
        <v>0</v>
      </c>
      <c r="E409" s="10">
        <v>9</v>
      </c>
      <c r="F409" s="10">
        <v>4</v>
      </c>
      <c r="H409" s="9" t="s">
        <v>27</v>
      </c>
      <c r="I409" s="10">
        <v>16</v>
      </c>
      <c r="J409" s="10">
        <v>7</v>
      </c>
      <c r="K409" s="10">
        <v>0</v>
      </c>
      <c r="L409" s="10">
        <v>6</v>
      </c>
      <c r="M409" s="10">
        <v>3</v>
      </c>
      <c r="O409" s="9" t="s">
        <v>27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</row>
    <row r="410" spans="1:20" x14ac:dyDescent="0.3">
      <c r="A410" s="9" t="s">
        <v>28</v>
      </c>
      <c r="B410" s="10">
        <v>32</v>
      </c>
      <c r="C410" s="10">
        <v>9</v>
      </c>
      <c r="D410" s="10">
        <v>0</v>
      </c>
      <c r="E410" s="10">
        <v>10</v>
      </c>
      <c r="F410" s="10">
        <v>13</v>
      </c>
      <c r="H410" s="9" t="s">
        <v>28</v>
      </c>
      <c r="I410" s="10">
        <v>11</v>
      </c>
      <c r="J410" s="10">
        <v>7</v>
      </c>
      <c r="K410" s="10">
        <v>0</v>
      </c>
      <c r="L410" s="10">
        <v>1</v>
      </c>
      <c r="M410" s="10">
        <v>3</v>
      </c>
      <c r="O410" s="9" t="s">
        <v>28</v>
      </c>
      <c r="P410" s="10">
        <v>1</v>
      </c>
      <c r="Q410" s="10">
        <v>1</v>
      </c>
      <c r="R410" s="10">
        <v>0</v>
      </c>
      <c r="S410" s="10">
        <v>0</v>
      </c>
      <c r="T410" s="10">
        <v>0</v>
      </c>
    </row>
    <row r="411" spans="1:20" x14ac:dyDescent="0.3">
      <c r="A411" s="9" t="s">
        <v>29</v>
      </c>
      <c r="B411" s="10">
        <v>54</v>
      </c>
      <c r="C411" s="10">
        <v>19</v>
      </c>
      <c r="D411" s="10">
        <v>0</v>
      </c>
      <c r="E411" s="10">
        <v>19</v>
      </c>
      <c r="F411" s="10">
        <v>16</v>
      </c>
      <c r="H411" s="9" t="s">
        <v>29</v>
      </c>
      <c r="I411" s="10">
        <v>44</v>
      </c>
      <c r="J411" s="10">
        <v>18</v>
      </c>
      <c r="K411" s="10">
        <v>0</v>
      </c>
      <c r="L411" s="10">
        <v>10</v>
      </c>
      <c r="M411" s="10">
        <v>16</v>
      </c>
      <c r="O411" s="9" t="s">
        <v>29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3">
      <c r="A412" s="9" t="s">
        <v>30</v>
      </c>
      <c r="B412" s="10">
        <v>177</v>
      </c>
      <c r="C412" s="10">
        <v>90</v>
      </c>
      <c r="D412" s="10">
        <v>0</v>
      </c>
      <c r="E412" s="10">
        <v>69</v>
      </c>
      <c r="F412" s="10">
        <v>18</v>
      </c>
      <c r="H412" s="9" t="s">
        <v>30</v>
      </c>
      <c r="I412" s="10">
        <v>37</v>
      </c>
      <c r="J412" s="10">
        <v>13</v>
      </c>
      <c r="K412" s="10">
        <v>0</v>
      </c>
      <c r="L412" s="10">
        <v>14</v>
      </c>
      <c r="M412" s="10">
        <v>10</v>
      </c>
      <c r="O412" s="9" t="s">
        <v>30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</row>
    <row r="413" spans="1:20" x14ac:dyDescent="0.3">
      <c r="A413" s="9" t="s">
        <v>31</v>
      </c>
      <c r="B413" s="10">
        <v>0</v>
      </c>
      <c r="C413" s="10">
        <v>0</v>
      </c>
      <c r="D413" s="10">
        <v>0</v>
      </c>
      <c r="E413" s="10">
        <v>0</v>
      </c>
      <c r="F413" s="10">
        <v>0</v>
      </c>
      <c r="H413" s="9" t="s">
        <v>31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O413" s="9" t="s">
        <v>31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3">
      <c r="A414" s="11" t="s">
        <v>32</v>
      </c>
      <c r="B414" s="12">
        <v>35</v>
      </c>
      <c r="C414" s="12">
        <v>7</v>
      </c>
      <c r="D414" s="12">
        <v>0</v>
      </c>
      <c r="E414" s="12">
        <v>15</v>
      </c>
      <c r="F414" s="12">
        <v>13</v>
      </c>
      <c r="H414" s="11" t="s">
        <v>32</v>
      </c>
      <c r="I414" s="12">
        <v>18</v>
      </c>
      <c r="J414" s="12">
        <v>8</v>
      </c>
      <c r="K414" s="12">
        <v>0</v>
      </c>
      <c r="L414" s="12">
        <v>9</v>
      </c>
      <c r="M414" s="12">
        <v>1</v>
      </c>
      <c r="O414" s="11" t="s">
        <v>32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</row>
    <row r="415" spans="1:20" x14ac:dyDescent="0.3">
      <c r="A415" s="13" t="s">
        <v>33</v>
      </c>
      <c r="B415" s="14">
        <v>0</v>
      </c>
      <c r="C415" s="14">
        <v>0</v>
      </c>
      <c r="D415" s="14">
        <v>0</v>
      </c>
      <c r="E415" s="14">
        <v>0</v>
      </c>
      <c r="F415" s="14">
        <v>0</v>
      </c>
      <c r="H415" s="13" t="s">
        <v>33</v>
      </c>
      <c r="I415" s="14">
        <v>2</v>
      </c>
      <c r="J415" s="14">
        <v>0</v>
      </c>
      <c r="K415" s="14">
        <v>0</v>
      </c>
      <c r="L415" s="14">
        <v>1</v>
      </c>
      <c r="M415" s="14">
        <v>1</v>
      </c>
      <c r="O415" s="13" t="s">
        <v>33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</row>
    <row r="416" spans="1:20" x14ac:dyDescent="0.3">
      <c r="A416" s="13" t="s">
        <v>34</v>
      </c>
      <c r="B416" s="14">
        <v>35</v>
      </c>
      <c r="C416" s="14">
        <v>7</v>
      </c>
      <c r="D416" s="14">
        <v>0</v>
      </c>
      <c r="E416" s="14">
        <v>15</v>
      </c>
      <c r="F416" s="14">
        <v>13</v>
      </c>
      <c r="H416" s="13" t="s">
        <v>34</v>
      </c>
      <c r="I416" s="14">
        <v>16</v>
      </c>
      <c r="J416" s="14">
        <v>8</v>
      </c>
      <c r="K416" s="14">
        <v>0</v>
      </c>
      <c r="L416" s="14">
        <v>8</v>
      </c>
      <c r="M416" s="14">
        <v>0</v>
      </c>
      <c r="O416" s="13" t="s">
        <v>34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</row>
    <row r="417" spans="1:20" x14ac:dyDescent="0.3">
      <c r="A417" s="15" t="s">
        <v>35</v>
      </c>
      <c r="B417" s="16">
        <v>0</v>
      </c>
      <c r="C417" s="16">
        <v>0</v>
      </c>
      <c r="D417" s="16">
        <v>0</v>
      </c>
      <c r="E417" s="16">
        <v>0</v>
      </c>
      <c r="F417" s="16">
        <v>0</v>
      </c>
      <c r="H417" s="15" t="s">
        <v>35</v>
      </c>
      <c r="I417" s="16">
        <v>1</v>
      </c>
      <c r="J417" s="16">
        <v>0</v>
      </c>
      <c r="K417" s="16">
        <v>0</v>
      </c>
      <c r="L417" s="16">
        <v>1</v>
      </c>
      <c r="M417" s="16">
        <v>0</v>
      </c>
      <c r="O417" s="15" t="s">
        <v>35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</row>
    <row r="418" spans="1:20" x14ac:dyDescent="0.3">
      <c r="A418" s="17" t="s">
        <v>36</v>
      </c>
      <c r="B418" s="55">
        <v>0</v>
      </c>
      <c r="C418" s="55">
        <v>0</v>
      </c>
      <c r="D418" s="55">
        <v>0</v>
      </c>
      <c r="E418" s="55">
        <v>0</v>
      </c>
      <c r="F418" s="55">
        <v>0</v>
      </c>
      <c r="H418" s="17" t="s">
        <v>36</v>
      </c>
      <c r="I418" s="103">
        <v>0</v>
      </c>
      <c r="J418" s="103">
        <v>0</v>
      </c>
      <c r="K418" s="103">
        <v>0</v>
      </c>
      <c r="L418" s="103">
        <v>0</v>
      </c>
      <c r="M418" s="103">
        <v>0</v>
      </c>
      <c r="O418" s="17" t="s">
        <v>36</v>
      </c>
      <c r="P418" s="138">
        <v>0</v>
      </c>
      <c r="Q418" s="138">
        <v>0</v>
      </c>
      <c r="R418" s="138">
        <v>0</v>
      </c>
      <c r="S418" s="138">
        <v>0</v>
      </c>
      <c r="T418" s="138">
        <v>0</v>
      </c>
    </row>
    <row r="419" spans="1:20" x14ac:dyDescent="0.3">
      <c r="A419" s="17" t="s">
        <v>37</v>
      </c>
      <c r="B419" s="55">
        <v>0</v>
      </c>
      <c r="C419" s="55">
        <v>0</v>
      </c>
      <c r="D419" s="55">
        <v>0</v>
      </c>
      <c r="E419" s="55">
        <v>0</v>
      </c>
      <c r="F419" s="55">
        <v>0</v>
      </c>
      <c r="H419" s="17" t="s">
        <v>37</v>
      </c>
      <c r="I419" s="103">
        <v>1</v>
      </c>
      <c r="J419" s="103">
        <v>0</v>
      </c>
      <c r="K419" s="103">
        <v>0</v>
      </c>
      <c r="L419" s="103">
        <v>1</v>
      </c>
      <c r="M419" s="103">
        <v>0</v>
      </c>
      <c r="O419" s="17" t="s">
        <v>37</v>
      </c>
      <c r="P419" s="138">
        <v>0</v>
      </c>
      <c r="Q419" s="138">
        <v>0</v>
      </c>
      <c r="R419" s="138">
        <v>0</v>
      </c>
      <c r="S419" s="138">
        <v>0</v>
      </c>
      <c r="T419" s="138">
        <v>0</v>
      </c>
    </row>
    <row r="420" spans="1:20" x14ac:dyDescent="0.3">
      <c r="A420" s="17" t="s">
        <v>38</v>
      </c>
      <c r="B420" s="172" t="s">
        <v>208</v>
      </c>
      <c r="C420" s="173"/>
      <c r="D420" s="173"/>
      <c r="E420" s="173"/>
      <c r="F420" s="173"/>
      <c r="H420" s="17" t="s">
        <v>38</v>
      </c>
      <c r="I420" s="172" t="s">
        <v>1600</v>
      </c>
      <c r="J420" s="173"/>
      <c r="K420" s="173"/>
      <c r="L420" s="173"/>
      <c r="M420" s="173"/>
      <c r="O420" s="17" t="s">
        <v>38</v>
      </c>
      <c r="P420" s="172" t="s">
        <v>2002</v>
      </c>
      <c r="Q420" s="173"/>
      <c r="R420" s="173"/>
      <c r="S420" s="173"/>
      <c r="T420" s="173"/>
    </row>
    <row r="421" spans="1:20" ht="19.8" x14ac:dyDescent="0.3">
      <c r="A421" s="171">
        <v>46112</v>
      </c>
      <c r="B421" s="174"/>
      <c r="C421" s="174"/>
      <c r="D421" s="174"/>
      <c r="E421" s="174"/>
      <c r="F421" s="174"/>
      <c r="H421" s="170">
        <v>46136</v>
      </c>
      <c r="I421" s="170"/>
      <c r="J421" s="170"/>
      <c r="K421" s="170"/>
      <c r="L421" s="170"/>
      <c r="M421" s="170"/>
      <c r="O421" s="171">
        <v>46168</v>
      </c>
      <c r="P421" s="171"/>
      <c r="Q421" s="171"/>
      <c r="R421" s="171"/>
      <c r="S421" s="171"/>
      <c r="T421" s="171"/>
    </row>
    <row r="422" spans="1:20" x14ac:dyDescent="0.3">
      <c r="A422" s="1" t="s">
        <v>0</v>
      </c>
      <c r="B422" s="1" t="s">
        <v>1</v>
      </c>
      <c r="C422" s="1" t="s">
        <v>2</v>
      </c>
      <c r="D422" s="1" t="s">
        <v>3</v>
      </c>
      <c r="E422" s="1" t="s">
        <v>40</v>
      </c>
      <c r="F422" s="1" t="s">
        <v>4</v>
      </c>
      <c r="H422" s="1" t="s">
        <v>0</v>
      </c>
      <c r="I422" s="1" t="s">
        <v>1</v>
      </c>
      <c r="J422" s="1" t="s">
        <v>2</v>
      </c>
      <c r="K422" s="1" t="s">
        <v>3</v>
      </c>
      <c r="L422" s="1" t="s">
        <v>40</v>
      </c>
      <c r="M422" s="1" t="s">
        <v>4</v>
      </c>
      <c r="O422" s="1" t="s">
        <v>0</v>
      </c>
      <c r="P422" s="1" t="s">
        <v>1</v>
      </c>
      <c r="Q422" s="1" t="s">
        <v>2</v>
      </c>
      <c r="R422" s="179" t="s">
        <v>3</v>
      </c>
      <c r="S422" s="179" t="s">
        <v>870</v>
      </c>
      <c r="T422" s="1" t="s">
        <v>4</v>
      </c>
    </row>
    <row r="423" spans="1:20" x14ac:dyDescent="0.3">
      <c r="A423" s="2" t="s">
        <v>5</v>
      </c>
      <c r="B423" s="3">
        <v>4998</v>
      </c>
      <c r="C423" s="3">
        <v>1803</v>
      </c>
      <c r="D423" s="3">
        <v>0</v>
      </c>
      <c r="E423" s="3">
        <v>1658</v>
      </c>
      <c r="F423" s="3">
        <v>1537</v>
      </c>
      <c r="H423" s="2" t="s">
        <v>5</v>
      </c>
      <c r="I423" s="3">
        <v>3018</v>
      </c>
      <c r="J423" s="3">
        <v>1127</v>
      </c>
      <c r="K423" s="3">
        <v>0</v>
      </c>
      <c r="L423" s="3">
        <v>1031</v>
      </c>
      <c r="M423" s="3">
        <v>860</v>
      </c>
      <c r="O423" s="2" t="s">
        <v>5</v>
      </c>
      <c r="P423" s="3">
        <v>2142</v>
      </c>
      <c r="Q423" s="3">
        <v>1075</v>
      </c>
      <c r="R423" s="181">
        <v>0</v>
      </c>
      <c r="S423" s="181">
        <v>0</v>
      </c>
      <c r="T423" s="3">
        <v>1067</v>
      </c>
    </row>
    <row r="424" spans="1:20" x14ac:dyDescent="0.3">
      <c r="A424" s="2" t="s">
        <v>6</v>
      </c>
      <c r="B424" s="3">
        <v>318</v>
      </c>
      <c r="C424" s="5">
        <v>137</v>
      </c>
      <c r="D424" s="3">
        <v>0</v>
      </c>
      <c r="E424" s="6">
        <v>128</v>
      </c>
      <c r="F424" s="4">
        <v>53</v>
      </c>
      <c r="H424" s="2" t="s">
        <v>6</v>
      </c>
      <c r="I424" s="3">
        <v>72</v>
      </c>
      <c r="J424" s="5">
        <v>31</v>
      </c>
      <c r="K424" s="3">
        <v>0</v>
      </c>
      <c r="L424" s="6">
        <v>24</v>
      </c>
      <c r="M424" s="4">
        <v>17</v>
      </c>
      <c r="O424" s="2" t="s">
        <v>6</v>
      </c>
      <c r="P424" s="3">
        <v>5</v>
      </c>
      <c r="Q424" s="6">
        <v>2</v>
      </c>
      <c r="R424" s="181">
        <v>0</v>
      </c>
      <c r="S424" s="181">
        <v>0</v>
      </c>
      <c r="T424" s="5">
        <v>3</v>
      </c>
    </row>
    <row r="425" spans="1:20" x14ac:dyDescent="0.3">
      <c r="A425" s="2" t="s">
        <v>7</v>
      </c>
      <c r="B425" s="3" t="s">
        <v>498</v>
      </c>
      <c r="C425" s="6" t="s">
        <v>1126</v>
      </c>
      <c r="D425" s="3">
        <v>0</v>
      </c>
      <c r="E425" s="5" t="s">
        <v>1187</v>
      </c>
      <c r="F425" s="4" t="s">
        <v>411</v>
      </c>
      <c r="H425" s="2" t="s">
        <v>7</v>
      </c>
      <c r="I425" s="3" t="s">
        <v>1239</v>
      </c>
      <c r="J425" s="5" t="s">
        <v>1083</v>
      </c>
      <c r="K425" s="3">
        <v>0</v>
      </c>
      <c r="L425" s="6" t="s">
        <v>1017</v>
      </c>
      <c r="M425" s="4" t="s">
        <v>724</v>
      </c>
      <c r="O425" s="2" t="s">
        <v>7</v>
      </c>
      <c r="P425" s="3" t="s">
        <v>266</v>
      </c>
      <c r="Q425" s="6" t="s">
        <v>136</v>
      </c>
      <c r="R425" s="181">
        <v>0</v>
      </c>
      <c r="S425" s="181">
        <v>0</v>
      </c>
      <c r="T425" s="5" t="s">
        <v>595</v>
      </c>
    </row>
    <row r="426" spans="1:20" x14ac:dyDescent="0.3">
      <c r="A426" s="2" t="s">
        <v>12</v>
      </c>
      <c r="B426" s="3" t="s">
        <v>1188</v>
      </c>
      <c r="C426" s="6" t="s">
        <v>1076</v>
      </c>
      <c r="D426" s="3">
        <v>0</v>
      </c>
      <c r="E426" s="5" t="s">
        <v>1187</v>
      </c>
      <c r="F426" s="4" t="s">
        <v>411</v>
      </c>
      <c r="H426" s="2" t="s">
        <v>12</v>
      </c>
      <c r="I426" s="3" t="s">
        <v>803</v>
      </c>
      <c r="J426" s="5" t="s">
        <v>541</v>
      </c>
      <c r="K426" s="3">
        <v>0</v>
      </c>
      <c r="L426" s="6" t="s">
        <v>131</v>
      </c>
      <c r="M426" s="4" t="s">
        <v>155</v>
      </c>
      <c r="O426" s="2" t="s">
        <v>12</v>
      </c>
      <c r="P426" s="3" t="s">
        <v>266</v>
      </c>
      <c r="Q426" s="6" t="s">
        <v>136</v>
      </c>
      <c r="R426" s="181">
        <v>0</v>
      </c>
      <c r="S426" s="181">
        <v>0</v>
      </c>
      <c r="T426" s="5" t="s">
        <v>595</v>
      </c>
    </row>
    <row r="427" spans="1:20" x14ac:dyDescent="0.3">
      <c r="A427" s="2" t="s">
        <v>17</v>
      </c>
      <c r="B427" s="3" t="s">
        <v>78</v>
      </c>
      <c r="C427" s="4" t="s">
        <v>108</v>
      </c>
      <c r="D427" s="3" t="s">
        <v>25</v>
      </c>
      <c r="E427" s="5" t="s">
        <v>416</v>
      </c>
      <c r="F427" s="6" t="s">
        <v>317</v>
      </c>
      <c r="H427" s="2" t="s">
        <v>17</v>
      </c>
      <c r="I427" s="3" t="s">
        <v>418</v>
      </c>
      <c r="J427" s="4" t="s">
        <v>88</v>
      </c>
      <c r="K427" s="3" t="s">
        <v>25</v>
      </c>
      <c r="L427" s="6" t="s">
        <v>227</v>
      </c>
      <c r="M427" s="5" t="s">
        <v>148</v>
      </c>
      <c r="O427" s="2" t="s">
        <v>17</v>
      </c>
      <c r="P427" s="3" t="s">
        <v>25</v>
      </c>
      <c r="Q427" s="3" t="s">
        <v>25</v>
      </c>
      <c r="R427" s="181" t="s">
        <v>25</v>
      </c>
      <c r="S427" s="181" t="s">
        <v>25</v>
      </c>
      <c r="T427" s="3" t="s">
        <v>25</v>
      </c>
    </row>
    <row r="428" spans="1:20" x14ac:dyDescent="0.3">
      <c r="A428" s="2" t="s">
        <v>22</v>
      </c>
      <c r="B428" s="3" t="s">
        <v>267</v>
      </c>
      <c r="C428" s="3" t="s">
        <v>25</v>
      </c>
      <c r="D428" s="3" t="s">
        <v>25</v>
      </c>
      <c r="E428" s="3" t="s">
        <v>25</v>
      </c>
      <c r="F428" s="5" t="s">
        <v>138</v>
      </c>
      <c r="H428" s="2" t="s">
        <v>22</v>
      </c>
      <c r="I428" s="3" t="s">
        <v>75</v>
      </c>
      <c r="J428" s="6" t="s">
        <v>84</v>
      </c>
      <c r="K428" s="3" t="s">
        <v>25</v>
      </c>
      <c r="L428" s="3" t="s">
        <v>25</v>
      </c>
      <c r="M428" s="5" t="s">
        <v>135</v>
      </c>
      <c r="O428" s="2" t="s">
        <v>22</v>
      </c>
      <c r="P428" s="3" t="s">
        <v>25</v>
      </c>
      <c r="Q428" s="3" t="s">
        <v>25</v>
      </c>
      <c r="R428" s="181" t="s">
        <v>25</v>
      </c>
      <c r="S428" s="181" t="s">
        <v>25</v>
      </c>
      <c r="T428" s="3" t="s">
        <v>25</v>
      </c>
    </row>
    <row r="429" spans="1:20" x14ac:dyDescent="0.3">
      <c r="A429" s="7" t="s">
        <v>26</v>
      </c>
      <c r="B429" s="8">
        <v>315</v>
      </c>
      <c r="C429" s="8">
        <v>134</v>
      </c>
      <c r="D429" s="8">
        <v>0</v>
      </c>
      <c r="E429" s="8">
        <v>128</v>
      </c>
      <c r="F429" s="8">
        <v>53</v>
      </c>
      <c r="H429" s="7" t="s">
        <v>26</v>
      </c>
      <c r="I429" s="8">
        <v>61</v>
      </c>
      <c r="J429" s="8">
        <v>28</v>
      </c>
      <c r="K429" s="8">
        <v>0</v>
      </c>
      <c r="L429" s="8">
        <v>20</v>
      </c>
      <c r="M429" s="8">
        <v>13</v>
      </c>
      <c r="O429" s="7" t="s">
        <v>26</v>
      </c>
      <c r="P429" s="8">
        <v>5</v>
      </c>
      <c r="Q429" s="8">
        <v>2</v>
      </c>
      <c r="R429" s="186">
        <v>0</v>
      </c>
      <c r="S429" s="186">
        <v>0</v>
      </c>
      <c r="T429" s="8">
        <v>3</v>
      </c>
    </row>
    <row r="430" spans="1:20" x14ac:dyDescent="0.3">
      <c r="A430" s="9" t="s">
        <v>27</v>
      </c>
      <c r="B430" s="10">
        <v>21</v>
      </c>
      <c r="C430" s="10">
        <v>9</v>
      </c>
      <c r="D430" s="10">
        <v>0</v>
      </c>
      <c r="E430" s="10">
        <v>5</v>
      </c>
      <c r="F430" s="10">
        <v>7</v>
      </c>
      <c r="H430" s="9" t="s">
        <v>27</v>
      </c>
      <c r="I430" s="10">
        <v>10</v>
      </c>
      <c r="J430" s="10">
        <v>7</v>
      </c>
      <c r="K430" s="10">
        <v>0</v>
      </c>
      <c r="L430" s="10">
        <v>2</v>
      </c>
      <c r="M430" s="10">
        <v>1</v>
      </c>
      <c r="O430" s="9" t="s">
        <v>27</v>
      </c>
      <c r="P430" s="10">
        <v>4</v>
      </c>
      <c r="Q430" s="10">
        <v>2</v>
      </c>
      <c r="R430" s="188">
        <v>0</v>
      </c>
      <c r="S430" s="188">
        <v>0</v>
      </c>
      <c r="T430" s="10">
        <v>2</v>
      </c>
    </row>
    <row r="431" spans="1:20" x14ac:dyDescent="0.3">
      <c r="A431" s="9" t="s">
        <v>28</v>
      </c>
      <c r="B431" s="10">
        <v>8</v>
      </c>
      <c r="C431" s="10">
        <v>3</v>
      </c>
      <c r="D431" s="10">
        <v>0</v>
      </c>
      <c r="E431" s="10">
        <v>2</v>
      </c>
      <c r="F431" s="10">
        <v>3</v>
      </c>
      <c r="H431" s="9" t="s">
        <v>28</v>
      </c>
      <c r="I431" s="10">
        <v>8</v>
      </c>
      <c r="J431" s="10">
        <v>3</v>
      </c>
      <c r="K431" s="10">
        <v>0</v>
      </c>
      <c r="L431" s="10">
        <v>4</v>
      </c>
      <c r="M431" s="10">
        <v>1</v>
      </c>
      <c r="O431" s="9" t="s">
        <v>28</v>
      </c>
      <c r="P431" s="10">
        <v>1</v>
      </c>
      <c r="Q431" s="10">
        <v>0</v>
      </c>
      <c r="R431" s="188">
        <v>0</v>
      </c>
      <c r="S431" s="188">
        <v>0</v>
      </c>
      <c r="T431" s="10">
        <v>1</v>
      </c>
    </row>
    <row r="432" spans="1:20" x14ac:dyDescent="0.3">
      <c r="A432" s="9" t="s">
        <v>29</v>
      </c>
      <c r="B432" s="10">
        <v>50</v>
      </c>
      <c r="C432" s="10">
        <v>16</v>
      </c>
      <c r="D432" s="10">
        <v>0</v>
      </c>
      <c r="E432" s="10">
        <v>12</v>
      </c>
      <c r="F432" s="10">
        <v>22</v>
      </c>
      <c r="H432" s="9" t="s">
        <v>29</v>
      </c>
      <c r="I432" s="10">
        <v>29</v>
      </c>
      <c r="J432" s="10">
        <v>10</v>
      </c>
      <c r="K432" s="10">
        <v>0</v>
      </c>
      <c r="L432" s="10">
        <v>9</v>
      </c>
      <c r="M432" s="10">
        <v>10</v>
      </c>
      <c r="O432" s="9" t="s">
        <v>29</v>
      </c>
      <c r="P432" s="10">
        <v>0</v>
      </c>
      <c r="Q432" s="10">
        <v>0</v>
      </c>
      <c r="R432" s="188">
        <v>0</v>
      </c>
      <c r="S432" s="188">
        <v>0</v>
      </c>
      <c r="T432" s="10">
        <v>0</v>
      </c>
    </row>
    <row r="433" spans="1:20" x14ac:dyDescent="0.3">
      <c r="A433" s="9" t="s">
        <v>30</v>
      </c>
      <c r="B433" s="10">
        <v>236</v>
      </c>
      <c r="C433" s="10">
        <v>106</v>
      </c>
      <c r="D433" s="10">
        <v>0</v>
      </c>
      <c r="E433" s="10">
        <v>109</v>
      </c>
      <c r="F433" s="10">
        <v>21</v>
      </c>
      <c r="H433" s="9" t="s">
        <v>30</v>
      </c>
      <c r="I433" s="10">
        <v>14</v>
      </c>
      <c r="J433" s="10">
        <v>8</v>
      </c>
      <c r="K433" s="10">
        <v>0</v>
      </c>
      <c r="L433" s="10">
        <v>5</v>
      </c>
      <c r="M433" s="10">
        <v>1</v>
      </c>
      <c r="O433" s="9" t="s">
        <v>30</v>
      </c>
      <c r="P433" s="10">
        <v>0</v>
      </c>
      <c r="Q433" s="10">
        <v>0</v>
      </c>
      <c r="R433" s="188">
        <v>0</v>
      </c>
      <c r="S433" s="188">
        <v>0</v>
      </c>
      <c r="T433" s="10">
        <v>0</v>
      </c>
    </row>
    <row r="434" spans="1:20" x14ac:dyDescent="0.3">
      <c r="A434" s="9" t="s">
        <v>31</v>
      </c>
      <c r="B434" s="10">
        <v>0</v>
      </c>
      <c r="C434" s="10">
        <v>0</v>
      </c>
      <c r="D434" s="10">
        <v>0</v>
      </c>
      <c r="E434" s="10">
        <v>0</v>
      </c>
      <c r="F434" s="10">
        <v>0</v>
      </c>
      <c r="H434" s="9" t="s">
        <v>31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O434" s="9" t="s">
        <v>31</v>
      </c>
      <c r="P434" s="10">
        <v>0</v>
      </c>
      <c r="Q434" s="10">
        <v>0</v>
      </c>
      <c r="R434" s="188">
        <v>0</v>
      </c>
      <c r="S434" s="188">
        <v>0</v>
      </c>
      <c r="T434" s="10">
        <v>0</v>
      </c>
    </row>
    <row r="435" spans="1:20" x14ac:dyDescent="0.3">
      <c r="A435" s="11" t="s">
        <v>32</v>
      </c>
      <c r="B435" s="12">
        <v>21</v>
      </c>
      <c r="C435" s="12">
        <v>3</v>
      </c>
      <c r="D435" s="12">
        <v>0</v>
      </c>
      <c r="E435" s="12">
        <v>11</v>
      </c>
      <c r="F435" s="12">
        <v>7</v>
      </c>
      <c r="H435" s="11" t="s">
        <v>32</v>
      </c>
      <c r="I435" s="12">
        <v>10</v>
      </c>
      <c r="J435" s="12">
        <v>3</v>
      </c>
      <c r="K435" s="12">
        <v>0</v>
      </c>
      <c r="L435" s="12">
        <v>3</v>
      </c>
      <c r="M435" s="12">
        <v>4</v>
      </c>
      <c r="O435" s="11" t="s">
        <v>32</v>
      </c>
      <c r="P435" s="12">
        <v>0</v>
      </c>
      <c r="Q435" s="12">
        <v>0</v>
      </c>
      <c r="R435" s="190">
        <v>0</v>
      </c>
      <c r="S435" s="190">
        <v>0</v>
      </c>
      <c r="T435" s="12">
        <v>0</v>
      </c>
    </row>
    <row r="436" spans="1:20" x14ac:dyDescent="0.3">
      <c r="A436" s="13" t="s">
        <v>33</v>
      </c>
      <c r="B436" s="14">
        <v>0</v>
      </c>
      <c r="C436" s="14">
        <v>0</v>
      </c>
      <c r="D436" s="14">
        <v>0</v>
      </c>
      <c r="E436" s="14">
        <v>0</v>
      </c>
      <c r="F436" s="14">
        <v>0</v>
      </c>
      <c r="H436" s="13" t="s">
        <v>33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O436" s="13" t="s">
        <v>33</v>
      </c>
      <c r="P436" s="14">
        <v>0</v>
      </c>
      <c r="Q436" s="14">
        <v>0</v>
      </c>
      <c r="R436" s="192">
        <v>0</v>
      </c>
      <c r="S436" s="192">
        <v>0</v>
      </c>
      <c r="T436" s="14">
        <v>0</v>
      </c>
    </row>
    <row r="437" spans="1:20" x14ac:dyDescent="0.3">
      <c r="A437" s="13" t="s">
        <v>34</v>
      </c>
      <c r="B437" s="14">
        <v>21</v>
      </c>
      <c r="C437" s="14">
        <v>3</v>
      </c>
      <c r="D437" s="14">
        <v>0</v>
      </c>
      <c r="E437" s="14">
        <v>11</v>
      </c>
      <c r="F437" s="14">
        <v>7</v>
      </c>
      <c r="H437" s="13" t="s">
        <v>34</v>
      </c>
      <c r="I437" s="14">
        <v>10</v>
      </c>
      <c r="J437" s="14">
        <v>3</v>
      </c>
      <c r="K437" s="14">
        <v>0</v>
      </c>
      <c r="L437" s="14">
        <v>3</v>
      </c>
      <c r="M437" s="14">
        <v>4</v>
      </c>
      <c r="O437" s="13" t="s">
        <v>34</v>
      </c>
      <c r="P437" s="14">
        <v>0</v>
      </c>
      <c r="Q437" s="14">
        <v>0</v>
      </c>
      <c r="R437" s="192">
        <v>0</v>
      </c>
      <c r="S437" s="192">
        <v>0</v>
      </c>
      <c r="T437" s="14">
        <v>0</v>
      </c>
    </row>
    <row r="438" spans="1:20" x14ac:dyDescent="0.3">
      <c r="A438" s="15" t="s">
        <v>35</v>
      </c>
      <c r="B438" s="16">
        <v>1</v>
      </c>
      <c r="C438" s="16">
        <v>0</v>
      </c>
      <c r="D438" s="16">
        <v>0</v>
      </c>
      <c r="E438" s="16">
        <v>0</v>
      </c>
      <c r="F438" s="16">
        <v>1</v>
      </c>
      <c r="H438" s="15" t="s">
        <v>35</v>
      </c>
      <c r="I438" s="16">
        <v>4</v>
      </c>
      <c r="J438" s="16">
        <v>1</v>
      </c>
      <c r="K438" s="16">
        <v>0</v>
      </c>
      <c r="L438" s="16">
        <v>0</v>
      </c>
      <c r="M438" s="16">
        <v>3</v>
      </c>
      <c r="O438" s="15" t="s">
        <v>35</v>
      </c>
      <c r="P438" s="16">
        <v>0</v>
      </c>
      <c r="Q438" s="16">
        <v>0</v>
      </c>
      <c r="R438" s="194">
        <v>0</v>
      </c>
      <c r="S438" s="194">
        <v>0</v>
      </c>
      <c r="T438" s="16">
        <v>0</v>
      </c>
    </row>
    <row r="439" spans="1:20" x14ac:dyDescent="0.3">
      <c r="A439" s="17" t="s">
        <v>36</v>
      </c>
      <c r="B439" s="56">
        <v>0</v>
      </c>
      <c r="C439" s="56">
        <v>0</v>
      </c>
      <c r="D439" s="56">
        <v>0</v>
      </c>
      <c r="E439" s="56">
        <v>0</v>
      </c>
      <c r="F439" s="56">
        <v>0</v>
      </c>
      <c r="H439" s="17" t="s">
        <v>36</v>
      </c>
      <c r="I439" s="109">
        <v>1</v>
      </c>
      <c r="J439" s="109">
        <v>0</v>
      </c>
      <c r="K439" s="109">
        <v>0</v>
      </c>
      <c r="L439" s="109">
        <v>0</v>
      </c>
      <c r="M439" s="109">
        <v>1</v>
      </c>
      <c r="O439" s="17" t="s">
        <v>36</v>
      </c>
      <c r="P439" s="138">
        <v>0</v>
      </c>
      <c r="Q439" s="138">
        <v>0</v>
      </c>
      <c r="R439" s="196">
        <v>0</v>
      </c>
      <c r="S439" s="196">
        <v>0</v>
      </c>
      <c r="T439" s="138">
        <v>0</v>
      </c>
    </row>
    <row r="440" spans="1:20" x14ac:dyDescent="0.3">
      <c r="A440" s="17" t="s">
        <v>37</v>
      </c>
      <c r="B440" s="56">
        <v>1</v>
      </c>
      <c r="C440" s="56">
        <v>0</v>
      </c>
      <c r="D440" s="56">
        <v>0</v>
      </c>
      <c r="E440" s="56">
        <v>0</v>
      </c>
      <c r="F440" s="56">
        <v>1</v>
      </c>
      <c r="H440" s="17" t="s">
        <v>37</v>
      </c>
      <c r="I440" s="109">
        <v>3</v>
      </c>
      <c r="J440" s="109">
        <v>1</v>
      </c>
      <c r="K440" s="109">
        <v>0</v>
      </c>
      <c r="L440" s="109">
        <v>0</v>
      </c>
      <c r="M440" s="109">
        <v>2</v>
      </c>
      <c r="O440" s="17" t="s">
        <v>37</v>
      </c>
      <c r="P440" s="138">
        <v>0</v>
      </c>
      <c r="Q440" s="138">
        <v>0</v>
      </c>
      <c r="R440" s="196">
        <v>0</v>
      </c>
      <c r="S440" s="196">
        <v>0</v>
      </c>
      <c r="T440" s="138">
        <v>0</v>
      </c>
    </row>
    <row r="441" spans="1:20" x14ac:dyDescent="0.3">
      <c r="A441" s="17" t="s">
        <v>38</v>
      </c>
      <c r="B441" s="172" t="s">
        <v>208</v>
      </c>
      <c r="C441" s="173"/>
      <c r="D441" s="173"/>
      <c r="E441" s="173"/>
      <c r="F441" s="173"/>
      <c r="H441" s="17" t="s">
        <v>38</v>
      </c>
      <c r="I441" s="172" t="s">
        <v>1600</v>
      </c>
      <c r="J441" s="173"/>
      <c r="K441" s="173"/>
      <c r="L441" s="173"/>
      <c r="M441" s="173"/>
      <c r="O441" s="17" t="s">
        <v>38</v>
      </c>
      <c r="P441" s="172"/>
      <c r="Q441" s="173"/>
      <c r="R441" s="173"/>
      <c r="S441" s="173"/>
      <c r="T441" s="173"/>
    </row>
    <row r="442" spans="1:20" ht="19.8" x14ac:dyDescent="0.3">
      <c r="H442" s="171">
        <v>46137</v>
      </c>
      <c r="I442" s="171"/>
      <c r="J442" s="171"/>
      <c r="K442" s="171"/>
      <c r="L442" s="171"/>
      <c r="M442" s="171"/>
      <c r="O442" s="170">
        <v>46169</v>
      </c>
      <c r="P442" s="170"/>
      <c r="Q442" s="170"/>
      <c r="R442" s="170"/>
      <c r="S442" s="170"/>
      <c r="T442" s="170"/>
    </row>
    <row r="443" spans="1:20" x14ac:dyDescent="0.3">
      <c r="H443" s="1" t="s">
        <v>0</v>
      </c>
      <c r="I443" s="1" t="s">
        <v>1</v>
      </c>
      <c r="J443" s="1" t="s">
        <v>2</v>
      </c>
      <c r="K443" s="1" t="s">
        <v>3</v>
      </c>
      <c r="L443" s="1" t="s">
        <v>40</v>
      </c>
      <c r="M443" s="1" t="s">
        <v>4</v>
      </c>
      <c r="O443" s="1" t="s">
        <v>0</v>
      </c>
      <c r="P443" s="1" t="s">
        <v>1</v>
      </c>
      <c r="Q443" s="1" t="s">
        <v>2</v>
      </c>
      <c r="R443" s="179" t="s">
        <v>3</v>
      </c>
      <c r="S443" s="179" t="s">
        <v>870</v>
      </c>
      <c r="T443" s="1" t="s">
        <v>4</v>
      </c>
    </row>
    <row r="444" spans="1:20" x14ac:dyDescent="0.3">
      <c r="H444" s="2" t="s">
        <v>5</v>
      </c>
      <c r="I444" s="3">
        <v>2312</v>
      </c>
      <c r="J444" s="3">
        <v>845</v>
      </c>
      <c r="K444" s="3">
        <v>0</v>
      </c>
      <c r="L444" s="3">
        <v>769</v>
      </c>
      <c r="M444" s="3">
        <v>698</v>
      </c>
      <c r="O444" s="2" t="s">
        <v>5</v>
      </c>
      <c r="P444" s="3">
        <v>1371</v>
      </c>
      <c r="Q444" s="3">
        <v>711</v>
      </c>
      <c r="R444" s="181">
        <v>0</v>
      </c>
      <c r="S444" s="181">
        <v>0</v>
      </c>
      <c r="T444" s="3">
        <v>660</v>
      </c>
    </row>
    <row r="445" spans="1:20" x14ac:dyDescent="0.3">
      <c r="H445" s="2" t="s">
        <v>6</v>
      </c>
      <c r="I445" s="3">
        <v>78</v>
      </c>
      <c r="J445" s="6">
        <v>26</v>
      </c>
      <c r="K445" s="3">
        <v>0</v>
      </c>
      <c r="L445" s="4">
        <v>25</v>
      </c>
      <c r="M445" s="5">
        <v>27</v>
      </c>
      <c r="O445" s="2" t="s">
        <v>6</v>
      </c>
      <c r="P445" s="3">
        <v>2</v>
      </c>
      <c r="Q445" s="3">
        <v>0</v>
      </c>
      <c r="R445" s="181">
        <v>0</v>
      </c>
      <c r="S445" s="181">
        <v>0</v>
      </c>
      <c r="T445" s="5">
        <v>2</v>
      </c>
    </row>
    <row r="446" spans="1:20" x14ac:dyDescent="0.3">
      <c r="H446" s="2" t="s">
        <v>7</v>
      </c>
      <c r="I446" s="3" t="s">
        <v>130</v>
      </c>
      <c r="J446" s="4" t="s">
        <v>575</v>
      </c>
      <c r="K446" s="3">
        <v>0</v>
      </c>
      <c r="L446" s="6" t="s">
        <v>72</v>
      </c>
      <c r="M446" s="5" t="s">
        <v>142</v>
      </c>
      <c r="O446" s="2" t="s">
        <v>7</v>
      </c>
      <c r="P446" s="3" t="s">
        <v>121</v>
      </c>
      <c r="Q446" s="3" t="s">
        <v>25</v>
      </c>
      <c r="R446" s="181">
        <v>0</v>
      </c>
      <c r="S446" s="181">
        <v>0</v>
      </c>
      <c r="T446" s="5" t="s">
        <v>147</v>
      </c>
    </row>
    <row r="447" spans="1:20" x14ac:dyDescent="0.3">
      <c r="H447" s="2" t="s">
        <v>12</v>
      </c>
      <c r="I447" s="3" t="s">
        <v>1474</v>
      </c>
      <c r="J447" s="4" t="s">
        <v>1235</v>
      </c>
      <c r="K447" s="3">
        <v>0</v>
      </c>
      <c r="L447" s="6" t="s">
        <v>473</v>
      </c>
      <c r="M447" s="5" t="s">
        <v>469</v>
      </c>
      <c r="O447" s="2" t="s">
        <v>12</v>
      </c>
      <c r="P447" s="3" t="s">
        <v>121</v>
      </c>
      <c r="Q447" s="3" t="s">
        <v>25</v>
      </c>
      <c r="R447" s="181">
        <v>0</v>
      </c>
      <c r="S447" s="181">
        <v>0</v>
      </c>
      <c r="T447" s="5" t="s">
        <v>147</v>
      </c>
    </row>
    <row r="448" spans="1:20" x14ac:dyDescent="0.3">
      <c r="H448" s="2" t="s">
        <v>17</v>
      </c>
      <c r="I448" s="3" t="s">
        <v>147</v>
      </c>
      <c r="J448" s="4" t="s">
        <v>347</v>
      </c>
      <c r="K448" s="3" t="s">
        <v>25</v>
      </c>
      <c r="L448" s="5" t="s">
        <v>419</v>
      </c>
      <c r="M448" s="6" t="s">
        <v>227</v>
      </c>
      <c r="O448" s="2" t="s">
        <v>17</v>
      </c>
      <c r="P448" s="3" t="s">
        <v>25</v>
      </c>
      <c r="Q448" s="3" t="s">
        <v>25</v>
      </c>
      <c r="R448" s="181" t="s">
        <v>25</v>
      </c>
      <c r="S448" s="181" t="s">
        <v>25</v>
      </c>
      <c r="T448" s="3" t="s">
        <v>25</v>
      </c>
    </row>
    <row r="449" spans="8:20" x14ac:dyDescent="0.3">
      <c r="H449" s="2" t="s">
        <v>22</v>
      </c>
      <c r="I449" s="3" t="s">
        <v>84</v>
      </c>
      <c r="J449" s="3" t="s">
        <v>25</v>
      </c>
      <c r="K449" s="3" t="s">
        <v>25</v>
      </c>
      <c r="L449" s="6" t="s">
        <v>75</v>
      </c>
      <c r="M449" s="5" t="s">
        <v>310</v>
      </c>
      <c r="O449" s="2" t="s">
        <v>22</v>
      </c>
      <c r="P449" s="3" t="s">
        <v>25</v>
      </c>
      <c r="Q449" s="3" t="s">
        <v>25</v>
      </c>
      <c r="R449" s="181" t="s">
        <v>25</v>
      </c>
      <c r="S449" s="181" t="s">
        <v>25</v>
      </c>
      <c r="T449" s="3" t="s">
        <v>25</v>
      </c>
    </row>
    <row r="450" spans="8:20" x14ac:dyDescent="0.3">
      <c r="H450" s="7" t="s">
        <v>26</v>
      </c>
      <c r="I450" s="8">
        <v>71</v>
      </c>
      <c r="J450" s="8">
        <v>24</v>
      </c>
      <c r="K450" s="8">
        <v>0</v>
      </c>
      <c r="L450" s="8">
        <v>22</v>
      </c>
      <c r="M450" s="8">
        <v>25</v>
      </c>
      <c r="O450" s="7" t="s">
        <v>26</v>
      </c>
      <c r="P450" s="8">
        <v>2</v>
      </c>
      <c r="Q450" s="8">
        <v>0</v>
      </c>
      <c r="R450" s="186">
        <v>0</v>
      </c>
      <c r="S450" s="186">
        <v>0</v>
      </c>
      <c r="T450" s="8">
        <v>2</v>
      </c>
    </row>
    <row r="451" spans="8:20" x14ac:dyDescent="0.3">
      <c r="H451" s="9" t="s">
        <v>27</v>
      </c>
      <c r="I451" s="10">
        <v>10</v>
      </c>
      <c r="J451" s="10">
        <v>4</v>
      </c>
      <c r="K451" s="10">
        <v>0</v>
      </c>
      <c r="L451" s="10">
        <v>3</v>
      </c>
      <c r="M451" s="10">
        <v>3</v>
      </c>
      <c r="O451" s="9" t="s">
        <v>27</v>
      </c>
      <c r="P451" s="10">
        <v>0</v>
      </c>
      <c r="Q451" s="10">
        <v>0</v>
      </c>
      <c r="R451" s="188">
        <v>0</v>
      </c>
      <c r="S451" s="188">
        <v>0</v>
      </c>
      <c r="T451" s="10">
        <v>0</v>
      </c>
    </row>
    <row r="452" spans="8:20" x14ac:dyDescent="0.3">
      <c r="H452" s="9" t="s">
        <v>28</v>
      </c>
      <c r="I452" s="10">
        <v>7</v>
      </c>
      <c r="J452" s="10">
        <v>0</v>
      </c>
      <c r="K452" s="10">
        <v>0</v>
      </c>
      <c r="L452" s="10">
        <v>0</v>
      </c>
      <c r="M452" s="10">
        <v>7</v>
      </c>
      <c r="O452" s="9" t="s">
        <v>28</v>
      </c>
      <c r="P452" s="10">
        <v>0</v>
      </c>
      <c r="Q452" s="10">
        <v>0</v>
      </c>
      <c r="R452" s="188">
        <v>0</v>
      </c>
      <c r="S452" s="188">
        <v>0</v>
      </c>
      <c r="T452" s="10">
        <v>0</v>
      </c>
    </row>
    <row r="453" spans="8:20" x14ac:dyDescent="0.3">
      <c r="H453" s="9" t="s">
        <v>29</v>
      </c>
      <c r="I453" s="10">
        <v>35</v>
      </c>
      <c r="J453" s="10">
        <v>15</v>
      </c>
      <c r="K453" s="10">
        <v>0</v>
      </c>
      <c r="L453" s="10">
        <v>10</v>
      </c>
      <c r="M453" s="10">
        <v>10</v>
      </c>
      <c r="O453" s="9" t="s">
        <v>29</v>
      </c>
      <c r="P453" s="10">
        <v>0</v>
      </c>
      <c r="Q453" s="10">
        <v>0</v>
      </c>
      <c r="R453" s="188">
        <v>0</v>
      </c>
      <c r="S453" s="188">
        <v>0</v>
      </c>
      <c r="T453" s="10">
        <v>0</v>
      </c>
    </row>
    <row r="454" spans="8:20" x14ac:dyDescent="0.3">
      <c r="H454" s="9" t="s">
        <v>30</v>
      </c>
      <c r="I454" s="10">
        <v>19</v>
      </c>
      <c r="J454" s="10">
        <v>5</v>
      </c>
      <c r="K454" s="10">
        <v>0</v>
      </c>
      <c r="L454" s="10">
        <v>9</v>
      </c>
      <c r="M454" s="10">
        <v>5</v>
      </c>
      <c r="O454" s="9" t="s">
        <v>30</v>
      </c>
      <c r="P454" s="10">
        <v>2</v>
      </c>
      <c r="Q454" s="10">
        <v>0</v>
      </c>
      <c r="R454" s="188">
        <v>0</v>
      </c>
      <c r="S454" s="188">
        <v>0</v>
      </c>
      <c r="T454" s="10">
        <v>2</v>
      </c>
    </row>
    <row r="455" spans="8:20" x14ac:dyDescent="0.3">
      <c r="H455" s="9" t="s">
        <v>31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O455" s="9" t="s">
        <v>31</v>
      </c>
      <c r="P455" s="10">
        <v>0</v>
      </c>
      <c r="Q455" s="10">
        <v>0</v>
      </c>
      <c r="R455" s="188">
        <v>0</v>
      </c>
      <c r="S455" s="188">
        <v>0</v>
      </c>
      <c r="T455" s="10">
        <v>0</v>
      </c>
    </row>
    <row r="456" spans="8:20" x14ac:dyDescent="0.3">
      <c r="H456" s="11" t="s">
        <v>32</v>
      </c>
      <c r="I456" s="12">
        <v>7</v>
      </c>
      <c r="J456" s="12">
        <v>2</v>
      </c>
      <c r="K456" s="12">
        <v>0</v>
      </c>
      <c r="L456" s="12">
        <v>3</v>
      </c>
      <c r="M456" s="12">
        <v>2</v>
      </c>
      <c r="O456" s="11" t="s">
        <v>32</v>
      </c>
      <c r="P456" s="12">
        <v>0</v>
      </c>
      <c r="Q456" s="12">
        <v>0</v>
      </c>
      <c r="R456" s="190">
        <v>0</v>
      </c>
      <c r="S456" s="190">
        <v>0</v>
      </c>
      <c r="T456" s="12">
        <v>0</v>
      </c>
    </row>
    <row r="457" spans="8:20" x14ac:dyDescent="0.3">
      <c r="H457" s="13" t="s">
        <v>33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O457" s="13" t="s">
        <v>33</v>
      </c>
      <c r="P457" s="14">
        <v>0</v>
      </c>
      <c r="Q457" s="14">
        <v>0</v>
      </c>
      <c r="R457" s="192">
        <v>0</v>
      </c>
      <c r="S457" s="192">
        <v>0</v>
      </c>
      <c r="T457" s="14">
        <v>0</v>
      </c>
    </row>
    <row r="458" spans="8:20" x14ac:dyDescent="0.3">
      <c r="H458" s="13" t="s">
        <v>34</v>
      </c>
      <c r="I458" s="14">
        <v>7</v>
      </c>
      <c r="J458" s="14">
        <v>2</v>
      </c>
      <c r="K458" s="14">
        <v>0</v>
      </c>
      <c r="L458" s="14">
        <v>3</v>
      </c>
      <c r="M458" s="14">
        <v>2</v>
      </c>
      <c r="O458" s="13" t="s">
        <v>34</v>
      </c>
      <c r="P458" s="14">
        <v>0</v>
      </c>
      <c r="Q458" s="14">
        <v>0</v>
      </c>
      <c r="R458" s="192">
        <v>0</v>
      </c>
      <c r="S458" s="192">
        <v>0</v>
      </c>
      <c r="T458" s="14">
        <v>0</v>
      </c>
    </row>
    <row r="459" spans="8:20" x14ac:dyDescent="0.3">
      <c r="H459" s="15" t="s">
        <v>35</v>
      </c>
      <c r="I459" s="16">
        <v>2</v>
      </c>
      <c r="J459" s="16">
        <v>0</v>
      </c>
      <c r="K459" s="16">
        <v>0</v>
      </c>
      <c r="L459" s="16">
        <v>1</v>
      </c>
      <c r="M459" s="16">
        <v>1</v>
      </c>
      <c r="O459" s="15" t="s">
        <v>35</v>
      </c>
      <c r="P459" s="16">
        <v>0</v>
      </c>
      <c r="Q459" s="16">
        <v>0</v>
      </c>
      <c r="R459" s="194">
        <v>0</v>
      </c>
      <c r="S459" s="194">
        <v>0</v>
      </c>
      <c r="T459" s="16">
        <v>0</v>
      </c>
    </row>
    <row r="460" spans="8:20" x14ac:dyDescent="0.3">
      <c r="H460" s="17" t="s">
        <v>36</v>
      </c>
      <c r="I460" s="109">
        <v>1</v>
      </c>
      <c r="J460" s="109">
        <v>0</v>
      </c>
      <c r="K460" s="109">
        <v>0</v>
      </c>
      <c r="L460" s="109">
        <v>1</v>
      </c>
      <c r="M460" s="109">
        <v>0</v>
      </c>
      <c r="O460" s="17" t="s">
        <v>36</v>
      </c>
      <c r="P460" s="138">
        <v>0</v>
      </c>
      <c r="Q460" s="138">
        <v>0</v>
      </c>
      <c r="R460" s="196">
        <v>0</v>
      </c>
      <c r="S460" s="196">
        <v>0</v>
      </c>
      <c r="T460" s="138">
        <v>0</v>
      </c>
    </row>
    <row r="461" spans="8:20" x14ac:dyDescent="0.3">
      <c r="H461" s="17" t="s">
        <v>37</v>
      </c>
      <c r="I461" s="109">
        <v>1</v>
      </c>
      <c r="J461" s="109">
        <v>0</v>
      </c>
      <c r="K461" s="109">
        <v>0</v>
      </c>
      <c r="L461" s="109">
        <v>0</v>
      </c>
      <c r="M461" s="109">
        <v>1</v>
      </c>
      <c r="O461" s="17" t="s">
        <v>37</v>
      </c>
      <c r="P461" s="138">
        <v>0</v>
      </c>
      <c r="Q461" s="138">
        <v>0</v>
      </c>
      <c r="R461" s="196">
        <v>0</v>
      </c>
      <c r="S461" s="196">
        <v>0</v>
      </c>
      <c r="T461" s="138">
        <v>0</v>
      </c>
    </row>
    <row r="462" spans="8:20" x14ac:dyDescent="0.3">
      <c r="H462" s="17" t="s">
        <v>38</v>
      </c>
      <c r="I462" s="172" t="s">
        <v>1600</v>
      </c>
      <c r="J462" s="173"/>
      <c r="K462" s="173"/>
      <c r="L462" s="173"/>
      <c r="M462" s="173"/>
      <c r="O462" s="17" t="s">
        <v>38</v>
      </c>
      <c r="P462" s="175"/>
      <c r="Q462" s="176"/>
      <c r="R462" s="176"/>
      <c r="S462" s="176"/>
      <c r="T462" s="176"/>
    </row>
    <row r="463" spans="8:20" ht="19.8" x14ac:dyDescent="0.3">
      <c r="H463" s="170">
        <v>46139</v>
      </c>
      <c r="I463" s="169"/>
      <c r="J463" s="169"/>
      <c r="K463" s="169"/>
      <c r="L463" s="169"/>
      <c r="M463" s="169"/>
      <c r="O463" s="171">
        <v>46170</v>
      </c>
      <c r="P463" s="174"/>
      <c r="Q463" s="174"/>
      <c r="R463" s="174"/>
      <c r="S463" s="174"/>
      <c r="T463" s="174"/>
    </row>
    <row r="464" spans="8:20" x14ac:dyDescent="0.3">
      <c r="H464" s="1" t="s">
        <v>0</v>
      </c>
      <c r="I464" s="1" t="s">
        <v>1</v>
      </c>
      <c r="J464" s="1" t="s">
        <v>2</v>
      </c>
      <c r="K464" s="1" t="s">
        <v>3</v>
      </c>
      <c r="L464" s="1" t="s">
        <v>40</v>
      </c>
      <c r="M464" s="1" t="s">
        <v>4</v>
      </c>
      <c r="O464" s="179" t="s">
        <v>0</v>
      </c>
      <c r="P464" s="179" t="s">
        <v>1</v>
      </c>
      <c r="Q464" s="179" t="s">
        <v>2</v>
      </c>
      <c r="R464" s="179" t="s">
        <v>760</v>
      </c>
      <c r="S464" s="179" t="s">
        <v>40</v>
      </c>
      <c r="T464" s="179" t="s">
        <v>4</v>
      </c>
    </row>
    <row r="465" spans="8:20" x14ac:dyDescent="0.3">
      <c r="H465" s="2" t="s">
        <v>5</v>
      </c>
      <c r="I465" s="3">
        <v>3270</v>
      </c>
      <c r="J465" s="3">
        <v>1184</v>
      </c>
      <c r="K465" s="3">
        <v>0</v>
      </c>
      <c r="L465" s="3">
        <v>1054</v>
      </c>
      <c r="M465" s="3">
        <v>1032</v>
      </c>
      <c r="O465" s="180" t="s">
        <v>5</v>
      </c>
      <c r="P465" s="181">
        <v>0</v>
      </c>
      <c r="Q465" s="181">
        <v>0</v>
      </c>
      <c r="R465" s="181">
        <v>0</v>
      </c>
      <c r="S465" s="181">
        <v>0</v>
      </c>
      <c r="T465" s="181">
        <v>0</v>
      </c>
    </row>
    <row r="466" spans="8:20" x14ac:dyDescent="0.3">
      <c r="H466" s="2" t="s">
        <v>6</v>
      </c>
      <c r="I466" s="3">
        <v>97</v>
      </c>
      <c r="J466" s="5">
        <v>38</v>
      </c>
      <c r="K466" s="3">
        <v>0</v>
      </c>
      <c r="L466" s="4">
        <v>24</v>
      </c>
      <c r="M466" s="6">
        <v>35</v>
      </c>
      <c r="O466" s="180" t="s">
        <v>6</v>
      </c>
      <c r="P466" s="181">
        <v>0</v>
      </c>
      <c r="Q466" s="181">
        <v>0</v>
      </c>
      <c r="R466" s="181">
        <v>0</v>
      </c>
      <c r="S466" s="181">
        <v>0</v>
      </c>
      <c r="T466" s="181">
        <v>0</v>
      </c>
    </row>
    <row r="467" spans="8:20" x14ac:dyDescent="0.3">
      <c r="H467" s="2" t="s">
        <v>7</v>
      </c>
      <c r="I467" s="3" t="s">
        <v>639</v>
      </c>
      <c r="J467" s="6" t="s">
        <v>225</v>
      </c>
      <c r="K467" s="3">
        <v>0</v>
      </c>
      <c r="L467" s="4" t="s">
        <v>201</v>
      </c>
      <c r="M467" s="5" t="s">
        <v>1007</v>
      </c>
      <c r="O467" s="180" t="s">
        <v>7</v>
      </c>
      <c r="P467" s="181">
        <v>0</v>
      </c>
      <c r="Q467" s="181">
        <v>0</v>
      </c>
      <c r="R467" s="181">
        <v>0</v>
      </c>
      <c r="S467" s="181">
        <v>0</v>
      </c>
      <c r="T467" s="181">
        <v>0</v>
      </c>
    </row>
    <row r="468" spans="8:20" x14ac:dyDescent="0.3">
      <c r="H468" s="2" t="s">
        <v>12</v>
      </c>
      <c r="I468" s="3" t="s">
        <v>1381</v>
      </c>
      <c r="J468" s="5" t="s">
        <v>1411</v>
      </c>
      <c r="K468" s="3">
        <v>0</v>
      </c>
      <c r="L468" s="4" t="s">
        <v>201</v>
      </c>
      <c r="M468" s="6" t="s">
        <v>1248</v>
      </c>
      <c r="O468" s="180" t="s">
        <v>12</v>
      </c>
      <c r="P468" s="181">
        <v>0</v>
      </c>
      <c r="Q468" s="181">
        <v>0</v>
      </c>
      <c r="R468" s="181">
        <v>0</v>
      </c>
      <c r="S468" s="181">
        <v>0</v>
      </c>
      <c r="T468" s="181">
        <v>0</v>
      </c>
    </row>
    <row r="469" spans="8:20" x14ac:dyDescent="0.3">
      <c r="H469" s="2" t="s">
        <v>17</v>
      </c>
      <c r="I469" s="3" t="s">
        <v>109</v>
      </c>
      <c r="J469" s="6" t="s">
        <v>108</v>
      </c>
      <c r="K469" s="3" t="s">
        <v>25</v>
      </c>
      <c r="L469" s="3" t="s">
        <v>25</v>
      </c>
      <c r="M469" s="5" t="s">
        <v>419</v>
      </c>
      <c r="O469" s="180" t="s">
        <v>17</v>
      </c>
      <c r="P469" s="181" t="s">
        <v>25</v>
      </c>
      <c r="Q469" s="181" t="s">
        <v>25</v>
      </c>
      <c r="R469" s="181" t="s">
        <v>25</v>
      </c>
      <c r="S469" s="181" t="s">
        <v>25</v>
      </c>
      <c r="T469" s="181" t="s">
        <v>25</v>
      </c>
    </row>
    <row r="470" spans="8:20" x14ac:dyDescent="0.3">
      <c r="H470" s="2" t="s">
        <v>22</v>
      </c>
      <c r="I470" s="3" t="s">
        <v>84</v>
      </c>
      <c r="J470" s="5" t="s">
        <v>108</v>
      </c>
      <c r="K470" s="3" t="s">
        <v>25</v>
      </c>
      <c r="L470" s="3" t="s">
        <v>25</v>
      </c>
      <c r="M470" s="6" t="s">
        <v>81</v>
      </c>
      <c r="O470" s="180" t="s">
        <v>22</v>
      </c>
      <c r="P470" s="181" t="s">
        <v>25</v>
      </c>
      <c r="Q470" s="181" t="s">
        <v>25</v>
      </c>
      <c r="R470" s="181" t="s">
        <v>25</v>
      </c>
      <c r="S470" s="181" t="s">
        <v>25</v>
      </c>
      <c r="T470" s="181" t="s">
        <v>25</v>
      </c>
    </row>
    <row r="471" spans="8:20" x14ac:dyDescent="0.3">
      <c r="H471" s="7" t="s">
        <v>26</v>
      </c>
      <c r="I471" s="8">
        <v>91</v>
      </c>
      <c r="J471" s="8">
        <v>36</v>
      </c>
      <c r="K471" s="8">
        <v>0</v>
      </c>
      <c r="L471" s="8">
        <v>24</v>
      </c>
      <c r="M471" s="8">
        <v>31</v>
      </c>
      <c r="O471" s="185" t="s">
        <v>26</v>
      </c>
      <c r="P471" s="186">
        <v>0</v>
      </c>
      <c r="Q471" s="186">
        <v>0</v>
      </c>
      <c r="R471" s="186">
        <v>0</v>
      </c>
      <c r="S471" s="186">
        <v>0</v>
      </c>
      <c r="T471" s="186">
        <v>0</v>
      </c>
    </row>
    <row r="472" spans="8:20" x14ac:dyDescent="0.3">
      <c r="H472" s="9" t="s">
        <v>27</v>
      </c>
      <c r="I472" s="10">
        <v>14</v>
      </c>
      <c r="J472" s="10">
        <v>5</v>
      </c>
      <c r="K472" s="10">
        <v>0</v>
      </c>
      <c r="L472" s="10">
        <v>5</v>
      </c>
      <c r="M472" s="10">
        <v>4</v>
      </c>
      <c r="O472" s="187" t="s">
        <v>27</v>
      </c>
      <c r="P472" s="188">
        <v>0</v>
      </c>
      <c r="Q472" s="188">
        <v>0</v>
      </c>
      <c r="R472" s="188">
        <v>0</v>
      </c>
      <c r="S472" s="188">
        <v>0</v>
      </c>
      <c r="T472" s="188">
        <v>0</v>
      </c>
    </row>
    <row r="473" spans="8:20" x14ac:dyDescent="0.3">
      <c r="H473" s="9" t="s">
        <v>28</v>
      </c>
      <c r="I473" s="10">
        <v>17</v>
      </c>
      <c r="J473" s="10">
        <v>5</v>
      </c>
      <c r="K473" s="10">
        <v>0</v>
      </c>
      <c r="L473" s="10">
        <v>4</v>
      </c>
      <c r="M473" s="10">
        <v>8</v>
      </c>
      <c r="O473" s="187" t="s">
        <v>28</v>
      </c>
      <c r="P473" s="188">
        <v>0</v>
      </c>
      <c r="Q473" s="188">
        <v>0</v>
      </c>
      <c r="R473" s="188">
        <v>0</v>
      </c>
      <c r="S473" s="188">
        <v>0</v>
      </c>
      <c r="T473" s="188">
        <v>0</v>
      </c>
    </row>
    <row r="474" spans="8:20" x14ac:dyDescent="0.3">
      <c r="H474" s="9" t="s">
        <v>29</v>
      </c>
      <c r="I474" s="10">
        <v>40</v>
      </c>
      <c r="J474" s="10">
        <v>16</v>
      </c>
      <c r="K474" s="10">
        <v>0</v>
      </c>
      <c r="L474" s="10">
        <v>11</v>
      </c>
      <c r="M474" s="10">
        <v>13</v>
      </c>
      <c r="O474" s="187" t="s">
        <v>29</v>
      </c>
      <c r="P474" s="188">
        <v>0</v>
      </c>
      <c r="Q474" s="188">
        <v>0</v>
      </c>
      <c r="R474" s="188">
        <v>0</v>
      </c>
      <c r="S474" s="188">
        <v>0</v>
      </c>
      <c r="T474" s="188">
        <v>0</v>
      </c>
    </row>
    <row r="475" spans="8:20" x14ac:dyDescent="0.3">
      <c r="H475" s="9" t="s">
        <v>30</v>
      </c>
      <c r="I475" s="10">
        <v>20</v>
      </c>
      <c r="J475" s="10">
        <v>10</v>
      </c>
      <c r="K475" s="10">
        <v>0</v>
      </c>
      <c r="L475" s="10">
        <v>4</v>
      </c>
      <c r="M475" s="10">
        <v>6</v>
      </c>
      <c r="O475" s="187" t="s">
        <v>30</v>
      </c>
      <c r="P475" s="188">
        <v>0</v>
      </c>
      <c r="Q475" s="188">
        <v>0</v>
      </c>
      <c r="R475" s="188">
        <v>0</v>
      </c>
      <c r="S475" s="188">
        <v>0</v>
      </c>
      <c r="T475" s="188">
        <v>0</v>
      </c>
    </row>
    <row r="476" spans="8:20" x14ac:dyDescent="0.3">
      <c r="H476" s="9" t="s">
        <v>31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O476" s="187" t="s">
        <v>31</v>
      </c>
      <c r="P476" s="188">
        <v>0</v>
      </c>
      <c r="Q476" s="188">
        <v>0</v>
      </c>
      <c r="R476" s="188">
        <v>0</v>
      </c>
      <c r="S476" s="188">
        <v>0</v>
      </c>
      <c r="T476" s="188">
        <v>0</v>
      </c>
    </row>
    <row r="477" spans="8:20" x14ac:dyDescent="0.3">
      <c r="H477" s="11" t="s">
        <v>32</v>
      </c>
      <c r="I477" s="12">
        <v>6</v>
      </c>
      <c r="J477" s="12">
        <v>2</v>
      </c>
      <c r="K477" s="12">
        <v>0</v>
      </c>
      <c r="L477" s="12">
        <v>0</v>
      </c>
      <c r="M477" s="12">
        <v>4</v>
      </c>
      <c r="O477" s="189" t="s">
        <v>32</v>
      </c>
      <c r="P477" s="190">
        <v>0</v>
      </c>
      <c r="Q477" s="190">
        <v>0</v>
      </c>
      <c r="R477" s="190">
        <v>0</v>
      </c>
      <c r="S477" s="190">
        <v>0</v>
      </c>
      <c r="T477" s="190">
        <v>0</v>
      </c>
    </row>
    <row r="478" spans="8:20" x14ac:dyDescent="0.3">
      <c r="H478" s="13" t="s">
        <v>33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O478" s="191" t="s">
        <v>33</v>
      </c>
      <c r="P478" s="192">
        <v>0</v>
      </c>
      <c r="Q478" s="192">
        <v>0</v>
      </c>
      <c r="R478" s="192">
        <v>0</v>
      </c>
      <c r="S478" s="192">
        <v>0</v>
      </c>
      <c r="T478" s="192">
        <v>0</v>
      </c>
    </row>
    <row r="479" spans="8:20" x14ac:dyDescent="0.3">
      <c r="H479" s="13" t="s">
        <v>34</v>
      </c>
      <c r="I479" s="14">
        <v>6</v>
      </c>
      <c r="J479" s="14">
        <v>2</v>
      </c>
      <c r="K479" s="14">
        <v>0</v>
      </c>
      <c r="L479" s="14">
        <v>0</v>
      </c>
      <c r="M479" s="14">
        <v>4</v>
      </c>
      <c r="O479" s="191" t="s">
        <v>34</v>
      </c>
      <c r="P479" s="192">
        <v>0</v>
      </c>
      <c r="Q479" s="192">
        <v>0</v>
      </c>
      <c r="R479" s="192">
        <v>0</v>
      </c>
      <c r="S479" s="192">
        <v>0</v>
      </c>
      <c r="T479" s="192">
        <v>0</v>
      </c>
    </row>
    <row r="480" spans="8:20" x14ac:dyDescent="0.3">
      <c r="H480" s="15" t="s">
        <v>35</v>
      </c>
      <c r="I480" s="16">
        <v>3</v>
      </c>
      <c r="J480" s="16">
        <v>2</v>
      </c>
      <c r="K480" s="16">
        <v>0</v>
      </c>
      <c r="L480" s="16">
        <v>0</v>
      </c>
      <c r="M480" s="16">
        <v>1</v>
      </c>
      <c r="O480" s="193" t="s">
        <v>35</v>
      </c>
      <c r="P480" s="194">
        <v>0</v>
      </c>
      <c r="Q480" s="194">
        <v>0</v>
      </c>
      <c r="R480" s="194">
        <v>0</v>
      </c>
      <c r="S480" s="194">
        <v>0</v>
      </c>
      <c r="T480" s="194">
        <v>0</v>
      </c>
    </row>
    <row r="481" spans="8:20" x14ac:dyDescent="0.3">
      <c r="H481" s="17" t="s">
        <v>36</v>
      </c>
      <c r="I481" s="109">
        <v>0</v>
      </c>
      <c r="J481" s="109">
        <v>0</v>
      </c>
      <c r="K481" s="109">
        <v>0</v>
      </c>
      <c r="L481" s="109">
        <v>0</v>
      </c>
      <c r="M481" s="109">
        <v>0</v>
      </c>
      <c r="O481" s="195" t="s">
        <v>36</v>
      </c>
      <c r="P481" s="196">
        <v>0</v>
      </c>
      <c r="Q481" s="196">
        <v>0</v>
      </c>
      <c r="R481" s="196">
        <v>0</v>
      </c>
      <c r="S481" s="196">
        <v>0</v>
      </c>
      <c r="T481" s="196">
        <v>0</v>
      </c>
    </row>
    <row r="482" spans="8:20" x14ac:dyDescent="0.3">
      <c r="H482" s="17" t="s">
        <v>37</v>
      </c>
      <c r="I482" s="109">
        <v>3</v>
      </c>
      <c r="J482" s="109">
        <v>2</v>
      </c>
      <c r="K482" s="109">
        <v>0</v>
      </c>
      <c r="L482" s="109">
        <v>0</v>
      </c>
      <c r="M482" s="109">
        <v>1</v>
      </c>
      <c r="O482" s="195" t="s">
        <v>37</v>
      </c>
      <c r="P482" s="196">
        <v>0</v>
      </c>
      <c r="Q482" s="196">
        <v>0</v>
      </c>
      <c r="R482" s="196">
        <v>0</v>
      </c>
      <c r="S482" s="196">
        <v>0</v>
      </c>
      <c r="T482" s="196">
        <v>0</v>
      </c>
    </row>
    <row r="483" spans="8:20" x14ac:dyDescent="0.3">
      <c r="H483" s="17" t="s">
        <v>38</v>
      </c>
      <c r="I483" s="175" t="s">
        <v>1600</v>
      </c>
      <c r="J483" s="176"/>
      <c r="K483" s="176"/>
      <c r="L483" s="176"/>
      <c r="M483" s="176"/>
      <c r="O483" s="195" t="s">
        <v>38</v>
      </c>
      <c r="P483" s="172"/>
      <c r="Q483" s="173"/>
      <c r="R483" s="173"/>
      <c r="S483" s="173"/>
      <c r="T483" s="173"/>
    </row>
    <row r="484" spans="8:20" ht="19.8" x14ac:dyDescent="0.3">
      <c r="H484" s="170">
        <v>46140</v>
      </c>
      <c r="I484" s="170"/>
      <c r="J484" s="170"/>
      <c r="K484" s="170"/>
      <c r="L484" s="170"/>
      <c r="M484" s="170"/>
    </row>
    <row r="485" spans="8:20" x14ac:dyDescent="0.3">
      <c r="H485" s="1" t="s">
        <v>0</v>
      </c>
      <c r="I485" s="1" t="s">
        <v>1</v>
      </c>
      <c r="J485" s="1" t="s">
        <v>2</v>
      </c>
      <c r="K485" s="1" t="s">
        <v>3</v>
      </c>
      <c r="L485" s="1" t="s">
        <v>40</v>
      </c>
      <c r="M485" s="1" t="s">
        <v>4</v>
      </c>
    </row>
    <row r="486" spans="8:20" x14ac:dyDescent="0.3">
      <c r="H486" s="2" t="s">
        <v>5</v>
      </c>
      <c r="I486" s="3">
        <v>3452</v>
      </c>
      <c r="J486" s="3">
        <v>1200</v>
      </c>
      <c r="K486" s="3">
        <v>0</v>
      </c>
      <c r="L486" s="3">
        <v>1130</v>
      </c>
      <c r="M486" s="3">
        <v>1122</v>
      </c>
    </row>
    <row r="487" spans="8:20" x14ac:dyDescent="0.3">
      <c r="H487" s="2" t="s">
        <v>6</v>
      </c>
      <c r="I487" s="3">
        <v>136</v>
      </c>
      <c r="J487" s="5">
        <v>60</v>
      </c>
      <c r="K487" s="3">
        <v>0</v>
      </c>
      <c r="L487" s="4">
        <v>37</v>
      </c>
      <c r="M487" s="6">
        <v>39</v>
      </c>
    </row>
    <row r="488" spans="8:20" x14ac:dyDescent="0.3">
      <c r="H488" s="2" t="s">
        <v>7</v>
      </c>
      <c r="I488" s="3" t="s">
        <v>1305</v>
      </c>
      <c r="J488" s="5" t="s">
        <v>1712</v>
      </c>
      <c r="K488" s="3">
        <v>0</v>
      </c>
      <c r="L488" s="4" t="s">
        <v>862</v>
      </c>
      <c r="M488" s="6" t="s">
        <v>983</v>
      </c>
    </row>
    <row r="489" spans="8:20" x14ac:dyDescent="0.3">
      <c r="H489" s="2" t="s">
        <v>12</v>
      </c>
      <c r="I489" s="3" t="s">
        <v>190</v>
      </c>
      <c r="J489" s="5" t="s">
        <v>1365</v>
      </c>
      <c r="K489" s="3">
        <v>0</v>
      </c>
      <c r="L489" s="4" t="s">
        <v>205</v>
      </c>
      <c r="M489" s="6" t="s">
        <v>1007</v>
      </c>
    </row>
    <row r="490" spans="8:20" x14ac:dyDescent="0.3">
      <c r="H490" s="2" t="s">
        <v>17</v>
      </c>
      <c r="I490" s="3" t="s">
        <v>108</v>
      </c>
      <c r="J490" s="6" t="s">
        <v>108</v>
      </c>
      <c r="K490" s="3" t="s">
        <v>25</v>
      </c>
      <c r="L490" s="5" t="s">
        <v>88</v>
      </c>
      <c r="M490" s="4" t="s">
        <v>84</v>
      </c>
    </row>
    <row r="491" spans="8:20" x14ac:dyDescent="0.3">
      <c r="H491" s="2" t="s">
        <v>22</v>
      </c>
      <c r="I491" s="3" t="s">
        <v>552</v>
      </c>
      <c r="J491" s="3" t="s">
        <v>25</v>
      </c>
      <c r="K491" s="3" t="s">
        <v>25</v>
      </c>
      <c r="L491" s="5" t="s">
        <v>84</v>
      </c>
      <c r="M491" s="3" t="s">
        <v>25</v>
      </c>
    </row>
    <row r="492" spans="8:20" x14ac:dyDescent="0.3">
      <c r="H492" s="7" t="s">
        <v>26</v>
      </c>
      <c r="I492" s="8">
        <v>130</v>
      </c>
      <c r="J492" s="8">
        <v>58</v>
      </c>
      <c r="K492" s="8">
        <v>0</v>
      </c>
      <c r="L492" s="8">
        <v>34</v>
      </c>
      <c r="M492" s="8">
        <v>38</v>
      </c>
    </row>
    <row r="493" spans="8:20" x14ac:dyDescent="0.3">
      <c r="H493" s="9" t="s">
        <v>27</v>
      </c>
      <c r="I493" s="10">
        <v>22</v>
      </c>
      <c r="J493" s="10">
        <v>7</v>
      </c>
      <c r="K493" s="10">
        <v>0</v>
      </c>
      <c r="L493" s="10">
        <v>9</v>
      </c>
      <c r="M493" s="10">
        <v>6</v>
      </c>
    </row>
    <row r="494" spans="8:20" x14ac:dyDescent="0.3">
      <c r="H494" s="9" t="s">
        <v>28</v>
      </c>
      <c r="I494" s="10">
        <v>13</v>
      </c>
      <c r="J494" s="10">
        <v>8</v>
      </c>
      <c r="K494" s="10">
        <v>0</v>
      </c>
      <c r="L494" s="10">
        <v>1</v>
      </c>
      <c r="M494" s="10">
        <v>4</v>
      </c>
    </row>
    <row r="495" spans="8:20" x14ac:dyDescent="0.3">
      <c r="H495" s="9" t="s">
        <v>29</v>
      </c>
      <c r="I495" s="10">
        <v>57</v>
      </c>
      <c r="J495" s="10">
        <v>28</v>
      </c>
      <c r="K495" s="10">
        <v>0</v>
      </c>
      <c r="L495" s="10">
        <v>16</v>
      </c>
      <c r="M495" s="10">
        <v>13</v>
      </c>
    </row>
    <row r="496" spans="8:20" x14ac:dyDescent="0.3">
      <c r="H496" s="9" t="s">
        <v>30</v>
      </c>
      <c r="I496" s="10">
        <v>38</v>
      </c>
      <c r="J496" s="10">
        <v>15</v>
      </c>
      <c r="K496" s="10">
        <v>0</v>
      </c>
      <c r="L496" s="10">
        <v>8</v>
      </c>
      <c r="M496" s="10">
        <v>15</v>
      </c>
    </row>
    <row r="497" spans="8:13" x14ac:dyDescent="0.3">
      <c r="H497" s="9" t="s">
        <v>31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8:13" x14ac:dyDescent="0.3">
      <c r="H498" s="11" t="s">
        <v>32</v>
      </c>
      <c r="I498" s="12">
        <v>6</v>
      </c>
      <c r="J498" s="12">
        <v>2</v>
      </c>
      <c r="K498" s="12">
        <v>0</v>
      </c>
      <c r="L498" s="12">
        <v>3</v>
      </c>
      <c r="M498" s="12">
        <v>1</v>
      </c>
    </row>
    <row r="499" spans="8:13" x14ac:dyDescent="0.3">
      <c r="H499" s="13" t="s">
        <v>33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</row>
    <row r="500" spans="8:13" x14ac:dyDescent="0.3">
      <c r="H500" s="13" t="s">
        <v>34</v>
      </c>
      <c r="I500" s="14">
        <v>6</v>
      </c>
      <c r="J500" s="14">
        <v>2</v>
      </c>
      <c r="K500" s="14">
        <v>0</v>
      </c>
      <c r="L500" s="14">
        <v>3</v>
      </c>
      <c r="M500" s="14">
        <v>1</v>
      </c>
    </row>
    <row r="501" spans="8:13" x14ac:dyDescent="0.3">
      <c r="H501" s="15" t="s">
        <v>35</v>
      </c>
      <c r="I501" s="16">
        <v>1</v>
      </c>
      <c r="J501" s="16">
        <v>0</v>
      </c>
      <c r="K501" s="16">
        <v>0</v>
      </c>
      <c r="L501" s="16">
        <v>1</v>
      </c>
      <c r="M501" s="16">
        <v>0</v>
      </c>
    </row>
    <row r="502" spans="8:13" x14ac:dyDescent="0.3">
      <c r="H502" s="17" t="s">
        <v>36</v>
      </c>
      <c r="I502" s="109">
        <v>0</v>
      </c>
      <c r="J502" s="109">
        <v>0</v>
      </c>
      <c r="K502" s="109">
        <v>0</v>
      </c>
      <c r="L502" s="109">
        <v>0</v>
      </c>
      <c r="M502" s="109">
        <v>0</v>
      </c>
    </row>
    <row r="503" spans="8:13" x14ac:dyDescent="0.3">
      <c r="H503" s="17" t="s">
        <v>37</v>
      </c>
      <c r="I503" s="109">
        <v>1</v>
      </c>
      <c r="J503" s="109">
        <v>0</v>
      </c>
      <c r="K503" s="109">
        <v>0</v>
      </c>
      <c r="L503" s="109">
        <v>1</v>
      </c>
      <c r="M503" s="109">
        <v>0</v>
      </c>
    </row>
    <row r="504" spans="8:13" x14ac:dyDescent="0.3">
      <c r="H504" s="17" t="s">
        <v>38</v>
      </c>
      <c r="I504" s="175" t="s">
        <v>1600</v>
      </c>
      <c r="J504" s="176"/>
      <c r="K504" s="176"/>
      <c r="L504" s="176"/>
      <c r="M504" s="176"/>
    </row>
    <row r="505" spans="8:13" ht="19.8" x14ac:dyDescent="0.3">
      <c r="H505" s="170">
        <v>46141</v>
      </c>
      <c r="I505" s="168"/>
      <c r="J505" s="168"/>
      <c r="K505" s="168"/>
      <c r="L505" s="168"/>
    </row>
    <row r="506" spans="8:13" x14ac:dyDescent="0.3">
      <c r="H506" s="1" t="s">
        <v>0</v>
      </c>
      <c r="I506" s="1" t="s">
        <v>1</v>
      </c>
      <c r="J506" s="1" t="s">
        <v>2</v>
      </c>
      <c r="K506" s="1" t="s">
        <v>40</v>
      </c>
      <c r="L506" s="1" t="s">
        <v>4</v>
      </c>
    </row>
    <row r="507" spans="8:13" x14ac:dyDescent="0.3">
      <c r="H507" s="2" t="s">
        <v>5</v>
      </c>
      <c r="I507" s="3">
        <v>3358</v>
      </c>
      <c r="J507" s="3">
        <v>1187</v>
      </c>
      <c r="K507" s="3">
        <v>1108</v>
      </c>
      <c r="L507" s="3">
        <v>1063</v>
      </c>
    </row>
    <row r="508" spans="8:13" x14ac:dyDescent="0.3">
      <c r="H508" s="2" t="s">
        <v>6</v>
      </c>
      <c r="I508" s="3">
        <v>96</v>
      </c>
      <c r="J508" s="5">
        <v>40</v>
      </c>
      <c r="K508" s="4">
        <v>25</v>
      </c>
      <c r="L508" s="6">
        <v>31</v>
      </c>
    </row>
    <row r="509" spans="8:13" x14ac:dyDescent="0.3">
      <c r="H509" s="2" t="s">
        <v>7</v>
      </c>
      <c r="I509" s="3" t="s">
        <v>473</v>
      </c>
      <c r="J509" s="5" t="s">
        <v>130</v>
      </c>
      <c r="K509" s="4" t="s">
        <v>403</v>
      </c>
      <c r="L509" s="6" t="s">
        <v>479</v>
      </c>
    </row>
    <row r="510" spans="8:13" x14ac:dyDescent="0.3">
      <c r="H510" s="2" t="s">
        <v>12</v>
      </c>
      <c r="I510" s="3" t="s">
        <v>630</v>
      </c>
      <c r="J510" s="5" t="s">
        <v>692</v>
      </c>
      <c r="K510" s="4" t="s">
        <v>715</v>
      </c>
      <c r="L510" s="6" t="s">
        <v>742</v>
      </c>
    </row>
    <row r="511" spans="8:13" x14ac:dyDescent="0.3">
      <c r="H511" s="2" t="s">
        <v>17</v>
      </c>
      <c r="I511" s="3" t="s">
        <v>84</v>
      </c>
      <c r="J511" s="4" t="s">
        <v>309</v>
      </c>
      <c r="K511" s="6" t="s">
        <v>84</v>
      </c>
      <c r="L511" s="5" t="s">
        <v>84</v>
      </c>
    </row>
    <row r="512" spans="8:13" x14ac:dyDescent="0.3">
      <c r="H512" s="2" t="s">
        <v>22</v>
      </c>
      <c r="I512" s="3" t="s">
        <v>25</v>
      </c>
      <c r="J512" s="3" t="s">
        <v>25</v>
      </c>
      <c r="K512" s="3" t="s">
        <v>25</v>
      </c>
      <c r="L512" s="3" t="s">
        <v>25</v>
      </c>
    </row>
    <row r="513" spans="8:12" x14ac:dyDescent="0.3">
      <c r="H513" s="7" t="s">
        <v>26</v>
      </c>
      <c r="I513" s="8">
        <v>93</v>
      </c>
      <c r="J513" s="8">
        <v>39</v>
      </c>
      <c r="K513" s="8">
        <v>24</v>
      </c>
      <c r="L513" s="8">
        <v>30</v>
      </c>
    </row>
    <row r="514" spans="8:12" x14ac:dyDescent="0.3">
      <c r="H514" s="9" t="s">
        <v>27</v>
      </c>
      <c r="I514" s="10">
        <v>18</v>
      </c>
      <c r="J514" s="10">
        <v>4</v>
      </c>
      <c r="K514" s="10">
        <v>7</v>
      </c>
      <c r="L514" s="10">
        <v>7</v>
      </c>
    </row>
    <row r="515" spans="8:12" x14ac:dyDescent="0.3">
      <c r="H515" s="9" t="s">
        <v>28</v>
      </c>
      <c r="I515" s="10">
        <v>10</v>
      </c>
      <c r="J515" s="10">
        <v>5</v>
      </c>
      <c r="K515" s="10">
        <v>2</v>
      </c>
      <c r="L515" s="10">
        <v>3</v>
      </c>
    </row>
    <row r="516" spans="8:12" x14ac:dyDescent="0.3">
      <c r="H516" s="9" t="s">
        <v>29</v>
      </c>
      <c r="I516" s="10">
        <v>38</v>
      </c>
      <c r="J516" s="10">
        <v>15</v>
      </c>
      <c r="K516" s="10">
        <v>6</v>
      </c>
      <c r="L516" s="10">
        <v>17</v>
      </c>
    </row>
    <row r="517" spans="8:12" x14ac:dyDescent="0.3">
      <c r="H517" s="9" t="s">
        <v>30</v>
      </c>
      <c r="I517" s="10">
        <v>27</v>
      </c>
      <c r="J517" s="10">
        <v>15</v>
      </c>
      <c r="K517" s="10">
        <v>9</v>
      </c>
      <c r="L517" s="10">
        <v>3</v>
      </c>
    </row>
    <row r="518" spans="8:12" x14ac:dyDescent="0.3">
      <c r="H518" s="9" t="s">
        <v>31</v>
      </c>
      <c r="I518" s="10">
        <v>0</v>
      </c>
      <c r="J518" s="10">
        <v>0</v>
      </c>
      <c r="K518" s="10">
        <v>0</v>
      </c>
      <c r="L518" s="10">
        <v>0</v>
      </c>
    </row>
    <row r="519" spans="8:12" x14ac:dyDescent="0.3">
      <c r="H519" s="11" t="s">
        <v>32</v>
      </c>
      <c r="I519" s="12">
        <v>3</v>
      </c>
      <c r="J519" s="12">
        <v>1</v>
      </c>
      <c r="K519" s="12">
        <v>1</v>
      </c>
      <c r="L519" s="12">
        <v>1</v>
      </c>
    </row>
    <row r="520" spans="8:12" x14ac:dyDescent="0.3">
      <c r="H520" s="13" t="s">
        <v>33</v>
      </c>
      <c r="I520" s="14">
        <v>0</v>
      </c>
      <c r="J520" s="14">
        <v>0</v>
      </c>
      <c r="K520" s="14">
        <v>0</v>
      </c>
      <c r="L520" s="14">
        <v>0</v>
      </c>
    </row>
    <row r="521" spans="8:12" x14ac:dyDescent="0.3">
      <c r="H521" s="13" t="s">
        <v>34</v>
      </c>
      <c r="I521" s="14">
        <v>3</v>
      </c>
      <c r="J521" s="14">
        <v>1</v>
      </c>
      <c r="K521" s="14">
        <v>1</v>
      </c>
      <c r="L521" s="14">
        <v>1</v>
      </c>
    </row>
    <row r="522" spans="8:12" x14ac:dyDescent="0.3">
      <c r="H522" s="15" t="s">
        <v>35</v>
      </c>
      <c r="I522" s="16">
        <v>0</v>
      </c>
      <c r="J522" s="16">
        <v>0</v>
      </c>
      <c r="K522" s="16">
        <v>0</v>
      </c>
      <c r="L522" s="16">
        <v>0</v>
      </c>
    </row>
    <row r="523" spans="8:12" x14ac:dyDescent="0.3">
      <c r="H523" s="17" t="s">
        <v>36</v>
      </c>
      <c r="I523" s="109">
        <v>0</v>
      </c>
      <c r="J523" s="109">
        <v>0</v>
      </c>
      <c r="K523" s="109">
        <v>0</v>
      </c>
      <c r="L523" s="109">
        <v>0</v>
      </c>
    </row>
    <row r="524" spans="8:12" x14ac:dyDescent="0.3">
      <c r="H524" s="17" t="s">
        <v>37</v>
      </c>
      <c r="I524" s="109">
        <v>0</v>
      </c>
      <c r="J524" s="109">
        <v>0</v>
      </c>
      <c r="K524" s="109">
        <v>0</v>
      </c>
      <c r="L524" s="109">
        <v>0</v>
      </c>
    </row>
    <row r="525" spans="8:12" x14ac:dyDescent="0.3">
      <c r="H525" s="17" t="s">
        <v>38</v>
      </c>
      <c r="I525" s="167" t="s">
        <v>1600</v>
      </c>
      <c r="J525" s="168"/>
      <c r="K525" s="168"/>
      <c r="L525" s="168"/>
    </row>
    <row r="526" spans="8:12" ht="19.8" x14ac:dyDescent="0.3">
      <c r="H526" s="170">
        <v>46142</v>
      </c>
      <c r="I526" s="168"/>
      <c r="J526" s="168"/>
      <c r="K526" s="168"/>
      <c r="L526" s="168"/>
    </row>
    <row r="527" spans="8:12" x14ac:dyDescent="0.3">
      <c r="H527" s="1" t="s">
        <v>0</v>
      </c>
      <c r="I527" s="1" t="s">
        <v>1</v>
      </c>
      <c r="J527" s="1" t="s">
        <v>2</v>
      </c>
      <c r="K527" s="1" t="s">
        <v>40</v>
      </c>
      <c r="L527" s="1" t="s">
        <v>4</v>
      </c>
    </row>
    <row r="528" spans="8:12" x14ac:dyDescent="0.3">
      <c r="H528" s="2" t="s">
        <v>5</v>
      </c>
      <c r="I528" s="3">
        <v>3445</v>
      </c>
      <c r="J528" s="3">
        <v>1158</v>
      </c>
      <c r="K528" s="3">
        <v>1149</v>
      </c>
      <c r="L528" s="3">
        <v>1138</v>
      </c>
    </row>
    <row r="529" spans="8:12" x14ac:dyDescent="0.3">
      <c r="H529" s="2" t="s">
        <v>6</v>
      </c>
      <c r="I529" s="3">
        <v>104</v>
      </c>
      <c r="J529" s="5">
        <v>38</v>
      </c>
      <c r="K529" s="6">
        <v>36</v>
      </c>
      <c r="L529" s="4">
        <v>30</v>
      </c>
    </row>
    <row r="530" spans="8:12" x14ac:dyDescent="0.3">
      <c r="H530" s="2" t="s">
        <v>7</v>
      </c>
      <c r="I530" s="3" t="s">
        <v>626</v>
      </c>
      <c r="J530" s="5" t="s">
        <v>1441</v>
      </c>
      <c r="K530" s="6" t="s">
        <v>508</v>
      </c>
      <c r="L530" s="4" t="s">
        <v>105</v>
      </c>
    </row>
    <row r="531" spans="8:12" x14ac:dyDescent="0.3">
      <c r="H531" s="2" t="s">
        <v>12</v>
      </c>
      <c r="I531" s="3" t="s">
        <v>345</v>
      </c>
      <c r="J531" s="6" t="s">
        <v>626</v>
      </c>
      <c r="K531" s="5" t="s">
        <v>508</v>
      </c>
      <c r="L531" s="4" t="s">
        <v>105</v>
      </c>
    </row>
    <row r="532" spans="8:12" x14ac:dyDescent="0.3">
      <c r="H532" s="2" t="s">
        <v>17</v>
      </c>
      <c r="I532" s="3" t="s">
        <v>84</v>
      </c>
      <c r="J532" s="5" t="s">
        <v>101</v>
      </c>
      <c r="K532" s="3" t="s">
        <v>25</v>
      </c>
      <c r="L532" s="3" t="s">
        <v>25</v>
      </c>
    </row>
    <row r="533" spans="8:12" x14ac:dyDescent="0.3">
      <c r="H533" s="2" t="s">
        <v>22</v>
      </c>
      <c r="I533" s="3" t="s">
        <v>25</v>
      </c>
      <c r="J533" s="3" t="s">
        <v>25</v>
      </c>
      <c r="K533" s="3" t="s">
        <v>25</v>
      </c>
      <c r="L533" s="3" t="s">
        <v>25</v>
      </c>
    </row>
    <row r="534" spans="8:12" x14ac:dyDescent="0.3">
      <c r="H534" s="7" t="s">
        <v>26</v>
      </c>
      <c r="I534" s="8">
        <v>101</v>
      </c>
      <c r="J534" s="8">
        <v>35</v>
      </c>
      <c r="K534" s="8">
        <v>36</v>
      </c>
      <c r="L534" s="8">
        <v>30</v>
      </c>
    </row>
    <row r="535" spans="8:12" x14ac:dyDescent="0.3">
      <c r="H535" s="9" t="s">
        <v>27</v>
      </c>
      <c r="I535" s="10">
        <v>7</v>
      </c>
      <c r="J535" s="10">
        <v>2</v>
      </c>
      <c r="K535" s="10">
        <v>4</v>
      </c>
      <c r="L535" s="10">
        <v>1</v>
      </c>
    </row>
    <row r="536" spans="8:12" x14ac:dyDescent="0.3">
      <c r="H536" s="9" t="s">
        <v>28</v>
      </c>
      <c r="I536" s="10">
        <v>8</v>
      </c>
      <c r="J536" s="10">
        <v>4</v>
      </c>
      <c r="K536" s="10">
        <v>3</v>
      </c>
      <c r="L536" s="10">
        <v>1</v>
      </c>
    </row>
    <row r="537" spans="8:12" x14ac:dyDescent="0.3">
      <c r="H537" s="9" t="s">
        <v>29</v>
      </c>
      <c r="I537" s="10">
        <v>59</v>
      </c>
      <c r="J537" s="10">
        <v>20</v>
      </c>
      <c r="K537" s="10">
        <v>21</v>
      </c>
      <c r="L537" s="10">
        <v>18</v>
      </c>
    </row>
    <row r="538" spans="8:12" x14ac:dyDescent="0.3">
      <c r="H538" s="9" t="s">
        <v>30</v>
      </c>
      <c r="I538" s="10">
        <v>27</v>
      </c>
      <c r="J538" s="10">
        <v>9</v>
      </c>
      <c r="K538" s="10">
        <v>8</v>
      </c>
      <c r="L538" s="10">
        <v>10</v>
      </c>
    </row>
    <row r="539" spans="8:12" x14ac:dyDescent="0.3">
      <c r="H539" s="9" t="s">
        <v>31</v>
      </c>
      <c r="I539" s="10">
        <v>0</v>
      </c>
      <c r="J539" s="10">
        <v>0</v>
      </c>
      <c r="K539" s="10">
        <v>0</v>
      </c>
      <c r="L539" s="10">
        <v>0</v>
      </c>
    </row>
    <row r="540" spans="8:12" x14ac:dyDescent="0.3">
      <c r="H540" s="11" t="s">
        <v>32</v>
      </c>
      <c r="I540" s="12">
        <v>3</v>
      </c>
      <c r="J540" s="12">
        <v>3</v>
      </c>
      <c r="K540" s="12">
        <v>0</v>
      </c>
      <c r="L540" s="12">
        <v>0</v>
      </c>
    </row>
    <row r="541" spans="8:12" x14ac:dyDescent="0.3">
      <c r="H541" s="13" t="s">
        <v>33</v>
      </c>
      <c r="I541" s="14">
        <v>0</v>
      </c>
      <c r="J541" s="14">
        <v>0</v>
      </c>
      <c r="K541" s="14">
        <v>0</v>
      </c>
      <c r="L541" s="14">
        <v>0</v>
      </c>
    </row>
    <row r="542" spans="8:12" x14ac:dyDescent="0.3">
      <c r="H542" s="13" t="s">
        <v>34</v>
      </c>
      <c r="I542" s="14">
        <v>3</v>
      </c>
      <c r="J542" s="14">
        <v>3</v>
      </c>
      <c r="K542" s="14">
        <v>0</v>
      </c>
      <c r="L542" s="14">
        <v>0</v>
      </c>
    </row>
    <row r="543" spans="8:12" x14ac:dyDescent="0.3">
      <c r="H543" s="15" t="s">
        <v>35</v>
      </c>
      <c r="I543" s="16">
        <v>0</v>
      </c>
      <c r="J543" s="16">
        <v>0</v>
      </c>
      <c r="K543" s="16">
        <v>0</v>
      </c>
      <c r="L543" s="16">
        <v>0</v>
      </c>
    </row>
    <row r="544" spans="8:12" x14ac:dyDescent="0.3">
      <c r="H544" s="17" t="s">
        <v>36</v>
      </c>
      <c r="I544" s="112">
        <v>0</v>
      </c>
      <c r="J544" s="112">
        <v>0</v>
      </c>
      <c r="K544" s="112">
        <v>0</v>
      </c>
      <c r="L544" s="112">
        <v>0</v>
      </c>
    </row>
    <row r="545" spans="8:12" x14ac:dyDescent="0.3">
      <c r="H545" s="17" t="s">
        <v>37</v>
      </c>
      <c r="I545" s="112">
        <v>0</v>
      </c>
      <c r="J545" s="112">
        <v>0</v>
      </c>
      <c r="K545" s="112">
        <v>0</v>
      </c>
      <c r="L545" s="112">
        <v>0</v>
      </c>
    </row>
    <row r="546" spans="8:12" x14ac:dyDescent="0.3">
      <c r="H546" s="17" t="s">
        <v>38</v>
      </c>
      <c r="I546" s="167" t="s">
        <v>1600</v>
      </c>
      <c r="J546" s="168"/>
      <c r="K546" s="168"/>
      <c r="L546" s="168"/>
    </row>
  </sheetData>
  <mergeCells count="140">
    <mergeCell ref="O463:T463"/>
    <mergeCell ref="P483:T483"/>
    <mergeCell ref="O421:T421"/>
    <mergeCell ref="O442:T442"/>
    <mergeCell ref="P441:T441"/>
    <mergeCell ref="P462:T462"/>
    <mergeCell ref="O379:T379"/>
    <mergeCell ref="P399:T399"/>
    <mergeCell ref="O400:T400"/>
    <mergeCell ref="P420:T420"/>
    <mergeCell ref="O358:T358"/>
    <mergeCell ref="P378:T378"/>
    <mergeCell ref="O148:T148"/>
    <mergeCell ref="P168:T168"/>
    <mergeCell ref="O85:T85"/>
    <mergeCell ref="P84:T84"/>
    <mergeCell ref="O64:T64"/>
    <mergeCell ref="O316:T316"/>
    <mergeCell ref="P336:T336"/>
    <mergeCell ref="O337:T337"/>
    <mergeCell ref="P357:T357"/>
    <mergeCell ref="O43:T43"/>
    <mergeCell ref="P63:T63"/>
    <mergeCell ref="O127:T127"/>
    <mergeCell ref="P147:T147"/>
    <mergeCell ref="O106:T106"/>
    <mergeCell ref="P126:T126"/>
    <mergeCell ref="P105:T105"/>
    <mergeCell ref="H526:L526"/>
    <mergeCell ref="I546:L546"/>
    <mergeCell ref="H442:M442"/>
    <mergeCell ref="I462:M462"/>
    <mergeCell ref="H505:L505"/>
    <mergeCell ref="I525:L525"/>
    <mergeCell ref="H463:M463"/>
    <mergeCell ref="I483:M483"/>
    <mergeCell ref="H484:M484"/>
    <mergeCell ref="I504:M504"/>
    <mergeCell ref="O211:T211"/>
    <mergeCell ref="P231:T231"/>
    <mergeCell ref="O253:T253"/>
    <mergeCell ref="O169:T169"/>
    <mergeCell ref="P189:T189"/>
    <mergeCell ref="O190:T190"/>
    <mergeCell ref="P210:T210"/>
    <mergeCell ref="O1:T1"/>
    <mergeCell ref="P21:T21"/>
    <mergeCell ref="O22:T22"/>
    <mergeCell ref="P42:T42"/>
    <mergeCell ref="I336:M336"/>
    <mergeCell ref="H337:M337"/>
    <mergeCell ref="I357:M357"/>
    <mergeCell ref="H274:M274"/>
    <mergeCell ref="I294:M294"/>
    <mergeCell ref="H295:M295"/>
    <mergeCell ref="I315:M315"/>
    <mergeCell ref="H316:M316"/>
    <mergeCell ref="H253:M253"/>
    <mergeCell ref="I273:M273"/>
    <mergeCell ref="I252:M252"/>
    <mergeCell ref="H211:M211"/>
    <mergeCell ref="I231:M231"/>
    <mergeCell ref="H232:M232"/>
    <mergeCell ref="H169:M169"/>
    <mergeCell ref="I189:M189"/>
    <mergeCell ref="H190:M190"/>
    <mergeCell ref="I210:M210"/>
    <mergeCell ref="H1:M1"/>
    <mergeCell ref="I21:M21"/>
    <mergeCell ref="H22:M22"/>
    <mergeCell ref="I42:M42"/>
    <mergeCell ref="H43:M43"/>
    <mergeCell ref="I126:M126"/>
    <mergeCell ref="H127:M127"/>
    <mergeCell ref="I147:M147"/>
    <mergeCell ref="H148:M148"/>
    <mergeCell ref="I168:M168"/>
    <mergeCell ref="I63:M63"/>
    <mergeCell ref="H85:M85"/>
    <mergeCell ref="I105:M105"/>
    <mergeCell ref="H106:M106"/>
    <mergeCell ref="H64:M64"/>
    <mergeCell ref="I84:M84"/>
    <mergeCell ref="A106:F106"/>
    <mergeCell ref="B126:F126"/>
    <mergeCell ref="A127:F127"/>
    <mergeCell ref="B336:F336"/>
    <mergeCell ref="A316:F316"/>
    <mergeCell ref="A190:F190"/>
    <mergeCell ref="B210:F210"/>
    <mergeCell ref="A211:F211"/>
    <mergeCell ref="B231:F231"/>
    <mergeCell ref="B273:F273"/>
    <mergeCell ref="A274:F274"/>
    <mergeCell ref="B147:F147"/>
    <mergeCell ref="A148:F148"/>
    <mergeCell ref="A232:F232"/>
    <mergeCell ref="B252:F252"/>
    <mergeCell ref="A253:F253"/>
    <mergeCell ref="A169:F169"/>
    <mergeCell ref="B189:F189"/>
    <mergeCell ref="B168:F168"/>
    <mergeCell ref="B294:F294"/>
    <mergeCell ref="A295:F295"/>
    <mergeCell ref="B63:F63"/>
    <mergeCell ref="A64:F64"/>
    <mergeCell ref="B84:F84"/>
    <mergeCell ref="A85:F85"/>
    <mergeCell ref="B105:F105"/>
    <mergeCell ref="A1:F1"/>
    <mergeCell ref="B21:F21"/>
    <mergeCell ref="A22:F22"/>
    <mergeCell ref="B42:F42"/>
    <mergeCell ref="A43:F43"/>
    <mergeCell ref="B315:F315"/>
    <mergeCell ref="H358:M358"/>
    <mergeCell ref="I378:M378"/>
    <mergeCell ref="B441:F441"/>
    <mergeCell ref="A421:F421"/>
    <mergeCell ref="B399:F399"/>
    <mergeCell ref="A400:F400"/>
    <mergeCell ref="B420:F420"/>
    <mergeCell ref="A358:F358"/>
    <mergeCell ref="B378:F378"/>
    <mergeCell ref="H400:M400"/>
    <mergeCell ref="I420:M420"/>
    <mergeCell ref="H421:M421"/>
    <mergeCell ref="I441:M441"/>
    <mergeCell ref="H379:M379"/>
    <mergeCell ref="I399:M399"/>
    <mergeCell ref="A379:F379"/>
    <mergeCell ref="A337:F337"/>
    <mergeCell ref="B357:F357"/>
    <mergeCell ref="P273:T273"/>
    <mergeCell ref="O232:T232"/>
    <mergeCell ref="P252:T252"/>
    <mergeCell ref="O274:T274"/>
    <mergeCell ref="P294:T294"/>
    <mergeCell ref="O295:T295"/>
    <mergeCell ref="P315:T3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C202</vt:lpstr>
      <vt:lpstr>C203</vt:lpstr>
      <vt:lpstr>C208</vt:lpstr>
      <vt:lpstr>C209</vt:lpstr>
      <vt:lpstr>C214</vt:lpstr>
      <vt:lpstr>C215</vt:lpstr>
      <vt:lpstr>C216</vt:lpstr>
      <vt:lpstr>C217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SHANGLIN.TIEN 田上霖</dc:creator>
  <cp:lastModifiedBy>SHANGLIN.TIEN 田上霖</cp:lastModifiedBy>
  <dcterms:created xsi:type="dcterms:W3CDTF">2015-06-05T18:17:20Z</dcterms:created>
  <dcterms:modified xsi:type="dcterms:W3CDTF">2026-05-29T03:49:46Z</dcterms:modified>
</cp:coreProperties>
</file>